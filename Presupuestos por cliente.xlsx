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enval-my.sharepoint.com/personal/arubio_cenval_onmicrosoft_com/Documents/Escritorio/repositorios/Data_Management/"/>
    </mc:Choice>
  </mc:AlternateContent>
  <xr:revisionPtr revIDLastSave="0" documentId="8_{E8EA6D98-68E2-4C38-9F8B-39601865AF75}" xr6:coauthVersionLast="47" xr6:coauthVersionMax="47" xr10:uidLastSave="{00000000-0000-0000-0000-000000000000}"/>
  <bookViews>
    <workbookView xWindow="-28920" yWindow="-120" windowWidth="29040" windowHeight="15720" xr2:uid="{EE5C72A2-AB17-446D-A9F8-85092A147735}"/>
  </bookViews>
  <sheets>
    <sheet name="presupuesto ventas cenval ind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O3" i="1"/>
  <c r="Q3" i="1"/>
  <c r="R3" i="1"/>
  <c r="S3" i="1"/>
  <c r="T3" i="1"/>
  <c r="U3" i="1"/>
  <c r="V3" i="1"/>
  <c r="W3" i="1"/>
  <c r="X3" i="1"/>
  <c r="Y3" i="1"/>
  <c r="Z3" i="1"/>
  <c r="AA3" i="1"/>
  <c r="AB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O3" i="1"/>
  <c r="D4" i="1"/>
  <c r="E4" i="1"/>
  <c r="F4" i="1"/>
  <c r="G4" i="1"/>
  <c r="H4" i="1"/>
  <c r="I4" i="1"/>
  <c r="J4" i="1"/>
  <c r="K4" i="1"/>
  <c r="L4" i="1"/>
  <c r="M4" i="1"/>
  <c r="N4" i="1"/>
  <c r="O4" i="1"/>
  <c r="Q4" i="1"/>
  <c r="R4" i="1"/>
  <c r="S4" i="1"/>
  <c r="T4" i="1"/>
  <c r="U4" i="1"/>
  <c r="V4" i="1"/>
  <c r="W4" i="1"/>
  <c r="X4" i="1"/>
  <c r="Y4" i="1"/>
  <c r="Z4" i="1"/>
  <c r="AA4" i="1"/>
  <c r="AB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BO4" i="1"/>
  <c r="D5" i="1"/>
  <c r="E5" i="1"/>
  <c r="F5" i="1"/>
  <c r="G5" i="1"/>
  <c r="H5" i="1"/>
  <c r="I5" i="1"/>
  <c r="J5" i="1"/>
  <c r="K5" i="1"/>
  <c r="L5" i="1"/>
  <c r="M5" i="1"/>
  <c r="N5" i="1"/>
  <c r="O5" i="1"/>
  <c r="Q5" i="1"/>
  <c r="R5" i="1"/>
  <c r="S5" i="1"/>
  <c r="T5" i="1"/>
  <c r="U5" i="1"/>
  <c r="V5" i="1"/>
  <c r="W5" i="1"/>
  <c r="X5" i="1"/>
  <c r="Y5" i="1"/>
  <c r="Z5" i="1"/>
  <c r="AA5" i="1"/>
  <c r="AB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BO5" i="1"/>
  <c r="D6" i="1"/>
  <c r="E6" i="1"/>
  <c r="F6" i="1"/>
  <c r="G6" i="1"/>
  <c r="H6" i="1"/>
  <c r="I6" i="1"/>
  <c r="J6" i="1"/>
  <c r="K6" i="1"/>
  <c r="L6" i="1"/>
  <c r="M6" i="1"/>
  <c r="N6" i="1"/>
  <c r="O6" i="1"/>
  <c r="Q6" i="1"/>
  <c r="R6" i="1"/>
  <c r="S6" i="1"/>
  <c r="T6" i="1"/>
  <c r="U6" i="1"/>
  <c r="V6" i="1"/>
  <c r="W6" i="1"/>
  <c r="X6" i="1"/>
  <c r="Y6" i="1"/>
  <c r="Z6" i="1"/>
  <c r="AA6" i="1"/>
  <c r="AB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BO6" i="1"/>
  <c r="D7" i="1"/>
  <c r="E7" i="1"/>
  <c r="F7" i="1"/>
  <c r="G7" i="1"/>
  <c r="H7" i="1"/>
  <c r="I7" i="1"/>
  <c r="J7" i="1"/>
  <c r="K7" i="1"/>
  <c r="L7" i="1"/>
  <c r="M7" i="1"/>
  <c r="N7" i="1"/>
  <c r="O7" i="1"/>
  <c r="Q7" i="1"/>
  <c r="R7" i="1"/>
  <c r="S7" i="1"/>
  <c r="T7" i="1"/>
  <c r="U7" i="1"/>
  <c r="V7" i="1"/>
  <c r="W7" i="1"/>
  <c r="X7" i="1"/>
  <c r="Y7" i="1"/>
  <c r="Z7" i="1"/>
  <c r="AA7" i="1"/>
  <c r="AB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BO7" i="1"/>
  <c r="D8" i="1"/>
  <c r="E8" i="1"/>
  <c r="F8" i="1"/>
  <c r="G8" i="1"/>
  <c r="H8" i="1"/>
  <c r="I8" i="1"/>
  <c r="J8" i="1"/>
  <c r="K8" i="1"/>
  <c r="L8" i="1"/>
  <c r="M8" i="1"/>
  <c r="N8" i="1"/>
  <c r="O8" i="1"/>
  <c r="Q8" i="1"/>
  <c r="R8" i="1"/>
  <c r="S8" i="1"/>
  <c r="T8" i="1"/>
  <c r="U8" i="1"/>
  <c r="V8" i="1"/>
  <c r="W8" i="1"/>
  <c r="X8" i="1"/>
  <c r="Y8" i="1"/>
  <c r="Z8" i="1"/>
  <c r="AA8" i="1"/>
  <c r="AB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BO8" i="1"/>
  <c r="D9" i="1"/>
  <c r="E9" i="1"/>
  <c r="F9" i="1"/>
  <c r="G9" i="1"/>
  <c r="H9" i="1"/>
  <c r="I9" i="1"/>
  <c r="J9" i="1"/>
  <c r="K9" i="1"/>
  <c r="L9" i="1"/>
  <c r="M9" i="1"/>
  <c r="N9" i="1"/>
  <c r="O9" i="1"/>
  <c r="Q9" i="1"/>
  <c r="R9" i="1"/>
  <c r="S9" i="1"/>
  <c r="T9" i="1"/>
  <c r="U9" i="1"/>
  <c r="V9" i="1"/>
  <c r="W9" i="1"/>
  <c r="X9" i="1"/>
  <c r="Y9" i="1"/>
  <c r="Z9" i="1"/>
  <c r="AA9" i="1"/>
  <c r="AB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BO9" i="1"/>
  <c r="D10" i="1"/>
  <c r="E10" i="1"/>
  <c r="F10" i="1"/>
  <c r="G10" i="1"/>
  <c r="H10" i="1"/>
  <c r="I10" i="1"/>
  <c r="J10" i="1"/>
  <c r="K10" i="1"/>
  <c r="L10" i="1"/>
  <c r="M10" i="1"/>
  <c r="N10" i="1"/>
  <c r="O10" i="1"/>
  <c r="Q10" i="1"/>
  <c r="R10" i="1"/>
  <c r="S10" i="1"/>
  <c r="T10" i="1"/>
  <c r="U10" i="1"/>
  <c r="V10" i="1"/>
  <c r="W10" i="1"/>
  <c r="X10" i="1"/>
  <c r="Y10" i="1"/>
  <c r="Z10" i="1"/>
  <c r="AA10" i="1"/>
  <c r="AB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BO10" i="1"/>
  <c r="D11" i="1"/>
  <c r="E11" i="1"/>
  <c r="F11" i="1"/>
  <c r="G11" i="1"/>
  <c r="H11" i="1"/>
  <c r="I11" i="1"/>
  <c r="J11" i="1"/>
  <c r="K11" i="1"/>
  <c r="L11" i="1"/>
  <c r="M11" i="1"/>
  <c r="N11" i="1"/>
  <c r="O11" i="1"/>
  <c r="Q11" i="1"/>
  <c r="R11" i="1"/>
  <c r="S11" i="1"/>
  <c r="T11" i="1"/>
  <c r="U11" i="1"/>
  <c r="V11" i="1"/>
  <c r="W11" i="1"/>
  <c r="X11" i="1"/>
  <c r="Y11" i="1"/>
  <c r="Z11" i="1"/>
  <c r="AA11" i="1"/>
  <c r="AB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BO11" i="1"/>
  <c r="D12" i="1"/>
  <c r="E12" i="1"/>
  <c r="F12" i="1"/>
  <c r="G12" i="1"/>
  <c r="H12" i="1"/>
  <c r="I12" i="1"/>
  <c r="J12" i="1"/>
  <c r="K12" i="1"/>
  <c r="L12" i="1"/>
  <c r="M12" i="1"/>
  <c r="N12" i="1"/>
  <c r="O12" i="1"/>
  <c r="Q12" i="1"/>
  <c r="R12" i="1"/>
  <c r="S12" i="1"/>
  <c r="T12" i="1"/>
  <c r="U12" i="1"/>
  <c r="V12" i="1"/>
  <c r="W12" i="1"/>
  <c r="X12" i="1"/>
  <c r="Y12" i="1"/>
  <c r="Z12" i="1"/>
  <c r="AA12" i="1"/>
  <c r="AB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BO12" i="1"/>
  <c r="D13" i="1"/>
  <c r="E13" i="1"/>
  <c r="F13" i="1"/>
  <c r="G13" i="1"/>
  <c r="H13" i="1"/>
  <c r="I13" i="1"/>
  <c r="J13" i="1"/>
  <c r="K13" i="1"/>
  <c r="L13" i="1"/>
  <c r="M13" i="1"/>
  <c r="N13" i="1"/>
  <c r="O13" i="1"/>
  <c r="Q13" i="1"/>
  <c r="R13" i="1"/>
  <c r="S13" i="1"/>
  <c r="T13" i="1"/>
  <c r="U13" i="1"/>
  <c r="V13" i="1"/>
  <c r="W13" i="1"/>
  <c r="X13" i="1"/>
  <c r="Y13" i="1"/>
  <c r="Z13" i="1"/>
  <c r="AA13" i="1"/>
  <c r="AB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BO13" i="1"/>
  <c r="D14" i="1"/>
  <c r="E14" i="1"/>
  <c r="F14" i="1"/>
  <c r="G14" i="1"/>
  <c r="H14" i="1"/>
  <c r="I14" i="1"/>
  <c r="J14" i="1"/>
  <c r="K14" i="1"/>
  <c r="L14" i="1"/>
  <c r="M14" i="1"/>
  <c r="N14" i="1"/>
  <c r="O14" i="1"/>
  <c r="Q14" i="1"/>
  <c r="R14" i="1"/>
  <c r="S14" i="1"/>
  <c r="T14" i="1"/>
  <c r="U14" i="1"/>
  <c r="V14" i="1"/>
  <c r="W14" i="1"/>
  <c r="X14" i="1"/>
  <c r="Y14" i="1"/>
  <c r="Z14" i="1"/>
  <c r="AA14" i="1"/>
  <c r="AB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BO14" i="1"/>
  <c r="D15" i="1"/>
  <c r="E15" i="1"/>
  <c r="F15" i="1"/>
  <c r="G15" i="1"/>
  <c r="H15" i="1"/>
  <c r="I15" i="1"/>
  <c r="J15" i="1"/>
  <c r="K15" i="1"/>
  <c r="L15" i="1"/>
  <c r="M15" i="1"/>
  <c r="N15" i="1"/>
  <c r="O15" i="1"/>
  <c r="Q15" i="1"/>
  <c r="R15" i="1"/>
  <c r="S15" i="1"/>
  <c r="T15" i="1"/>
  <c r="U15" i="1"/>
  <c r="V15" i="1"/>
  <c r="W15" i="1"/>
  <c r="X15" i="1"/>
  <c r="Y15" i="1"/>
  <c r="Z15" i="1"/>
  <c r="AA15" i="1"/>
  <c r="AB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BO15" i="1"/>
  <c r="D16" i="1"/>
  <c r="E16" i="1"/>
  <c r="F16" i="1"/>
  <c r="G16" i="1"/>
  <c r="H16" i="1"/>
  <c r="I16" i="1"/>
  <c r="J16" i="1"/>
  <c r="K16" i="1"/>
  <c r="L16" i="1"/>
  <c r="M16" i="1"/>
  <c r="N16" i="1"/>
  <c r="O16" i="1"/>
  <c r="Q16" i="1"/>
  <c r="R16" i="1"/>
  <c r="S16" i="1"/>
  <c r="T16" i="1"/>
  <c r="U16" i="1"/>
  <c r="V16" i="1"/>
  <c r="W16" i="1"/>
  <c r="X16" i="1"/>
  <c r="Y16" i="1"/>
  <c r="Z16" i="1"/>
  <c r="AA16" i="1"/>
  <c r="AB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BO16" i="1"/>
  <c r="D17" i="1"/>
  <c r="E17" i="1"/>
  <c r="F17" i="1"/>
  <c r="G17" i="1"/>
  <c r="H17" i="1"/>
  <c r="I17" i="1"/>
  <c r="J17" i="1"/>
  <c r="K17" i="1"/>
  <c r="L17" i="1"/>
  <c r="M17" i="1"/>
  <c r="N17" i="1"/>
  <c r="O17" i="1"/>
  <c r="Q17" i="1"/>
  <c r="R17" i="1"/>
  <c r="S17" i="1"/>
  <c r="T17" i="1"/>
  <c r="U17" i="1"/>
  <c r="V17" i="1"/>
  <c r="W17" i="1"/>
  <c r="X17" i="1"/>
  <c r="Y17" i="1"/>
  <c r="Z17" i="1"/>
  <c r="AA17" i="1"/>
  <c r="AB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BO17" i="1"/>
  <c r="D18" i="1"/>
  <c r="E18" i="1"/>
  <c r="F18" i="1"/>
  <c r="G18" i="1"/>
  <c r="H18" i="1"/>
  <c r="I18" i="1"/>
  <c r="J18" i="1"/>
  <c r="K18" i="1"/>
  <c r="L18" i="1"/>
  <c r="M18" i="1"/>
  <c r="N18" i="1"/>
  <c r="O18" i="1"/>
  <c r="Q18" i="1"/>
  <c r="R18" i="1"/>
  <c r="S18" i="1"/>
  <c r="T18" i="1"/>
  <c r="U18" i="1"/>
  <c r="V18" i="1"/>
  <c r="W18" i="1"/>
  <c r="X18" i="1"/>
  <c r="Y18" i="1"/>
  <c r="Z18" i="1"/>
  <c r="AA18" i="1"/>
  <c r="AB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BO18" i="1"/>
  <c r="D19" i="1"/>
  <c r="E19" i="1"/>
  <c r="F19" i="1"/>
  <c r="G19" i="1"/>
  <c r="H19" i="1"/>
  <c r="I19" i="1"/>
  <c r="J19" i="1"/>
  <c r="K19" i="1"/>
  <c r="L19" i="1"/>
  <c r="M19" i="1"/>
  <c r="N19" i="1"/>
  <c r="O19" i="1"/>
  <c r="Q19" i="1"/>
  <c r="R19" i="1"/>
  <c r="S19" i="1"/>
  <c r="T19" i="1"/>
  <c r="U19" i="1"/>
  <c r="V19" i="1"/>
  <c r="W19" i="1"/>
  <c r="X19" i="1"/>
  <c r="Y19" i="1"/>
  <c r="Z19" i="1"/>
  <c r="AA19" i="1"/>
  <c r="AB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BO19" i="1"/>
  <c r="D20" i="1"/>
  <c r="E20" i="1"/>
  <c r="F20" i="1"/>
  <c r="G20" i="1"/>
  <c r="H20" i="1"/>
  <c r="I20" i="1"/>
  <c r="J20" i="1"/>
  <c r="K20" i="1"/>
  <c r="L20" i="1"/>
  <c r="M20" i="1"/>
  <c r="N20" i="1"/>
  <c r="O20" i="1"/>
  <c r="Q20" i="1"/>
  <c r="R20" i="1"/>
  <c r="S20" i="1"/>
  <c r="T20" i="1"/>
  <c r="U20" i="1"/>
  <c r="V20" i="1"/>
  <c r="W20" i="1"/>
  <c r="X20" i="1"/>
  <c r="Y20" i="1"/>
  <c r="Z20" i="1"/>
  <c r="AA20" i="1"/>
  <c r="AB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BO20" i="1"/>
  <c r="D21" i="1"/>
  <c r="E21" i="1"/>
  <c r="F21" i="1"/>
  <c r="G21" i="1"/>
  <c r="H21" i="1"/>
  <c r="I21" i="1"/>
  <c r="J21" i="1"/>
  <c r="K21" i="1"/>
  <c r="L21" i="1"/>
  <c r="M21" i="1"/>
  <c r="N21" i="1"/>
  <c r="O21" i="1"/>
  <c r="Q21" i="1"/>
  <c r="R21" i="1"/>
  <c r="S21" i="1"/>
  <c r="T21" i="1"/>
  <c r="U21" i="1"/>
  <c r="V21" i="1"/>
  <c r="W21" i="1"/>
  <c r="X21" i="1"/>
  <c r="Y21" i="1"/>
  <c r="Z21" i="1"/>
  <c r="AA21" i="1"/>
  <c r="AB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BO21" i="1"/>
  <c r="D22" i="1"/>
  <c r="E22" i="1"/>
  <c r="F22" i="1"/>
  <c r="G22" i="1"/>
  <c r="H22" i="1"/>
  <c r="I22" i="1"/>
  <c r="J22" i="1"/>
  <c r="K22" i="1"/>
  <c r="L22" i="1"/>
  <c r="M22" i="1"/>
  <c r="N22" i="1"/>
  <c r="O22" i="1"/>
  <c r="Q22" i="1"/>
  <c r="R22" i="1"/>
  <c r="S22" i="1"/>
  <c r="T22" i="1"/>
  <c r="U22" i="1"/>
  <c r="V22" i="1"/>
  <c r="W22" i="1"/>
  <c r="X22" i="1"/>
  <c r="Y22" i="1"/>
  <c r="Z22" i="1"/>
  <c r="AA22" i="1"/>
  <c r="AB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BO22" i="1"/>
  <c r="D23" i="1"/>
  <c r="E23" i="1"/>
  <c r="F23" i="1"/>
  <c r="G23" i="1"/>
  <c r="H23" i="1"/>
  <c r="I23" i="1"/>
  <c r="J23" i="1"/>
  <c r="K23" i="1"/>
  <c r="L23" i="1"/>
  <c r="M23" i="1"/>
  <c r="N23" i="1"/>
  <c r="O23" i="1"/>
  <c r="Q23" i="1"/>
  <c r="R23" i="1"/>
  <c r="S23" i="1"/>
  <c r="T23" i="1"/>
  <c r="U23" i="1"/>
  <c r="V23" i="1"/>
  <c r="W23" i="1"/>
  <c r="X23" i="1"/>
  <c r="Y23" i="1"/>
  <c r="Z23" i="1"/>
  <c r="AA23" i="1"/>
  <c r="AB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BO23" i="1"/>
  <c r="D24" i="1"/>
  <c r="E24" i="1"/>
  <c r="F24" i="1"/>
  <c r="G24" i="1"/>
  <c r="H24" i="1"/>
  <c r="I24" i="1"/>
  <c r="J24" i="1"/>
  <c r="K24" i="1"/>
  <c r="L24" i="1"/>
  <c r="M24" i="1"/>
  <c r="N24" i="1"/>
  <c r="O24" i="1"/>
  <c r="Q24" i="1"/>
  <c r="R24" i="1"/>
  <c r="S24" i="1"/>
  <c r="T24" i="1"/>
  <c r="U24" i="1"/>
  <c r="V24" i="1"/>
  <c r="W24" i="1"/>
  <c r="X24" i="1"/>
  <c r="Y24" i="1"/>
  <c r="Z24" i="1"/>
  <c r="AA24" i="1"/>
  <c r="AB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BO24" i="1"/>
  <c r="D25" i="1"/>
  <c r="E25" i="1"/>
  <c r="F25" i="1"/>
  <c r="G25" i="1"/>
  <c r="H25" i="1"/>
  <c r="I25" i="1"/>
  <c r="J25" i="1"/>
  <c r="K25" i="1"/>
  <c r="L25" i="1"/>
  <c r="M25" i="1"/>
  <c r="N25" i="1"/>
  <c r="O25" i="1"/>
  <c r="Q25" i="1"/>
  <c r="R25" i="1"/>
  <c r="S25" i="1"/>
  <c r="T25" i="1"/>
  <c r="U25" i="1"/>
  <c r="V25" i="1"/>
  <c r="W25" i="1"/>
  <c r="X25" i="1"/>
  <c r="Y25" i="1"/>
  <c r="Z25" i="1"/>
  <c r="AA25" i="1"/>
  <c r="AB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BO25" i="1"/>
  <c r="D26" i="1"/>
  <c r="D997" i="1" s="1"/>
  <c r="E26" i="1"/>
  <c r="E997" i="1" s="1"/>
  <c r="F26" i="1"/>
  <c r="F997" i="1" s="1"/>
  <c r="G26" i="1"/>
  <c r="G997" i="1" s="1"/>
  <c r="H26" i="1"/>
  <c r="H997" i="1" s="1"/>
  <c r="I26" i="1"/>
  <c r="I997" i="1" s="1"/>
  <c r="J26" i="1"/>
  <c r="J997" i="1" s="1"/>
  <c r="K26" i="1"/>
  <c r="K997" i="1" s="1"/>
  <c r="L26" i="1"/>
  <c r="L997" i="1" s="1"/>
  <c r="M26" i="1"/>
  <c r="M997" i="1" s="1"/>
  <c r="N26" i="1"/>
  <c r="N997" i="1" s="1"/>
  <c r="O26" i="1"/>
  <c r="O997" i="1" s="1"/>
  <c r="Q26" i="1"/>
  <c r="Q997" i="1" s="1"/>
  <c r="R26" i="1"/>
  <c r="R997" i="1" s="1"/>
  <c r="S26" i="1"/>
  <c r="S997" i="1" s="1"/>
  <c r="T26" i="1"/>
  <c r="T997" i="1" s="1"/>
  <c r="U26" i="1"/>
  <c r="U997" i="1" s="1"/>
  <c r="V26" i="1"/>
  <c r="V997" i="1" s="1"/>
  <c r="W26" i="1"/>
  <c r="W997" i="1" s="1"/>
  <c r="X26" i="1"/>
  <c r="X997" i="1" s="1"/>
  <c r="Y26" i="1"/>
  <c r="Y997" i="1" s="1"/>
  <c r="Z26" i="1"/>
  <c r="Z997" i="1" s="1"/>
  <c r="AA26" i="1"/>
  <c r="AA997" i="1" s="1"/>
  <c r="AB26" i="1"/>
  <c r="AB997" i="1" s="1"/>
  <c r="AD26" i="1"/>
  <c r="AD997" i="1" s="1"/>
  <c r="AE26" i="1"/>
  <c r="AE997" i="1" s="1"/>
  <c r="AF26" i="1"/>
  <c r="AF997" i="1" s="1"/>
  <c r="AG26" i="1"/>
  <c r="AG997" i="1" s="1"/>
  <c r="AH26" i="1"/>
  <c r="AH997" i="1" s="1"/>
  <c r="AI26" i="1"/>
  <c r="AI997" i="1" s="1"/>
  <c r="AJ26" i="1"/>
  <c r="AJ997" i="1" s="1"/>
  <c r="AK26" i="1"/>
  <c r="AK997" i="1" s="1"/>
  <c r="AL26" i="1"/>
  <c r="AL997" i="1" s="1"/>
  <c r="AM26" i="1"/>
  <c r="AM997" i="1" s="1"/>
  <c r="AN26" i="1"/>
  <c r="AN997" i="1" s="1"/>
  <c r="AO26" i="1"/>
  <c r="AO997" i="1" s="1"/>
  <c r="AP26" i="1"/>
  <c r="BO26" i="1"/>
  <c r="D27" i="1"/>
  <c r="E27" i="1"/>
  <c r="F27" i="1"/>
  <c r="G27" i="1"/>
  <c r="H27" i="1"/>
  <c r="I27" i="1"/>
  <c r="J27" i="1"/>
  <c r="K27" i="1"/>
  <c r="L27" i="1"/>
  <c r="M27" i="1"/>
  <c r="N27" i="1"/>
  <c r="O27" i="1"/>
  <c r="Q27" i="1"/>
  <c r="R27" i="1"/>
  <c r="S27" i="1"/>
  <c r="T27" i="1"/>
  <c r="U27" i="1"/>
  <c r="V27" i="1"/>
  <c r="W27" i="1"/>
  <c r="X27" i="1"/>
  <c r="Y27" i="1"/>
  <c r="Z27" i="1"/>
  <c r="AA27" i="1"/>
  <c r="AB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BO27" i="1"/>
  <c r="D28" i="1"/>
  <c r="E28" i="1"/>
  <c r="F28" i="1"/>
  <c r="G28" i="1"/>
  <c r="H28" i="1"/>
  <c r="I28" i="1"/>
  <c r="J28" i="1"/>
  <c r="K28" i="1"/>
  <c r="L28" i="1"/>
  <c r="M28" i="1"/>
  <c r="N28" i="1"/>
  <c r="O28" i="1"/>
  <c r="Q28" i="1"/>
  <c r="R28" i="1"/>
  <c r="S28" i="1"/>
  <c r="T28" i="1"/>
  <c r="U28" i="1"/>
  <c r="V28" i="1"/>
  <c r="W28" i="1"/>
  <c r="X28" i="1"/>
  <c r="Y28" i="1"/>
  <c r="Z28" i="1"/>
  <c r="AA28" i="1"/>
  <c r="AB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BO28" i="1"/>
  <c r="D29" i="1"/>
  <c r="E29" i="1"/>
  <c r="F29" i="1"/>
  <c r="G29" i="1"/>
  <c r="H29" i="1"/>
  <c r="I29" i="1"/>
  <c r="J29" i="1"/>
  <c r="K29" i="1"/>
  <c r="L29" i="1"/>
  <c r="M29" i="1"/>
  <c r="N29" i="1"/>
  <c r="O29" i="1"/>
  <c r="Q29" i="1"/>
  <c r="R29" i="1"/>
  <c r="S29" i="1"/>
  <c r="T29" i="1"/>
  <c r="U29" i="1"/>
  <c r="V29" i="1"/>
  <c r="W29" i="1"/>
  <c r="X29" i="1"/>
  <c r="Y29" i="1"/>
  <c r="Z29" i="1"/>
  <c r="AA29" i="1"/>
  <c r="AB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BO29" i="1"/>
  <c r="D30" i="1"/>
  <c r="E30" i="1"/>
  <c r="F30" i="1"/>
  <c r="G30" i="1"/>
  <c r="H30" i="1"/>
  <c r="I30" i="1"/>
  <c r="J30" i="1"/>
  <c r="K30" i="1"/>
  <c r="L30" i="1"/>
  <c r="M30" i="1"/>
  <c r="N30" i="1"/>
  <c r="O30" i="1"/>
  <c r="Q30" i="1"/>
  <c r="R30" i="1"/>
  <c r="S30" i="1"/>
  <c r="T30" i="1"/>
  <c r="U30" i="1"/>
  <c r="V30" i="1"/>
  <c r="W30" i="1"/>
  <c r="X30" i="1"/>
  <c r="Y30" i="1"/>
  <c r="Z30" i="1"/>
  <c r="AA30" i="1"/>
  <c r="AB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BO30" i="1"/>
  <c r="D31" i="1"/>
  <c r="E31" i="1"/>
  <c r="F31" i="1"/>
  <c r="G31" i="1"/>
  <c r="H31" i="1"/>
  <c r="I31" i="1"/>
  <c r="J31" i="1"/>
  <c r="K31" i="1"/>
  <c r="L31" i="1"/>
  <c r="M31" i="1"/>
  <c r="N31" i="1"/>
  <c r="O31" i="1"/>
  <c r="Q31" i="1"/>
  <c r="R31" i="1"/>
  <c r="S31" i="1"/>
  <c r="T31" i="1"/>
  <c r="U31" i="1"/>
  <c r="V31" i="1"/>
  <c r="W31" i="1"/>
  <c r="X31" i="1"/>
  <c r="Y31" i="1"/>
  <c r="Z31" i="1"/>
  <c r="AA31" i="1"/>
  <c r="AB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BO31" i="1"/>
  <c r="D32" i="1"/>
  <c r="E32" i="1"/>
  <c r="F32" i="1"/>
  <c r="G32" i="1"/>
  <c r="H32" i="1"/>
  <c r="I32" i="1"/>
  <c r="J32" i="1"/>
  <c r="K32" i="1"/>
  <c r="L32" i="1"/>
  <c r="M32" i="1"/>
  <c r="N32" i="1"/>
  <c r="O32" i="1"/>
  <c r="Q32" i="1"/>
  <c r="R32" i="1"/>
  <c r="S32" i="1"/>
  <c r="T32" i="1"/>
  <c r="U32" i="1"/>
  <c r="V32" i="1"/>
  <c r="W32" i="1"/>
  <c r="X32" i="1"/>
  <c r="Y32" i="1"/>
  <c r="Z32" i="1"/>
  <c r="AA32" i="1"/>
  <c r="AB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BO32" i="1"/>
  <c r="D33" i="1"/>
  <c r="E33" i="1"/>
  <c r="F33" i="1"/>
  <c r="G33" i="1"/>
  <c r="H33" i="1"/>
  <c r="I33" i="1"/>
  <c r="J33" i="1"/>
  <c r="K33" i="1"/>
  <c r="L33" i="1"/>
  <c r="M33" i="1"/>
  <c r="N33" i="1"/>
  <c r="O33" i="1"/>
  <c r="Q33" i="1"/>
  <c r="R33" i="1"/>
  <c r="S33" i="1"/>
  <c r="T33" i="1"/>
  <c r="U33" i="1"/>
  <c r="V33" i="1"/>
  <c r="W33" i="1"/>
  <c r="X33" i="1"/>
  <c r="Y33" i="1"/>
  <c r="Z33" i="1"/>
  <c r="AA33" i="1"/>
  <c r="AB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BO33" i="1"/>
  <c r="D34" i="1"/>
  <c r="E34" i="1"/>
  <c r="F34" i="1"/>
  <c r="G34" i="1"/>
  <c r="H34" i="1"/>
  <c r="I34" i="1"/>
  <c r="J34" i="1"/>
  <c r="K34" i="1"/>
  <c r="L34" i="1"/>
  <c r="M34" i="1"/>
  <c r="N34" i="1"/>
  <c r="O34" i="1"/>
  <c r="Q34" i="1"/>
  <c r="R34" i="1"/>
  <c r="S34" i="1"/>
  <c r="T34" i="1"/>
  <c r="U34" i="1"/>
  <c r="V34" i="1"/>
  <c r="W34" i="1"/>
  <c r="X34" i="1"/>
  <c r="Y34" i="1"/>
  <c r="Z34" i="1"/>
  <c r="AA34" i="1"/>
  <c r="AB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BO34" i="1"/>
  <c r="D35" i="1"/>
  <c r="E35" i="1"/>
  <c r="F35" i="1"/>
  <c r="G35" i="1"/>
  <c r="H35" i="1"/>
  <c r="I35" i="1"/>
  <c r="J35" i="1"/>
  <c r="K35" i="1"/>
  <c r="L35" i="1"/>
  <c r="M35" i="1"/>
  <c r="N35" i="1"/>
  <c r="O35" i="1"/>
  <c r="Q35" i="1"/>
  <c r="R35" i="1"/>
  <c r="S35" i="1"/>
  <c r="T35" i="1"/>
  <c r="U35" i="1"/>
  <c r="V35" i="1"/>
  <c r="W35" i="1"/>
  <c r="X35" i="1"/>
  <c r="Y35" i="1"/>
  <c r="Z35" i="1"/>
  <c r="AA35" i="1"/>
  <c r="AB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BO35" i="1"/>
  <c r="D36" i="1"/>
  <c r="E36" i="1"/>
  <c r="F36" i="1"/>
  <c r="G36" i="1"/>
  <c r="H36" i="1"/>
  <c r="I36" i="1"/>
  <c r="J36" i="1"/>
  <c r="K36" i="1"/>
  <c r="L36" i="1"/>
  <c r="M36" i="1"/>
  <c r="N36" i="1"/>
  <c r="O36" i="1"/>
  <c r="Q36" i="1"/>
  <c r="R36" i="1"/>
  <c r="S36" i="1"/>
  <c r="T36" i="1"/>
  <c r="U36" i="1"/>
  <c r="V36" i="1"/>
  <c r="W36" i="1"/>
  <c r="X36" i="1"/>
  <c r="Y36" i="1"/>
  <c r="Z36" i="1"/>
  <c r="AA36" i="1"/>
  <c r="AB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BO36" i="1"/>
  <c r="D37" i="1"/>
  <c r="E37" i="1"/>
  <c r="F37" i="1"/>
  <c r="G37" i="1"/>
  <c r="H37" i="1"/>
  <c r="I37" i="1"/>
  <c r="J37" i="1"/>
  <c r="K37" i="1"/>
  <c r="L37" i="1"/>
  <c r="M37" i="1"/>
  <c r="N37" i="1"/>
  <c r="O37" i="1"/>
  <c r="Q37" i="1"/>
  <c r="R37" i="1"/>
  <c r="S37" i="1"/>
  <c r="T37" i="1"/>
  <c r="U37" i="1"/>
  <c r="V37" i="1"/>
  <c r="W37" i="1"/>
  <c r="X37" i="1"/>
  <c r="Y37" i="1"/>
  <c r="Z37" i="1"/>
  <c r="AA37" i="1"/>
  <c r="AB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BO37" i="1"/>
  <c r="D38" i="1"/>
  <c r="E38" i="1"/>
  <c r="F38" i="1"/>
  <c r="G38" i="1"/>
  <c r="H38" i="1"/>
  <c r="I38" i="1"/>
  <c r="J38" i="1"/>
  <c r="K38" i="1"/>
  <c r="L38" i="1"/>
  <c r="M38" i="1"/>
  <c r="N38" i="1"/>
  <c r="O38" i="1"/>
  <c r="Q38" i="1"/>
  <c r="R38" i="1"/>
  <c r="S38" i="1"/>
  <c r="T38" i="1"/>
  <c r="U38" i="1"/>
  <c r="V38" i="1"/>
  <c r="W38" i="1"/>
  <c r="X38" i="1"/>
  <c r="Y38" i="1"/>
  <c r="Z38" i="1"/>
  <c r="AA38" i="1"/>
  <c r="AB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BO38" i="1"/>
  <c r="D39" i="1"/>
  <c r="E39" i="1"/>
  <c r="F39" i="1"/>
  <c r="G39" i="1"/>
  <c r="H39" i="1"/>
  <c r="I39" i="1"/>
  <c r="J39" i="1"/>
  <c r="K39" i="1"/>
  <c r="L39" i="1"/>
  <c r="M39" i="1"/>
  <c r="N39" i="1"/>
  <c r="O39" i="1"/>
  <c r="Q39" i="1"/>
  <c r="R39" i="1"/>
  <c r="S39" i="1"/>
  <c r="T39" i="1"/>
  <c r="U39" i="1"/>
  <c r="V39" i="1"/>
  <c r="W39" i="1"/>
  <c r="X39" i="1"/>
  <c r="Y39" i="1"/>
  <c r="Z39" i="1"/>
  <c r="AA39" i="1"/>
  <c r="AB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BO39" i="1"/>
  <c r="D40" i="1"/>
  <c r="E40" i="1"/>
  <c r="F40" i="1"/>
  <c r="G40" i="1"/>
  <c r="H40" i="1"/>
  <c r="I40" i="1"/>
  <c r="J40" i="1"/>
  <c r="K40" i="1"/>
  <c r="L40" i="1"/>
  <c r="M40" i="1"/>
  <c r="N40" i="1"/>
  <c r="O40" i="1"/>
  <c r="Q40" i="1"/>
  <c r="R40" i="1"/>
  <c r="S40" i="1"/>
  <c r="T40" i="1"/>
  <c r="U40" i="1"/>
  <c r="V40" i="1"/>
  <c r="W40" i="1"/>
  <c r="X40" i="1"/>
  <c r="Y40" i="1"/>
  <c r="Z40" i="1"/>
  <c r="AA40" i="1"/>
  <c r="AB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BO40" i="1"/>
  <c r="D41" i="1"/>
  <c r="E41" i="1"/>
  <c r="F41" i="1"/>
  <c r="G41" i="1"/>
  <c r="H41" i="1"/>
  <c r="I41" i="1"/>
  <c r="J41" i="1"/>
  <c r="K41" i="1"/>
  <c r="L41" i="1"/>
  <c r="M41" i="1"/>
  <c r="N41" i="1"/>
  <c r="O41" i="1"/>
  <c r="Q41" i="1"/>
  <c r="R41" i="1"/>
  <c r="S41" i="1"/>
  <c r="T41" i="1"/>
  <c r="U41" i="1"/>
  <c r="V41" i="1"/>
  <c r="W41" i="1"/>
  <c r="X41" i="1"/>
  <c r="Y41" i="1"/>
  <c r="Z41" i="1"/>
  <c r="AA41" i="1"/>
  <c r="AB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BO41" i="1"/>
  <c r="D42" i="1"/>
  <c r="E42" i="1"/>
  <c r="F42" i="1"/>
  <c r="G42" i="1"/>
  <c r="H42" i="1"/>
  <c r="I42" i="1"/>
  <c r="J42" i="1"/>
  <c r="K42" i="1"/>
  <c r="L42" i="1"/>
  <c r="M42" i="1"/>
  <c r="N42" i="1"/>
  <c r="O42" i="1"/>
  <c r="Q42" i="1"/>
  <c r="R42" i="1"/>
  <c r="S42" i="1"/>
  <c r="T42" i="1"/>
  <c r="U42" i="1"/>
  <c r="V42" i="1"/>
  <c r="W42" i="1"/>
  <c r="X42" i="1"/>
  <c r="Y42" i="1"/>
  <c r="Z42" i="1"/>
  <c r="AA42" i="1"/>
  <c r="AB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BO42" i="1"/>
  <c r="D43" i="1"/>
  <c r="E43" i="1"/>
  <c r="F43" i="1"/>
  <c r="G43" i="1"/>
  <c r="H43" i="1"/>
  <c r="I43" i="1"/>
  <c r="J43" i="1"/>
  <c r="K43" i="1"/>
  <c r="L43" i="1"/>
  <c r="M43" i="1"/>
  <c r="N43" i="1"/>
  <c r="O43" i="1"/>
  <c r="Q43" i="1"/>
  <c r="R43" i="1"/>
  <c r="S43" i="1"/>
  <c r="T43" i="1"/>
  <c r="U43" i="1"/>
  <c r="V43" i="1"/>
  <c r="W43" i="1"/>
  <c r="X43" i="1"/>
  <c r="Y43" i="1"/>
  <c r="Z43" i="1"/>
  <c r="AA43" i="1"/>
  <c r="AB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BO43" i="1"/>
  <c r="D44" i="1"/>
  <c r="E44" i="1"/>
  <c r="F44" i="1"/>
  <c r="G44" i="1"/>
  <c r="H44" i="1"/>
  <c r="I44" i="1"/>
  <c r="J44" i="1"/>
  <c r="K44" i="1"/>
  <c r="L44" i="1"/>
  <c r="M44" i="1"/>
  <c r="N44" i="1"/>
  <c r="O44" i="1"/>
  <c r="Q44" i="1"/>
  <c r="R44" i="1"/>
  <c r="S44" i="1"/>
  <c r="T44" i="1"/>
  <c r="U44" i="1"/>
  <c r="V44" i="1"/>
  <c r="W44" i="1"/>
  <c r="X44" i="1"/>
  <c r="Y44" i="1"/>
  <c r="Z44" i="1"/>
  <c r="AA44" i="1"/>
  <c r="AB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BO44" i="1"/>
  <c r="D45" i="1"/>
  <c r="E45" i="1"/>
  <c r="F45" i="1"/>
  <c r="G45" i="1"/>
  <c r="H45" i="1"/>
  <c r="I45" i="1"/>
  <c r="J45" i="1"/>
  <c r="K45" i="1"/>
  <c r="L45" i="1"/>
  <c r="M45" i="1"/>
  <c r="N45" i="1"/>
  <c r="O45" i="1"/>
  <c r="Q45" i="1"/>
  <c r="R45" i="1"/>
  <c r="S45" i="1"/>
  <c r="T45" i="1"/>
  <c r="U45" i="1"/>
  <c r="V45" i="1"/>
  <c r="W45" i="1"/>
  <c r="X45" i="1"/>
  <c r="Y45" i="1"/>
  <c r="Z45" i="1"/>
  <c r="AA45" i="1"/>
  <c r="AB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BO45" i="1"/>
  <c r="D46" i="1"/>
  <c r="E46" i="1"/>
  <c r="F46" i="1"/>
  <c r="G46" i="1"/>
  <c r="H46" i="1"/>
  <c r="I46" i="1"/>
  <c r="J46" i="1"/>
  <c r="K46" i="1"/>
  <c r="L46" i="1"/>
  <c r="M46" i="1"/>
  <c r="N46" i="1"/>
  <c r="O46" i="1"/>
  <c r="Q46" i="1"/>
  <c r="R46" i="1"/>
  <c r="S46" i="1"/>
  <c r="T46" i="1"/>
  <c r="U46" i="1"/>
  <c r="V46" i="1"/>
  <c r="W46" i="1"/>
  <c r="X46" i="1"/>
  <c r="Y46" i="1"/>
  <c r="Z46" i="1"/>
  <c r="AA46" i="1"/>
  <c r="AB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BO46" i="1"/>
  <c r="D47" i="1"/>
  <c r="E47" i="1"/>
  <c r="F47" i="1"/>
  <c r="G47" i="1"/>
  <c r="H47" i="1"/>
  <c r="I47" i="1"/>
  <c r="J47" i="1"/>
  <c r="K47" i="1"/>
  <c r="L47" i="1"/>
  <c r="M47" i="1"/>
  <c r="N47" i="1"/>
  <c r="O47" i="1"/>
  <c r="Q47" i="1"/>
  <c r="R47" i="1"/>
  <c r="S47" i="1"/>
  <c r="T47" i="1"/>
  <c r="U47" i="1"/>
  <c r="V47" i="1"/>
  <c r="W47" i="1"/>
  <c r="X47" i="1"/>
  <c r="Y47" i="1"/>
  <c r="Z47" i="1"/>
  <c r="AA47" i="1"/>
  <c r="AB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BO47" i="1"/>
  <c r="D48" i="1"/>
  <c r="E48" i="1"/>
  <c r="F48" i="1"/>
  <c r="G48" i="1"/>
  <c r="H48" i="1"/>
  <c r="I48" i="1"/>
  <c r="J48" i="1"/>
  <c r="K48" i="1"/>
  <c r="L48" i="1"/>
  <c r="M48" i="1"/>
  <c r="N48" i="1"/>
  <c r="O48" i="1"/>
  <c r="Q48" i="1"/>
  <c r="R48" i="1"/>
  <c r="S48" i="1"/>
  <c r="T48" i="1"/>
  <c r="U48" i="1"/>
  <c r="V48" i="1"/>
  <c r="W48" i="1"/>
  <c r="X48" i="1"/>
  <c r="Y48" i="1"/>
  <c r="Z48" i="1"/>
  <c r="AA48" i="1"/>
  <c r="AB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BO48" i="1"/>
  <c r="D49" i="1"/>
  <c r="E49" i="1"/>
  <c r="F49" i="1"/>
  <c r="G49" i="1"/>
  <c r="H49" i="1"/>
  <c r="I49" i="1"/>
  <c r="J49" i="1"/>
  <c r="K49" i="1"/>
  <c r="L49" i="1"/>
  <c r="M49" i="1"/>
  <c r="N49" i="1"/>
  <c r="O49" i="1"/>
  <c r="Q49" i="1"/>
  <c r="R49" i="1"/>
  <c r="S49" i="1"/>
  <c r="T49" i="1"/>
  <c r="U49" i="1"/>
  <c r="V49" i="1"/>
  <c r="W49" i="1"/>
  <c r="X49" i="1"/>
  <c r="Y49" i="1"/>
  <c r="Z49" i="1"/>
  <c r="AA49" i="1"/>
  <c r="AB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BO49" i="1"/>
  <c r="D50" i="1"/>
  <c r="E50" i="1"/>
  <c r="F50" i="1"/>
  <c r="G50" i="1"/>
  <c r="H50" i="1"/>
  <c r="I50" i="1"/>
  <c r="J50" i="1"/>
  <c r="K50" i="1"/>
  <c r="L50" i="1"/>
  <c r="M50" i="1"/>
  <c r="N50" i="1"/>
  <c r="O50" i="1"/>
  <c r="Q50" i="1"/>
  <c r="R50" i="1"/>
  <c r="S50" i="1"/>
  <c r="T50" i="1"/>
  <c r="U50" i="1"/>
  <c r="V50" i="1"/>
  <c r="W50" i="1"/>
  <c r="X50" i="1"/>
  <c r="Y50" i="1"/>
  <c r="Z50" i="1"/>
  <c r="AA50" i="1"/>
  <c r="AB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BO50" i="1"/>
  <c r="D51" i="1"/>
  <c r="E51" i="1"/>
  <c r="F51" i="1"/>
  <c r="G51" i="1"/>
  <c r="H51" i="1"/>
  <c r="I51" i="1"/>
  <c r="J51" i="1"/>
  <c r="K51" i="1"/>
  <c r="L51" i="1"/>
  <c r="M51" i="1"/>
  <c r="N51" i="1"/>
  <c r="O51" i="1"/>
  <c r="Q51" i="1"/>
  <c r="R51" i="1"/>
  <c r="S51" i="1"/>
  <c r="T51" i="1"/>
  <c r="U51" i="1"/>
  <c r="V51" i="1"/>
  <c r="W51" i="1"/>
  <c r="X51" i="1"/>
  <c r="Y51" i="1"/>
  <c r="Z51" i="1"/>
  <c r="AA51" i="1"/>
  <c r="AB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BO51" i="1"/>
  <c r="D52" i="1"/>
  <c r="E52" i="1"/>
  <c r="F52" i="1"/>
  <c r="G52" i="1"/>
  <c r="H52" i="1"/>
  <c r="I52" i="1"/>
  <c r="J52" i="1"/>
  <c r="K52" i="1"/>
  <c r="L52" i="1"/>
  <c r="M52" i="1"/>
  <c r="N52" i="1"/>
  <c r="O52" i="1"/>
  <c r="Q52" i="1"/>
  <c r="R52" i="1"/>
  <c r="S52" i="1"/>
  <c r="T52" i="1"/>
  <c r="U52" i="1"/>
  <c r="V52" i="1"/>
  <c r="W52" i="1"/>
  <c r="X52" i="1"/>
  <c r="Y52" i="1"/>
  <c r="Z52" i="1"/>
  <c r="AA52" i="1"/>
  <c r="AB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BO52" i="1"/>
  <c r="D53" i="1"/>
  <c r="E53" i="1"/>
  <c r="F53" i="1"/>
  <c r="G53" i="1"/>
  <c r="H53" i="1"/>
  <c r="I53" i="1"/>
  <c r="J53" i="1"/>
  <c r="K53" i="1"/>
  <c r="L53" i="1"/>
  <c r="M53" i="1"/>
  <c r="N53" i="1"/>
  <c r="O53" i="1"/>
  <c r="Q53" i="1"/>
  <c r="R53" i="1"/>
  <c r="S53" i="1"/>
  <c r="T53" i="1"/>
  <c r="U53" i="1"/>
  <c r="V53" i="1"/>
  <c r="W53" i="1"/>
  <c r="X53" i="1"/>
  <c r="Y53" i="1"/>
  <c r="Z53" i="1"/>
  <c r="AA53" i="1"/>
  <c r="AB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BO53" i="1"/>
  <c r="D54" i="1"/>
  <c r="E54" i="1"/>
  <c r="F54" i="1"/>
  <c r="G54" i="1"/>
  <c r="H54" i="1"/>
  <c r="I54" i="1"/>
  <c r="J54" i="1"/>
  <c r="K54" i="1"/>
  <c r="L54" i="1"/>
  <c r="M54" i="1"/>
  <c r="N54" i="1"/>
  <c r="O54" i="1"/>
  <c r="Q54" i="1"/>
  <c r="R54" i="1"/>
  <c r="S54" i="1"/>
  <c r="T54" i="1"/>
  <c r="U54" i="1"/>
  <c r="V54" i="1"/>
  <c r="W54" i="1"/>
  <c r="X54" i="1"/>
  <c r="Y54" i="1"/>
  <c r="Z54" i="1"/>
  <c r="AA54" i="1"/>
  <c r="AB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BO54" i="1"/>
  <c r="D55" i="1"/>
  <c r="E55" i="1"/>
  <c r="F55" i="1"/>
  <c r="G55" i="1"/>
  <c r="H55" i="1"/>
  <c r="I55" i="1"/>
  <c r="J55" i="1"/>
  <c r="K55" i="1"/>
  <c r="L55" i="1"/>
  <c r="M55" i="1"/>
  <c r="N55" i="1"/>
  <c r="O55" i="1"/>
  <c r="Q55" i="1"/>
  <c r="R55" i="1"/>
  <c r="S55" i="1"/>
  <c r="T55" i="1"/>
  <c r="U55" i="1"/>
  <c r="V55" i="1"/>
  <c r="W55" i="1"/>
  <c r="X55" i="1"/>
  <c r="Y55" i="1"/>
  <c r="Z55" i="1"/>
  <c r="AA55" i="1"/>
  <c r="AB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BO55" i="1"/>
  <c r="D56" i="1"/>
  <c r="E56" i="1"/>
  <c r="F56" i="1"/>
  <c r="G56" i="1"/>
  <c r="H56" i="1"/>
  <c r="I56" i="1"/>
  <c r="J56" i="1"/>
  <c r="K56" i="1"/>
  <c r="L56" i="1"/>
  <c r="M56" i="1"/>
  <c r="N56" i="1"/>
  <c r="O56" i="1"/>
  <c r="Q56" i="1"/>
  <c r="R56" i="1"/>
  <c r="S56" i="1"/>
  <c r="T56" i="1"/>
  <c r="U56" i="1"/>
  <c r="V56" i="1"/>
  <c r="W56" i="1"/>
  <c r="X56" i="1"/>
  <c r="Y56" i="1"/>
  <c r="Z56" i="1"/>
  <c r="AA56" i="1"/>
  <c r="AB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BO56" i="1"/>
  <c r="D57" i="1"/>
  <c r="E57" i="1"/>
  <c r="F57" i="1"/>
  <c r="G57" i="1"/>
  <c r="H57" i="1"/>
  <c r="I57" i="1"/>
  <c r="J57" i="1"/>
  <c r="K57" i="1"/>
  <c r="L57" i="1"/>
  <c r="M57" i="1"/>
  <c r="N57" i="1"/>
  <c r="O57" i="1"/>
  <c r="Q57" i="1"/>
  <c r="R57" i="1"/>
  <c r="S57" i="1"/>
  <c r="T57" i="1"/>
  <c r="U57" i="1"/>
  <c r="V57" i="1"/>
  <c r="W57" i="1"/>
  <c r="X57" i="1"/>
  <c r="Y57" i="1"/>
  <c r="Z57" i="1"/>
  <c r="AA57" i="1"/>
  <c r="AB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BO57" i="1"/>
  <c r="D58" i="1"/>
  <c r="E58" i="1"/>
  <c r="F58" i="1"/>
  <c r="G58" i="1"/>
  <c r="H58" i="1"/>
  <c r="I58" i="1"/>
  <c r="J58" i="1"/>
  <c r="K58" i="1"/>
  <c r="L58" i="1"/>
  <c r="M58" i="1"/>
  <c r="N58" i="1"/>
  <c r="O58" i="1"/>
  <c r="Q58" i="1"/>
  <c r="R58" i="1"/>
  <c r="S58" i="1"/>
  <c r="T58" i="1"/>
  <c r="U58" i="1"/>
  <c r="V58" i="1"/>
  <c r="W58" i="1"/>
  <c r="X58" i="1"/>
  <c r="Y58" i="1"/>
  <c r="Z58" i="1"/>
  <c r="AA58" i="1"/>
  <c r="AB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BO58" i="1"/>
  <c r="D59" i="1"/>
  <c r="E59" i="1"/>
  <c r="F59" i="1"/>
  <c r="G59" i="1"/>
  <c r="H59" i="1"/>
  <c r="I59" i="1"/>
  <c r="J59" i="1"/>
  <c r="K59" i="1"/>
  <c r="L59" i="1"/>
  <c r="M59" i="1"/>
  <c r="N59" i="1"/>
  <c r="O59" i="1"/>
  <c r="Q59" i="1"/>
  <c r="R59" i="1"/>
  <c r="S59" i="1"/>
  <c r="T59" i="1"/>
  <c r="U59" i="1"/>
  <c r="V59" i="1"/>
  <c r="W59" i="1"/>
  <c r="X59" i="1"/>
  <c r="Y59" i="1"/>
  <c r="Z59" i="1"/>
  <c r="AA59" i="1"/>
  <c r="AB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BO59" i="1"/>
  <c r="D60" i="1"/>
  <c r="E60" i="1"/>
  <c r="F60" i="1"/>
  <c r="G60" i="1"/>
  <c r="H60" i="1"/>
  <c r="I60" i="1"/>
  <c r="J60" i="1"/>
  <c r="K60" i="1"/>
  <c r="L60" i="1"/>
  <c r="M60" i="1"/>
  <c r="N60" i="1"/>
  <c r="O60" i="1"/>
  <c r="Q60" i="1"/>
  <c r="R60" i="1"/>
  <c r="S60" i="1"/>
  <c r="T60" i="1"/>
  <c r="U60" i="1"/>
  <c r="V60" i="1"/>
  <c r="W60" i="1"/>
  <c r="X60" i="1"/>
  <c r="Y60" i="1"/>
  <c r="Z60" i="1"/>
  <c r="AA60" i="1"/>
  <c r="AB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BO60" i="1"/>
  <c r="D61" i="1"/>
  <c r="E61" i="1"/>
  <c r="F61" i="1"/>
  <c r="G61" i="1"/>
  <c r="H61" i="1"/>
  <c r="I61" i="1"/>
  <c r="J61" i="1"/>
  <c r="K61" i="1"/>
  <c r="L61" i="1"/>
  <c r="M61" i="1"/>
  <c r="N61" i="1"/>
  <c r="O61" i="1"/>
  <c r="Q61" i="1"/>
  <c r="R61" i="1"/>
  <c r="S61" i="1"/>
  <c r="T61" i="1"/>
  <c r="U61" i="1"/>
  <c r="V61" i="1"/>
  <c r="W61" i="1"/>
  <c r="X61" i="1"/>
  <c r="Y61" i="1"/>
  <c r="Z61" i="1"/>
  <c r="AA61" i="1"/>
  <c r="AB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BO61" i="1"/>
  <c r="D62" i="1"/>
  <c r="E62" i="1"/>
  <c r="F62" i="1"/>
  <c r="G62" i="1"/>
  <c r="H62" i="1"/>
  <c r="I62" i="1"/>
  <c r="J62" i="1"/>
  <c r="K62" i="1"/>
  <c r="L62" i="1"/>
  <c r="M62" i="1"/>
  <c r="N62" i="1"/>
  <c r="O62" i="1"/>
  <c r="Q62" i="1"/>
  <c r="R62" i="1"/>
  <c r="S62" i="1"/>
  <c r="T62" i="1"/>
  <c r="U62" i="1"/>
  <c r="V62" i="1"/>
  <c r="W62" i="1"/>
  <c r="X62" i="1"/>
  <c r="Y62" i="1"/>
  <c r="Z62" i="1"/>
  <c r="AA62" i="1"/>
  <c r="AB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BO62" i="1"/>
  <c r="D63" i="1"/>
  <c r="E63" i="1"/>
  <c r="F63" i="1"/>
  <c r="G63" i="1"/>
  <c r="H63" i="1"/>
  <c r="I63" i="1"/>
  <c r="J63" i="1"/>
  <c r="K63" i="1"/>
  <c r="L63" i="1"/>
  <c r="M63" i="1"/>
  <c r="N63" i="1"/>
  <c r="O63" i="1"/>
  <c r="Q63" i="1"/>
  <c r="R63" i="1"/>
  <c r="S63" i="1"/>
  <c r="T63" i="1"/>
  <c r="U63" i="1"/>
  <c r="V63" i="1"/>
  <c r="W63" i="1"/>
  <c r="X63" i="1"/>
  <c r="Y63" i="1"/>
  <c r="Z63" i="1"/>
  <c r="AA63" i="1"/>
  <c r="AB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BO63" i="1"/>
  <c r="D64" i="1"/>
  <c r="E64" i="1"/>
  <c r="F64" i="1"/>
  <c r="G64" i="1"/>
  <c r="H64" i="1"/>
  <c r="I64" i="1"/>
  <c r="J64" i="1"/>
  <c r="K64" i="1"/>
  <c r="L64" i="1"/>
  <c r="M64" i="1"/>
  <c r="N64" i="1"/>
  <c r="O64" i="1"/>
  <c r="Q64" i="1"/>
  <c r="R64" i="1"/>
  <c r="S64" i="1"/>
  <c r="T64" i="1"/>
  <c r="U64" i="1"/>
  <c r="V64" i="1"/>
  <c r="W64" i="1"/>
  <c r="X64" i="1"/>
  <c r="Y64" i="1"/>
  <c r="Z64" i="1"/>
  <c r="AA64" i="1"/>
  <c r="AB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BO64" i="1"/>
  <c r="D65" i="1"/>
  <c r="E65" i="1"/>
  <c r="F65" i="1"/>
  <c r="G65" i="1"/>
  <c r="H65" i="1"/>
  <c r="I65" i="1"/>
  <c r="J65" i="1"/>
  <c r="K65" i="1"/>
  <c r="L65" i="1"/>
  <c r="M65" i="1"/>
  <c r="N65" i="1"/>
  <c r="O65" i="1"/>
  <c r="Q65" i="1"/>
  <c r="R65" i="1"/>
  <c r="S65" i="1"/>
  <c r="T65" i="1"/>
  <c r="U65" i="1"/>
  <c r="V65" i="1"/>
  <c r="W65" i="1"/>
  <c r="X65" i="1"/>
  <c r="Y65" i="1"/>
  <c r="Z65" i="1"/>
  <c r="AA65" i="1"/>
  <c r="AB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BO65" i="1"/>
  <c r="D66" i="1"/>
  <c r="E66" i="1"/>
  <c r="F66" i="1"/>
  <c r="G66" i="1"/>
  <c r="H66" i="1"/>
  <c r="I66" i="1"/>
  <c r="J66" i="1"/>
  <c r="K66" i="1"/>
  <c r="L66" i="1"/>
  <c r="M66" i="1"/>
  <c r="N66" i="1"/>
  <c r="O66" i="1"/>
  <c r="Q66" i="1"/>
  <c r="R66" i="1"/>
  <c r="S66" i="1"/>
  <c r="T66" i="1"/>
  <c r="U66" i="1"/>
  <c r="V66" i="1"/>
  <c r="W66" i="1"/>
  <c r="X66" i="1"/>
  <c r="Y66" i="1"/>
  <c r="Z66" i="1"/>
  <c r="AA66" i="1"/>
  <c r="AB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BO66" i="1"/>
  <c r="D67" i="1"/>
  <c r="E67" i="1"/>
  <c r="F67" i="1"/>
  <c r="G67" i="1"/>
  <c r="H67" i="1"/>
  <c r="I67" i="1"/>
  <c r="J67" i="1"/>
  <c r="K67" i="1"/>
  <c r="L67" i="1"/>
  <c r="M67" i="1"/>
  <c r="N67" i="1"/>
  <c r="O67" i="1"/>
  <c r="Q67" i="1"/>
  <c r="R67" i="1"/>
  <c r="S67" i="1"/>
  <c r="T67" i="1"/>
  <c r="U67" i="1"/>
  <c r="V67" i="1"/>
  <c r="W67" i="1"/>
  <c r="X67" i="1"/>
  <c r="Y67" i="1"/>
  <c r="Z67" i="1"/>
  <c r="AA67" i="1"/>
  <c r="AB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BO67" i="1"/>
  <c r="D68" i="1"/>
  <c r="E68" i="1"/>
  <c r="F68" i="1"/>
  <c r="G68" i="1"/>
  <c r="H68" i="1"/>
  <c r="I68" i="1"/>
  <c r="J68" i="1"/>
  <c r="K68" i="1"/>
  <c r="L68" i="1"/>
  <c r="M68" i="1"/>
  <c r="N68" i="1"/>
  <c r="O68" i="1"/>
  <c r="Q68" i="1"/>
  <c r="R68" i="1"/>
  <c r="S68" i="1"/>
  <c r="T68" i="1"/>
  <c r="U68" i="1"/>
  <c r="V68" i="1"/>
  <c r="W68" i="1"/>
  <c r="X68" i="1"/>
  <c r="Y68" i="1"/>
  <c r="Z68" i="1"/>
  <c r="AA68" i="1"/>
  <c r="AB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BO68" i="1"/>
  <c r="D69" i="1"/>
  <c r="E69" i="1"/>
  <c r="F69" i="1"/>
  <c r="G69" i="1"/>
  <c r="H69" i="1"/>
  <c r="I69" i="1"/>
  <c r="J69" i="1"/>
  <c r="K69" i="1"/>
  <c r="L69" i="1"/>
  <c r="M69" i="1"/>
  <c r="N69" i="1"/>
  <c r="O69" i="1"/>
  <c r="Q69" i="1"/>
  <c r="R69" i="1"/>
  <c r="S69" i="1"/>
  <c r="T69" i="1"/>
  <c r="U69" i="1"/>
  <c r="V69" i="1"/>
  <c r="W69" i="1"/>
  <c r="X69" i="1"/>
  <c r="Y69" i="1"/>
  <c r="Z69" i="1"/>
  <c r="AA69" i="1"/>
  <c r="AB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BO69" i="1"/>
  <c r="D70" i="1"/>
  <c r="E70" i="1"/>
  <c r="F70" i="1"/>
  <c r="G70" i="1"/>
  <c r="H70" i="1"/>
  <c r="I70" i="1"/>
  <c r="J70" i="1"/>
  <c r="K70" i="1"/>
  <c r="L70" i="1"/>
  <c r="M70" i="1"/>
  <c r="N70" i="1"/>
  <c r="O70" i="1"/>
  <c r="Q70" i="1"/>
  <c r="R70" i="1"/>
  <c r="S70" i="1"/>
  <c r="T70" i="1"/>
  <c r="U70" i="1"/>
  <c r="V70" i="1"/>
  <c r="W70" i="1"/>
  <c r="X70" i="1"/>
  <c r="Y70" i="1"/>
  <c r="Z70" i="1"/>
  <c r="AA70" i="1"/>
  <c r="AB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BO70" i="1"/>
  <c r="D71" i="1"/>
  <c r="E71" i="1"/>
  <c r="F71" i="1"/>
  <c r="G71" i="1"/>
  <c r="H71" i="1"/>
  <c r="I71" i="1"/>
  <c r="J71" i="1"/>
  <c r="K71" i="1"/>
  <c r="L71" i="1"/>
  <c r="M71" i="1"/>
  <c r="N71" i="1"/>
  <c r="O71" i="1"/>
  <c r="Q71" i="1"/>
  <c r="R71" i="1"/>
  <c r="S71" i="1"/>
  <c r="T71" i="1"/>
  <c r="U71" i="1"/>
  <c r="V71" i="1"/>
  <c r="W71" i="1"/>
  <c r="X71" i="1"/>
  <c r="Y71" i="1"/>
  <c r="Z71" i="1"/>
  <c r="AA71" i="1"/>
  <c r="AB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BO71" i="1"/>
  <c r="D72" i="1"/>
  <c r="E72" i="1"/>
  <c r="F72" i="1"/>
  <c r="G72" i="1"/>
  <c r="H72" i="1"/>
  <c r="I72" i="1"/>
  <c r="J72" i="1"/>
  <c r="K72" i="1"/>
  <c r="L72" i="1"/>
  <c r="M72" i="1"/>
  <c r="N72" i="1"/>
  <c r="O72" i="1"/>
  <c r="Q72" i="1"/>
  <c r="R72" i="1"/>
  <c r="S72" i="1"/>
  <c r="T72" i="1"/>
  <c r="U72" i="1"/>
  <c r="V72" i="1"/>
  <c r="W72" i="1"/>
  <c r="X72" i="1"/>
  <c r="Y72" i="1"/>
  <c r="Z72" i="1"/>
  <c r="AA72" i="1"/>
  <c r="AB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BO72" i="1"/>
  <c r="D73" i="1"/>
  <c r="E73" i="1"/>
  <c r="F73" i="1"/>
  <c r="G73" i="1"/>
  <c r="H73" i="1"/>
  <c r="I73" i="1"/>
  <c r="J73" i="1"/>
  <c r="K73" i="1"/>
  <c r="L73" i="1"/>
  <c r="M73" i="1"/>
  <c r="N73" i="1"/>
  <c r="O73" i="1"/>
  <c r="Q73" i="1"/>
  <c r="R73" i="1"/>
  <c r="S73" i="1"/>
  <c r="T73" i="1"/>
  <c r="U73" i="1"/>
  <c r="V73" i="1"/>
  <c r="W73" i="1"/>
  <c r="X73" i="1"/>
  <c r="Y73" i="1"/>
  <c r="Z73" i="1"/>
  <c r="AA73" i="1"/>
  <c r="AB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BO73" i="1"/>
  <c r="D74" i="1"/>
  <c r="E74" i="1"/>
  <c r="F74" i="1"/>
  <c r="G74" i="1"/>
  <c r="H74" i="1"/>
  <c r="I74" i="1"/>
  <c r="J74" i="1"/>
  <c r="K74" i="1"/>
  <c r="L74" i="1"/>
  <c r="M74" i="1"/>
  <c r="N74" i="1"/>
  <c r="O74" i="1"/>
  <c r="Q74" i="1"/>
  <c r="R74" i="1"/>
  <c r="S74" i="1"/>
  <c r="T74" i="1"/>
  <c r="U74" i="1"/>
  <c r="V74" i="1"/>
  <c r="W74" i="1"/>
  <c r="X74" i="1"/>
  <c r="Y74" i="1"/>
  <c r="Z74" i="1"/>
  <c r="AA74" i="1"/>
  <c r="AB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BO74" i="1"/>
  <c r="D75" i="1"/>
  <c r="E75" i="1"/>
  <c r="F75" i="1"/>
  <c r="G75" i="1"/>
  <c r="H75" i="1"/>
  <c r="I75" i="1"/>
  <c r="J75" i="1"/>
  <c r="K75" i="1"/>
  <c r="L75" i="1"/>
  <c r="M75" i="1"/>
  <c r="N75" i="1"/>
  <c r="O75" i="1"/>
  <c r="Q75" i="1"/>
  <c r="R75" i="1"/>
  <c r="S75" i="1"/>
  <c r="T75" i="1"/>
  <c r="U75" i="1"/>
  <c r="V75" i="1"/>
  <c r="W75" i="1"/>
  <c r="X75" i="1"/>
  <c r="Y75" i="1"/>
  <c r="Z75" i="1"/>
  <c r="AA75" i="1"/>
  <c r="AB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BO75" i="1"/>
  <c r="D76" i="1"/>
  <c r="E76" i="1"/>
  <c r="F76" i="1"/>
  <c r="G76" i="1"/>
  <c r="H76" i="1"/>
  <c r="I76" i="1"/>
  <c r="J76" i="1"/>
  <c r="K76" i="1"/>
  <c r="L76" i="1"/>
  <c r="M76" i="1"/>
  <c r="N76" i="1"/>
  <c r="O76" i="1"/>
  <c r="Q76" i="1"/>
  <c r="R76" i="1"/>
  <c r="S76" i="1"/>
  <c r="T76" i="1"/>
  <c r="U76" i="1"/>
  <c r="V76" i="1"/>
  <c r="W76" i="1"/>
  <c r="X76" i="1"/>
  <c r="Y76" i="1"/>
  <c r="Z76" i="1"/>
  <c r="AA76" i="1"/>
  <c r="AB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D77" i="1"/>
  <c r="E77" i="1"/>
  <c r="F77" i="1"/>
  <c r="G77" i="1"/>
  <c r="H77" i="1"/>
  <c r="I77" i="1"/>
  <c r="J77" i="1"/>
  <c r="K77" i="1"/>
  <c r="L77" i="1"/>
  <c r="M77" i="1"/>
  <c r="N77" i="1"/>
  <c r="O77" i="1"/>
  <c r="Q77" i="1"/>
  <c r="R77" i="1"/>
  <c r="S77" i="1"/>
  <c r="T77" i="1"/>
  <c r="U77" i="1"/>
  <c r="V77" i="1"/>
  <c r="W77" i="1"/>
  <c r="X77" i="1"/>
  <c r="Y77" i="1"/>
  <c r="Z77" i="1"/>
  <c r="AA77" i="1"/>
  <c r="AB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D78" i="1"/>
  <c r="E78" i="1"/>
  <c r="F78" i="1"/>
  <c r="G78" i="1"/>
  <c r="H78" i="1"/>
  <c r="I78" i="1"/>
  <c r="J78" i="1"/>
  <c r="K78" i="1"/>
  <c r="L78" i="1"/>
  <c r="M78" i="1"/>
  <c r="N78" i="1"/>
  <c r="O78" i="1"/>
  <c r="Q78" i="1"/>
  <c r="R78" i="1"/>
  <c r="S78" i="1"/>
  <c r="T78" i="1"/>
  <c r="U78" i="1"/>
  <c r="V78" i="1"/>
  <c r="W78" i="1"/>
  <c r="X78" i="1"/>
  <c r="Y78" i="1"/>
  <c r="Z78" i="1"/>
  <c r="AA78" i="1"/>
  <c r="AB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D79" i="1"/>
  <c r="E79" i="1"/>
  <c r="F79" i="1"/>
  <c r="G79" i="1"/>
  <c r="H79" i="1"/>
  <c r="I79" i="1"/>
  <c r="J79" i="1"/>
  <c r="K79" i="1"/>
  <c r="L79" i="1"/>
  <c r="M79" i="1"/>
  <c r="N79" i="1"/>
  <c r="O79" i="1"/>
  <c r="Q79" i="1"/>
  <c r="R79" i="1"/>
  <c r="S79" i="1"/>
  <c r="T79" i="1"/>
  <c r="U79" i="1"/>
  <c r="V79" i="1"/>
  <c r="W79" i="1"/>
  <c r="X79" i="1"/>
  <c r="Y79" i="1"/>
  <c r="Z79" i="1"/>
  <c r="AA79" i="1"/>
  <c r="AB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D80" i="1"/>
  <c r="E80" i="1"/>
  <c r="F80" i="1"/>
  <c r="G80" i="1"/>
  <c r="H80" i="1"/>
  <c r="I80" i="1"/>
  <c r="J80" i="1"/>
  <c r="K80" i="1"/>
  <c r="L80" i="1"/>
  <c r="M80" i="1"/>
  <c r="N80" i="1"/>
  <c r="O80" i="1"/>
  <c r="Q80" i="1"/>
  <c r="R80" i="1"/>
  <c r="S80" i="1"/>
  <c r="T80" i="1"/>
  <c r="U80" i="1"/>
  <c r="V80" i="1"/>
  <c r="W80" i="1"/>
  <c r="X80" i="1"/>
  <c r="Y80" i="1"/>
  <c r="Z80" i="1"/>
  <c r="AA80" i="1"/>
  <c r="AB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D81" i="1"/>
  <c r="E81" i="1"/>
  <c r="F81" i="1"/>
  <c r="G81" i="1"/>
  <c r="H81" i="1"/>
  <c r="I81" i="1"/>
  <c r="J81" i="1"/>
  <c r="K81" i="1"/>
  <c r="L81" i="1"/>
  <c r="M81" i="1"/>
  <c r="N81" i="1"/>
  <c r="O81" i="1"/>
  <c r="Q81" i="1"/>
  <c r="R81" i="1"/>
  <c r="S81" i="1"/>
  <c r="T81" i="1"/>
  <c r="U81" i="1"/>
  <c r="V81" i="1"/>
  <c r="W81" i="1"/>
  <c r="X81" i="1"/>
  <c r="Y81" i="1"/>
  <c r="Z81" i="1"/>
  <c r="AA81" i="1"/>
  <c r="AB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D82" i="1"/>
  <c r="E82" i="1"/>
  <c r="F82" i="1"/>
  <c r="G82" i="1"/>
  <c r="H82" i="1"/>
  <c r="I82" i="1"/>
  <c r="J82" i="1"/>
  <c r="K82" i="1"/>
  <c r="L82" i="1"/>
  <c r="M82" i="1"/>
  <c r="N82" i="1"/>
  <c r="O82" i="1"/>
  <c r="Q82" i="1"/>
  <c r="R82" i="1"/>
  <c r="S82" i="1"/>
  <c r="T82" i="1"/>
  <c r="U82" i="1"/>
  <c r="V82" i="1"/>
  <c r="W82" i="1"/>
  <c r="X82" i="1"/>
  <c r="Y82" i="1"/>
  <c r="Z82" i="1"/>
  <c r="AA82" i="1"/>
  <c r="AB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D83" i="1"/>
  <c r="E83" i="1"/>
  <c r="F83" i="1"/>
  <c r="G83" i="1"/>
  <c r="H83" i="1"/>
  <c r="I83" i="1"/>
  <c r="J83" i="1"/>
  <c r="K83" i="1"/>
  <c r="L83" i="1"/>
  <c r="M83" i="1"/>
  <c r="N83" i="1"/>
  <c r="O83" i="1"/>
  <c r="Q83" i="1"/>
  <c r="R83" i="1"/>
  <c r="S83" i="1"/>
  <c r="T83" i="1"/>
  <c r="U83" i="1"/>
  <c r="V83" i="1"/>
  <c r="W83" i="1"/>
  <c r="X83" i="1"/>
  <c r="Y83" i="1"/>
  <c r="Z83" i="1"/>
  <c r="AA83" i="1"/>
  <c r="AB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D84" i="1"/>
  <c r="E84" i="1"/>
  <c r="F84" i="1"/>
  <c r="G84" i="1"/>
  <c r="H84" i="1"/>
  <c r="I84" i="1"/>
  <c r="J84" i="1"/>
  <c r="K84" i="1"/>
  <c r="L84" i="1"/>
  <c r="M84" i="1"/>
  <c r="N84" i="1"/>
  <c r="O84" i="1"/>
  <c r="Q84" i="1"/>
  <c r="R84" i="1"/>
  <c r="S84" i="1"/>
  <c r="T84" i="1"/>
  <c r="U84" i="1"/>
  <c r="V84" i="1"/>
  <c r="W84" i="1"/>
  <c r="X84" i="1"/>
  <c r="Y84" i="1"/>
  <c r="Z84" i="1"/>
  <c r="AA84" i="1"/>
  <c r="AB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D85" i="1"/>
  <c r="E85" i="1"/>
  <c r="F85" i="1"/>
  <c r="G85" i="1"/>
  <c r="H85" i="1"/>
  <c r="I85" i="1"/>
  <c r="J85" i="1"/>
  <c r="K85" i="1"/>
  <c r="L85" i="1"/>
  <c r="M85" i="1"/>
  <c r="N85" i="1"/>
  <c r="O85" i="1"/>
  <c r="Q85" i="1"/>
  <c r="R85" i="1"/>
  <c r="S85" i="1"/>
  <c r="T85" i="1"/>
  <c r="U85" i="1"/>
  <c r="V85" i="1"/>
  <c r="W85" i="1"/>
  <c r="X85" i="1"/>
  <c r="Y85" i="1"/>
  <c r="Z85" i="1"/>
  <c r="AA85" i="1"/>
  <c r="AB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D86" i="1"/>
  <c r="E86" i="1"/>
  <c r="F86" i="1"/>
  <c r="G86" i="1"/>
  <c r="H86" i="1"/>
  <c r="I86" i="1"/>
  <c r="J86" i="1"/>
  <c r="K86" i="1"/>
  <c r="L86" i="1"/>
  <c r="M86" i="1"/>
  <c r="N86" i="1"/>
  <c r="O86" i="1"/>
  <c r="Q86" i="1"/>
  <c r="R86" i="1"/>
  <c r="S86" i="1"/>
  <c r="T86" i="1"/>
  <c r="U86" i="1"/>
  <c r="V86" i="1"/>
  <c r="W86" i="1"/>
  <c r="X86" i="1"/>
  <c r="Y86" i="1"/>
  <c r="Z86" i="1"/>
  <c r="AA86" i="1"/>
  <c r="AB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D87" i="1"/>
  <c r="E87" i="1"/>
  <c r="F87" i="1"/>
  <c r="G87" i="1"/>
  <c r="H87" i="1"/>
  <c r="I87" i="1"/>
  <c r="J87" i="1"/>
  <c r="K87" i="1"/>
  <c r="L87" i="1"/>
  <c r="M87" i="1"/>
  <c r="N87" i="1"/>
  <c r="O87" i="1"/>
  <c r="Q87" i="1"/>
  <c r="R87" i="1"/>
  <c r="S87" i="1"/>
  <c r="T87" i="1"/>
  <c r="U87" i="1"/>
  <c r="V87" i="1"/>
  <c r="W87" i="1"/>
  <c r="X87" i="1"/>
  <c r="Y87" i="1"/>
  <c r="Z87" i="1"/>
  <c r="AA87" i="1"/>
  <c r="AB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D88" i="1"/>
  <c r="E88" i="1"/>
  <c r="F88" i="1"/>
  <c r="G88" i="1"/>
  <c r="H88" i="1"/>
  <c r="I88" i="1"/>
  <c r="J88" i="1"/>
  <c r="K88" i="1"/>
  <c r="L88" i="1"/>
  <c r="M88" i="1"/>
  <c r="N88" i="1"/>
  <c r="O88" i="1"/>
  <c r="Q88" i="1"/>
  <c r="R88" i="1"/>
  <c r="S88" i="1"/>
  <c r="T88" i="1"/>
  <c r="U88" i="1"/>
  <c r="V88" i="1"/>
  <c r="W88" i="1"/>
  <c r="X88" i="1"/>
  <c r="Y88" i="1"/>
  <c r="Z88" i="1"/>
  <c r="AA88" i="1"/>
  <c r="AB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D89" i="1"/>
  <c r="E89" i="1"/>
  <c r="F89" i="1"/>
  <c r="G89" i="1"/>
  <c r="H89" i="1"/>
  <c r="I89" i="1"/>
  <c r="J89" i="1"/>
  <c r="K89" i="1"/>
  <c r="L89" i="1"/>
  <c r="M89" i="1"/>
  <c r="N89" i="1"/>
  <c r="O89" i="1"/>
  <c r="Q89" i="1"/>
  <c r="R89" i="1"/>
  <c r="S89" i="1"/>
  <c r="T89" i="1"/>
  <c r="U89" i="1"/>
  <c r="V89" i="1"/>
  <c r="W89" i="1"/>
  <c r="X89" i="1"/>
  <c r="Y89" i="1"/>
  <c r="Z89" i="1"/>
  <c r="AA89" i="1"/>
  <c r="AB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D90" i="1"/>
  <c r="E90" i="1"/>
  <c r="F90" i="1"/>
  <c r="G90" i="1"/>
  <c r="H90" i="1"/>
  <c r="I90" i="1"/>
  <c r="J90" i="1"/>
  <c r="K90" i="1"/>
  <c r="L90" i="1"/>
  <c r="M90" i="1"/>
  <c r="N90" i="1"/>
  <c r="O90" i="1"/>
  <c r="Q90" i="1"/>
  <c r="R90" i="1"/>
  <c r="S90" i="1"/>
  <c r="T90" i="1"/>
  <c r="U90" i="1"/>
  <c r="V90" i="1"/>
  <c r="W90" i="1"/>
  <c r="X90" i="1"/>
  <c r="Y90" i="1"/>
  <c r="Z90" i="1"/>
  <c r="AA90" i="1"/>
  <c r="AB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D91" i="1"/>
  <c r="E91" i="1"/>
  <c r="F91" i="1"/>
  <c r="G91" i="1"/>
  <c r="H91" i="1"/>
  <c r="I91" i="1"/>
  <c r="J91" i="1"/>
  <c r="K91" i="1"/>
  <c r="L91" i="1"/>
  <c r="M91" i="1"/>
  <c r="N91" i="1"/>
  <c r="O91" i="1"/>
  <c r="Q91" i="1"/>
  <c r="R91" i="1"/>
  <c r="S91" i="1"/>
  <c r="T91" i="1"/>
  <c r="U91" i="1"/>
  <c r="V91" i="1"/>
  <c r="W91" i="1"/>
  <c r="X91" i="1"/>
  <c r="Y91" i="1"/>
  <c r="Z91" i="1"/>
  <c r="AA91" i="1"/>
  <c r="AB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D92" i="1"/>
  <c r="E92" i="1"/>
  <c r="F92" i="1"/>
  <c r="G92" i="1"/>
  <c r="H92" i="1"/>
  <c r="I92" i="1"/>
  <c r="J92" i="1"/>
  <c r="K92" i="1"/>
  <c r="L92" i="1"/>
  <c r="M92" i="1"/>
  <c r="N92" i="1"/>
  <c r="O92" i="1"/>
  <c r="Q92" i="1"/>
  <c r="R92" i="1"/>
  <c r="S92" i="1"/>
  <c r="T92" i="1"/>
  <c r="U92" i="1"/>
  <c r="V92" i="1"/>
  <c r="W92" i="1"/>
  <c r="X92" i="1"/>
  <c r="Y92" i="1"/>
  <c r="Z92" i="1"/>
  <c r="AA92" i="1"/>
  <c r="AB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D93" i="1"/>
  <c r="E93" i="1"/>
  <c r="F93" i="1"/>
  <c r="G93" i="1"/>
  <c r="H93" i="1"/>
  <c r="I93" i="1"/>
  <c r="J93" i="1"/>
  <c r="K93" i="1"/>
  <c r="L93" i="1"/>
  <c r="M93" i="1"/>
  <c r="N93" i="1"/>
  <c r="O93" i="1"/>
  <c r="Q93" i="1"/>
  <c r="R93" i="1"/>
  <c r="S93" i="1"/>
  <c r="T93" i="1"/>
  <c r="U93" i="1"/>
  <c r="V93" i="1"/>
  <c r="W93" i="1"/>
  <c r="X93" i="1"/>
  <c r="Y93" i="1"/>
  <c r="Z93" i="1"/>
  <c r="AA93" i="1"/>
  <c r="AB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D94" i="1"/>
  <c r="E94" i="1"/>
  <c r="F94" i="1"/>
  <c r="G94" i="1"/>
  <c r="H94" i="1"/>
  <c r="I94" i="1"/>
  <c r="J94" i="1"/>
  <c r="K94" i="1"/>
  <c r="L94" i="1"/>
  <c r="M94" i="1"/>
  <c r="N94" i="1"/>
  <c r="O94" i="1"/>
  <c r="Q94" i="1"/>
  <c r="R94" i="1"/>
  <c r="S94" i="1"/>
  <c r="T94" i="1"/>
  <c r="U94" i="1"/>
  <c r="V94" i="1"/>
  <c r="W94" i="1"/>
  <c r="X94" i="1"/>
  <c r="Y94" i="1"/>
  <c r="Z94" i="1"/>
  <c r="AA94" i="1"/>
  <c r="AB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D95" i="1"/>
  <c r="E95" i="1"/>
  <c r="F95" i="1"/>
  <c r="G95" i="1"/>
  <c r="H95" i="1"/>
  <c r="I95" i="1"/>
  <c r="J95" i="1"/>
  <c r="K95" i="1"/>
  <c r="L95" i="1"/>
  <c r="M95" i="1"/>
  <c r="N95" i="1"/>
  <c r="O95" i="1"/>
  <c r="Q95" i="1"/>
  <c r="R95" i="1"/>
  <c r="S95" i="1"/>
  <c r="T95" i="1"/>
  <c r="U95" i="1"/>
  <c r="V95" i="1"/>
  <c r="W95" i="1"/>
  <c r="X95" i="1"/>
  <c r="Y95" i="1"/>
  <c r="Z95" i="1"/>
  <c r="AA95" i="1"/>
  <c r="AB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D96" i="1"/>
  <c r="E96" i="1"/>
  <c r="F96" i="1"/>
  <c r="G96" i="1"/>
  <c r="H96" i="1"/>
  <c r="I96" i="1"/>
  <c r="J96" i="1"/>
  <c r="K96" i="1"/>
  <c r="L96" i="1"/>
  <c r="M96" i="1"/>
  <c r="N96" i="1"/>
  <c r="O96" i="1"/>
  <c r="Q96" i="1"/>
  <c r="R96" i="1"/>
  <c r="S96" i="1"/>
  <c r="T96" i="1"/>
  <c r="U96" i="1"/>
  <c r="V96" i="1"/>
  <c r="W96" i="1"/>
  <c r="X96" i="1"/>
  <c r="Y96" i="1"/>
  <c r="Z96" i="1"/>
  <c r="AA96" i="1"/>
  <c r="AB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D97" i="1"/>
  <c r="E97" i="1"/>
  <c r="F97" i="1"/>
  <c r="G97" i="1"/>
  <c r="H97" i="1"/>
  <c r="I97" i="1"/>
  <c r="J97" i="1"/>
  <c r="K97" i="1"/>
  <c r="L97" i="1"/>
  <c r="M97" i="1"/>
  <c r="N97" i="1"/>
  <c r="O97" i="1"/>
  <c r="Q97" i="1"/>
  <c r="R97" i="1"/>
  <c r="S97" i="1"/>
  <c r="T97" i="1"/>
  <c r="U97" i="1"/>
  <c r="V97" i="1"/>
  <c r="W97" i="1"/>
  <c r="X97" i="1"/>
  <c r="Y97" i="1"/>
  <c r="Z97" i="1"/>
  <c r="AA97" i="1"/>
  <c r="AB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D98" i="1"/>
  <c r="E98" i="1"/>
  <c r="F98" i="1"/>
  <c r="G98" i="1"/>
  <c r="H98" i="1"/>
  <c r="I98" i="1"/>
  <c r="J98" i="1"/>
  <c r="K98" i="1"/>
  <c r="L98" i="1"/>
  <c r="M98" i="1"/>
  <c r="N98" i="1"/>
  <c r="O98" i="1"/>
  <c r="Q98" i="1"/>
  <c r="R98" i="1"/>
  <c r="S98" i="1"/>
  <c r="T98" i="1"/>
  <c r="U98" i="1"/>
  <c r="V98" i="1"/>
  <c r="W98" i="1"/>
  <c r="X98" i="1"/>
  <c r="Y98" i="1"/>
  <c r="Z98" i="1"/>
  <c r="AA98" i="1"/>
  <c r="AB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D99" i="1"/>
  <c r="E99" i="1"/>
  <c r="F99" i="1"/>
  <c r="G99" i="1"/>
  <c r="H99" i="1"/>
  <c r="I99" i="1"/>
  <c r="J99" i="1"/>
  <c r="K99" i="1"/>
  <c r="L99" i="1"/>
  <c r="M99" i="1"/>
  <c r="N99" i="1"/>
  <c r="O99" i="1"/>
  <c r="Q99" i="1"/>
  <c r="R99" i="1"/>
  <c r="S99" i="1"/>
  <c r="T99" i="1"/>
  <c r="U99" i="1"/>
  <c r="V99" i="1"/>
  <c r="W99" i="1"/>
  <c r="X99" i="1"/>
  <c r="Y99" i="1"/>
  <c r="Z99" i="1"/>
  <c r="AA99" i="1"/>
  <c r="AB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D543" i="1"/>
  <c r="AE543" i="1"/>
  <c r="AF543" i="1"/>
  <c r="AG543" i="1"/>
  <c r="AH543" i="1"/>
  <c r="AI543" i="1"/>
  <c r="AJ543" i="1"/>
  <c r="AK543" i="1"/>
  <c r="AL543" i="1"/>
  <c r="AM543" i="1"/>
  <c r="AN543" i="1"/>
  <c r="AO543" i="1"/>
  <c r="AP543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D544" i="1"/>
  <c r="AE544" i="1"/>
  <c r="AF544" i="1"/>
  <c r="AG544" i="1"/>
  <c r="AH544" i="1"/>
  <c r="AI544" i="1"/>
  <c r="AJ544" i="1"/>
  <c r="AK544" i="1"/>
  <c r="AL544" i="1"/>
  <c r="AM544" i="1"/>
  <c r="AN544" i="1"/>
  <c r="AO544" i="1"/>
  <c r="AP544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D545" i="1"/>
  <c r="AE545" i="1"/>
  <c r="AF545" i="1"/>
  <c r="AG545" i="1"/>
  <c r="AH545" i="1"/>
  <c r="AI545" i="1"/>
  <c r="AJ545" i="1"/>
  <c r="AK545" i="1"/>
  <c r="AL545" i="1"/>
  <c r="AM545" i="1"/>
  <c r="AN545" i="1"/>
  <c r="AO545" i="1"/>
  <c r="AP545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D546" i="1"/>
  <c r="AE546" i="1"/>
  <c r="AF546" i="1"/>
  <c r="AG546" i="1"/>
  <c r="AH546" i="1"/>
  <c r="AI546" i="1"/>
  <c r="AJ546" i="1"/>
  <c r="AK546" i="1"/>
  <c r="AL546" i="1"/>
  <c r="AM546" i="1"/>
  <c r="AN546" i="1"/>
  <c r="AO546" i="1"/>
  <c r="AP546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D547" i="1"/>
  <c r="AE547" i="1"/>
  <c r="AF547" i="1"/>
  <c r="AG547" i="1"/>
  <c r="AH547" i="1"/>
  <c r="AI547" i="1"/>
  <c r="AJ547" i="1"/>
  <c r="AK547" i="1"/>
  <c r="AL547" i="1"/>
  <c r="AM547" i="1"/>
  <c r="AN547" i="1"/>
  <c r="AO547" i="1"/>
  <c r="AP547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D548" i="1"/>
  <c r="AE548" i="1"/>
  <c r="AF548" i="1"/>
  <c r="AG548" i="1"/>
  <c r="AH548" i="1"/>
  <c r="AI548" i="1"/>
  <c r="AJ548" i="1"/>
  <c r="AK548" i="1"/>
  <c r="AL548" i="1"/>
  <c r="AM548" i="1"/>
  <c r="AN548" i="1"/>
  <c r="AO548" i="1"/>
  <c r="AP548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D549" i="1"/>
  <c r="AE549" i="1"/>
  <c r="AF549" i="1"/>
  <c r="AG549" i="1"/>
  <c r="AH549" i="1"/>
  <c r="AI549" i="1"/>
  <c r="AJ549" i="1"/>
  <c r="AK549" i="1"/>
  <c r="AL549" i="1"/>
  <c r="AM549" i="1"/>
  <c r="AN549" i="1"/>
  <c r="AO549" i="1"/>
  <c r="AP549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D550" i="1"/>
  <c r="AE550" i="1"/>
  <c r="AF550" i="1"/>
  <c r="AG550" i="1"/>
  <c r="AH550" i="1"/>
  <c r="AI550" i="1"/>
  <c r="AJ550" i="1"/>
  <c r="AK550" i="1"/>
  <c r="AL550" i="1"/>
  <c r="AM550" i="1"/>
  <c r="AN550" i="1"/>
  <c r="AO550" i="1"/>
  <c r="AP550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D551" i="1"/>
  <c r="AE551" i="1"/>
  <c r="AF551" i="1"/>
  <c r="AG551" i="1"/>
  <c r="AH551" i="1"/>
  <c r="AI551" i="1"/>
  <c r="AJ551" i="1"/>
  <c r="AK551" i="1"/>
  <c r="AL551" i="1"/>
  <c r="AM551" i="1"/>
  <c r="AN551" i="1"/>
  <c r="AO551" i="1"/>
  <c r="AP551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D552" i="1"/>
  <c r="AE552" i="1"/>
  <c r="AF552" i="1"/>
  <c r="AG552" i="1"/>
  <c r="AH552" i="1"/>
  <c r="AI552" i="1"/>
  <c r="AJ552" i="1"/>
  <c r="AK552" i="1"/>
  <c r="AL552" i="1"/>
  <c r="AM552" i="1"/>
  <c r="AN552" i="1"/>
  <c r="AO552" i="1"/>
  <c r="AP552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D553" i="1"/>
  <c r="AE553" i="1"/>
  <c r="AF553" i="1"/>
  <c r="AG553" i="1"/>
  <c r="AH553" i="1"/>
  <c r="AI553" i="1"/>
  <c r="AJ553" i="1"/>
  <c r="AK553" i="1"/>
  <c r="AL553" i="1"/>
  <c r="AM553" i="1"/>
  <c r="AN553" i="1"/>
  <c r="AO553" i="1"/>
  <c r="AP553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D554" i="1"/>
  <c r="AE554" i="1"/>
  <c r="AF554" i="1"/>
  <c r="AG554" i="1"/>
  <c r="AH554" i="1"/>
  <c r="AI554" i="1"/>
  <c r="AJ554" i="1"/>
  <c r="AK554" i="1"/>
  <c r="AL554" i="1"/>
  <c r="AM554" i="1"/>
  <c r="AN554" i="1"/>
  <c r="AO554" i="1"/>
  <c r="AP554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D555" i="1"/>
  <c r="AE555" i="1"/>
  <c r="AF555" i="1"/>
  <c r="AG555" i="1"/>
  <c r="AH555" i="1"/>
  <c r="AI555" i="1"/>
  <c r="AJ555" i="1"/>
  <c r="AK555" i="1"/>
  <c r="AL555" i="1"/>
  <c r="AM555" i="1"/>
  <c r="AN555" i="1"/>
  <c r="AO555" i="1"/>
  <c r="AP555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D556" i="1"/>
  <c r="AE556" i="1"/>
  <c r="AF556" i="1"/>
  <c r="AG556" i="1"/>
  <c r="AH556" i="1"/>
  <c r="AI556" i="1"/>
  <c r="AJ556" i="1"/>
  <c r="AK556" i="1"/>
  <c r="AL556" i="1"/>
  <c r="AM556" i="1"/>
  <c r="AN556" i="1"/>
  <c r="AO556" i="1"/>
  <c r="AP556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D557" i="1"/>
  <c r="AE557" i="1"/>
  <c r="AF557" i="1"/>
  <c r="AG557" i="1"/>
  <c r="AH557" i="1"/>
  <c r="AI557" i="1"/>
  <c r="AJ557" i="1"/>
  <c r="AK557" i="1"/>
  <c r="AL557" i="1"/>
  <c r="AM557" i="1"/>
  <c r="AN557" i="1"/>
  <c r="AO557" i="1"/>
  <c r="AP557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D558" i="1"/>
  <c r="AE558" i="1"/>
  <c r="AF558" i="1"/>
  <c r="AG558" i="1"/>
  <c r="AH558" i="1"/>
  <c r="AI558" i="1"/>
  <c r="AJ558" i="1"/>
  <c r="AK558" i="1"/>
  <c r="AL558" i="1"/>
  <c r="AM558" i="1"/>
  <c r="AN558" i="1"/>
  <c r="AO558" i="1"/>
  <c r="AP558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D559" i="1"/>
  <c r="AE559" i="1"/>
  <c r="AF559" i="1"/>
  <c r="AG559" i="1"/>
  <c r="AH559" i="1"/>
  <c r="AI559" i="1"/>
  <c r="AJ559" i="1"/>
  <c r="AK559" i="1"/>
  <c r="AL559" i="1"/>
  <c r="AM559" i="1"/>
  <c r="AN559" i="1"/>
  <c r="AO559" i="1"/>
  <c r="AP559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D560" i="1"/>
  <c r="AE560" i="1"/>
  <c r="AF560" i="1"/>
  <c r="AG560" i="1"/>
  <c r="AH560" i="1"/>
  <c r="AI560" i="1"/>
  <c r="AJ560" i="1"/>
  <c r="AK560" i="1"/>
  <c r="AL560" i="1"/>
  <c r="AM560" i="1"/>
  <c r="AN560" i="1"/>
  <c r="AO560" i="1"/>
  <c r="AP560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D561" i="1"/>
  <c r="AE561" i="1"/>
  <c r="AF561" i="1"/>
  <c r="AG561" i="1"/>
  <c r="AH561" i="1"/>
  <c r="AI561" i="1"/>
  <c r="AJ561" i="1"/>
  <c r="AK561" i="1"/>
  <c r="AL561" i="1"/>
  <c r="AM561" i="1"/>
  <c r="AN561" i="1"/>
  <c r="AO561" i="1"/>
  <c r="AP561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D562" i="1"/>
  <c r="AE562" i="1"/>
  <c r="AF562" i="1"/>
  <c r="AG562" i="1"/>
  <c r="AH562" i="1"/>
  <c r="AI562" i="1"/>
  <c r="AJ562" i="1"/>
  <c r="AK562" i="1"/>
  <c r="AL562" i="1"/>
  <c r="AM562" i="1"/>
  <c r="AN562" i="1"/>
  <c r="AO562" i="1"/>
  <c r="AP562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D563" i="1"/>
  <c r="AE563" i="1"/>
  <c r="AF563" i="1"/>
  <c r="AG563" i="1"/>
  <c r="AH563" i="1"/>
  <c r="AI563" i="1"/>
  <c r="AJ563" i="1"/>
  <c r="AK563" i="1"/>
  <c r="AL563" i="1"/>
  <c r="AM563" i="1"/>
  <c r="AN563" i="1"/>
  <c r="AO563" i="1"/>
  <c r="AP563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D564" i="1"/>
  <c r="AE564" i="1"/>
  <c r="AF564" i="1"/>
  <c r="AG564" i="1"/>
  <c r="AH564" i="1"/>
  <c r="AI564" i="1"/>
  <c r="AJ564" i="1"/>
  <c r="AK564" i="1"/>
  <c r="AL564" i="1"/>
  <c r="AM564" i="1"/>
  <c r="AN564" i="1"/>
  <c r="AO564" i="1"/>
  <c r="AP564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D565" i="1"/>
  <c r="AE565" i="1"/>
  <c r="AF565" i="1"/>
  <c r="AG565" i="1"/>
  <c r="AH565" i="1"/>
  <c r="AI565" i="1"/>
  <c r="AJ565" i="1"/>
  <c r="AK565" i="1"/>
  <c r="AL565" i="1"/>
  <c r="AM565" i="1"/>
  <c r="AN565" i="1"/>
  <c r="AO565" i="1"/>
  <c r="AP565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D566" i="1"/>
  <c r="AE566" i="1"/>
  <c r="AF566" i="1"/>
  <c r="AG566" i="1"/>
  <c r="AH566" i="1"/>
  <c r="AI566" i="1"/>
  <c r="AJ566" i="1"/>
  <c r="AK566" i="1"/>
  <c r="AL566" i="1"/>
  <c r="AM566" i="1"/>
  <c r="AN566" i="1"/>
  <c r="AO566" i="1"/>
  <c r="AP566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D567" i="1"/>
  <c r="AE567" i="1"/>
  <c r="AF567" i="1"/>
  <c r="AG567" i="1"/>
  <c r="AH567" i="1"/>
  <c r="AI567" i="1"/>
  <c r="AJ567" i="1"/>
  <c r="AK567" i="1"/>
  <c r="AL567" i="1"/>
  <c r="AM567" i="1"/>
  <c r="AN567" i="1"/>
  <c r="AO567" i="1"/>
  <c r="AP567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D568" i="1"/>
  <c r="AE568" i="1"/>
  <c r="AF568" i="1"/>
  <c r="AG568" i="1"/>
  <c r="AH568" i="1"/>
  <c r="AI568" i="1"/>
  <c r="AJ568" i="1"/>
  <c r="AK568" i="1"/>
  <c r="AL568" i="1"/>
  <c r="AM568" i="1"/>
  <c r="AN568" i="1"/>
  <c r="AO568" i="1"/>
  <c r="AP568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D569" i="1"/>
  <c r="AE569" i="1"/>
  <c r="AF569" i="1"/>
  <c r="AG569" i="1"/>
  <c r="AH569" i="1"/>
  <c r="AI569" i="1"/>
  <c r="AJ569" i="1"/>
  <c r="AK569" i="1"/>
  <c r="AL569" i="1"/>
  <c r="AM569" i="1"/>
  <c r="AN569" i="1"/>
  <c r="AO569" i="1"/>
  <c r="AP569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D570" i="1"/>
  <c r="AE570" i="1"/>
  <c r="AF570" i="1"/>
  <c r="AG570" i="1"/>
  <c r="AH570" i="1"/>
  <c r="AI570" i="1"/>
  <c r="AJ570" i="1"/>
  <c r="AK570" i="1"/>
  <c r="AL570" i="1"/>
  <c r="AM570" i="1"/>
  <c r="AN570" i="1"/>
  <c r="AO570" i="1"/>
  <c r="AP570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D571" i="1"/>
  <c r="AE571" i="1"/>
  <c r="AF571" i="1"/>
  <c r="AG571" i="1"/>
  <c r="AH571" i="1"/>
  <c r="AI571" i="1"/>
  <c r="AJ571" i="1"/>
  <c r="AK571" i="1"/>
  <c r="AL571" i="1"/>
  <c r="AM571" i="1"/>
  <c r="AN571" i="1"/>
  <c r="AO571" i="1"/>
  <c r="AP571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D572" i="1"/>
  <c r="AE572" i="1"/>
  <c r="AF572" i="1"/>
  <c r="AG572" i="1"/>
  <c r="AH572" i="1"/>
  <c r="AI572" i="1"/>
  <c r="AJ572" i="1"/>
  <c r="AK572" i="1"/>
  <c r="AL572" i="1"/>
  <c r="AM572" i="1"/>
  <c r="AN572" i="1"/>
  <c r="AO572" i="1"/>
  <c r="AP572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D573" i="1"/>
  <c r="AE573" i="1"/>
  <c r="AF573" i="1"/>
  <c r="AG573" i="1"/>
  <c r="AH573" i="1"/>
  <c r="AI573" i="1"/>
  <c r="AJ573" i="1"/>
  <c r="AK573" i="1"/>
  <c r="AL573" i="1"/>
  <c r="AM573" i="1"/>
  <c r="AN573" i="1"/>
  <c r="AO573" i="1"/>
  <c r="AP573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D574" i="1"/>
  <c r="AE574" i="1"/>
  <c r="AF574" i="1"/>
  <c r="AG574" i="1"/>
  <c r="AH574" i="1"/>
  <c r="AI574" i="1"/>
  <c r="AJ574" i="1"/>
  <c r="AK574" i="1"/>
  <c r="AL574" i="1"/>
  <c r="AM574" i="1"/>
  <c r="AN574" i="1"/>
  <c r="AO574" i="1"/>
  <c r="AP574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D575" i="1"/>
  <c r="AE575" i="1"/>
  <c r="AF575" i="1"/>
  <c r="AG575" i="1"/>
  <c r="AH575" i="1"/>
  <c r="AI575" i="1"/>
  <c r="AJ575" i="1"/>
  <c r="AK575" i="1"/>
  <c r="AL575" i="1"/>
  <c r="AM575" i="1"/>
  <c r="AN575" i="1"/>
  <c r="AO575" i="1"/>
  <c r="AP575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D576" i="1"/>
  <c r="AE576" i="1"/>
  <c r="AF576" i="1"/>
  <c r="AG576" i="1"/>
  <c r="AH576" i="1"/>
  <c r="AI576" i="1"/>
  <c r="AJ576" i="1"/>
  <c r="AK576" i="1"/>
  <c r="AL576" i="1"/>
  <c r="AM576" i="1"/>
  <c r="AN576" i="1"/>
  <c r="AO576" i="1"/>
  <c r="AP576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D577" i="1"/>
  <c r="AE577" i="1"/>
  <c r="AF577" i="1"/>
  <c r="AG577" i="1"/>
  <c r="AH577" i="1"/>
  <c r="AI577" i="1"/>
  <c r="AJ577" i="1"/>
  <c r="AK577" i="1"/>
  <c r="AL577" i="1"/>
  <c r="AM577" i="1"/>
  <c r="AN577" i="1"/>
  <c r="AO577" i="1"/>
  <c r="AP577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D578" i="1"/>
  <c r="AE578" i="1"/>
  <c r="AF578" i="1"/>
  <c r="AG578" i="1"/>
  <c r="AH578" i="1"/>
  <c r="AI578" i="1"/>
  <c r="AJ578" i="1"/>
  <c r="AK578" i="1"/>
  <c r="AL578" i="1"/>
  <c r="AM578" i="1"/>
  <c r="AN578" i="1"/>
  <c r="AO578" i="1"/>
  <c r="AP578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D579" i="1"/>
  <c r="AE579" i="1"/>
  <c r="AF579" i="1"/>
  <c r="AG579" i="1"/>
  <c r="AH579" i="1"/>
  <c r="AI579" i="1"/>
  <c r="AJ579" i="1"/>
  <c r="AK579" i="1"/>
  <c r="AL579" i="1"/>
  <c r="AM579" i="1"/>
  <c r="AN579" i="1"/>
  <c r="AO579" i="1"/>
  <c r="AP579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D580" i="1"/>
  <c r="AE580" i="1"/>
  <c r="AF580" i="1"/>
  <c r="AG580" i="1"/>
  <c r="AH580" i="1"/>
  <c r="AI580" i="1"/>
  <c r="AJ580" i="1"/>
  <c r="AK580" i="1"/>
  <c r="AL580" i="1"/>
  <c r="AM580" i="1"/>
  <c r="AN580" i="1"/>
  <c r="AO580" i="1"/>
  <c r="AP580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D581" i="1"/>
  <c r="AE581" i="1"/>
  <c r="AF581" i="1"/>
  <c r="AG581" i="1"/>
  <c r="AH581" i="1"/>
  <c r="AI581" i="1"/>
  <c r="AJ581" i="1"/>
  <c r="AK581" i="1"/>
  <c r="AL581" i="1"/>
  <c r="AM581" i="1"/>
  <c r="AN581" i="1"/>
  <c r="AO581" i="1"/>
  <c r="AP581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D582" i="1"/>
  <c r="AE582" i="1"/>
  <c r="AF582" i="1"/>
  <c r="AG582" i="1"/>
  <c r="AH582" i="1"/>
  <c r="AI582" i="1"/>
  <c r="AJ582" i="1"/>
  <c r="AK582" i="1"/>
  <c r="AL582" i="1"/>
  <c r="AM582" i="1"/>
  <c r="AN582" i="1"/>
  <c r="AO582" i="1"/>
  <c r="AP582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D583" i="1"/>
  <c r="AE583" i="1"/>
  <c r="AF583" i="1"/>
  <c r="AG583" i="1"/>
  <c r="AH583" i="1"/>
  <c r="AI583" i="1"/>
  <c r="AJ583" i="1"/>
  <c r="AK583" i="1"/>
  <c r="AL583" i="1"/>
  <c r="AM583" i="1"/>
  <c r="AN583" i="1"/>
  <c r="AO583" i="1"/>
  <c r="AP583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D584" i="1"/>
  <c r="AE584" i="1"/>
  <c r="AF584" i="1"/>
  <c r="AG584" i="1"/>
  <c r="AH584" i="1"/>
  <c r="AI584" i="1"/>
  <c r="AJ584" i="1"/>
  <c r="AK584" i="1"/>
  <c r="AL584" i="1"/>
  <c r="AM584" i="1"/>
  <c r="AN584" i="1"/>
  <c r="AO584" i="1"/>
  <c r="AP584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D585" i="1"/>
  <c r="AE585" i="1"/>
  <c r="AF585" i="1"/>
  <c r="AG585" i="1"/>
  <c r="AH585" i="1"/>
  <c r="AI585" i="1"/>
  <c r="AJ585" i="1"/>
  <c r="AK585" i="1"/>
  <c r="AL585" i="1"/>
  <c r="AM585" i="1"/>
  <c r="AN585" i="1"/>
  <c r="AO585" i="1"/>
  <c r="AP585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D586" i="1"/>
  <c r="AE586" i="1"/>
  <c r="AF586" i="1"/>
  <c r="AG586" i="1"/>
  <c r="AH586" i="1"/>
  <c r="AI586" i="1"/>
  <c r="AJ586" i="1"/>
  <c r="AK586" i="1"/>
  <c r="AL586" i="1"/>
  <c r="AM586" i="1"/>
  <c r="AN586" i="1"/>
  <c r="AO586" i="1"/>
  <c r="AP586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D587" i="1"/>
  <c r="AE587" i="1"/>
  <c r="AF587" i="1"/>
  <c r="AG587" i="1"/>
  <c r="AH587" i="1"/>
  <c r="AI587" i="1"/>
  <c r="AJ587" i="1"/>
  <c r="AK587" i="1"/>
  <c r="AL587" i="1"/>
  <c r="AM587" i="1"/>
  <c r="AN587" i="1"/>
  <c r="AO587" i="1"/>
  <c r="AP587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D588" i="1"/>
  <c r="AE588" i="1"/>
  <c r="AF588" i="1"/>
  <c r="AG588" i="1"/>
  <c r="AH588" i="1"/>
  <c r="AI588" i="1"/>
  <c r="AJ588" i="1"/>
  <c r="AK588" i="1"/>
  <c r="AL588" i="1"/>
  <c r="AM588" i="1"/>
  <c r="AN588" i="1"/>
  <c r="AO588" i="1"/>
  <c r="AP588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D589" i="1"/>
  <c r="AE589" i="1"/>
  <c r="AF589" i="1"/>
  <c r="AG589" i="1"/>
  <c r="AH589" i="1"/>
  <c r="AI589" i="1"/>
  <c r="AJ589" i="1"/>
  <c r="AK589" i="1"/>
  <c r="AL589" i="1"/>
  <c r="AM589" i="1"/>
  <c r="AN589" i="1"/>
  <c r="AO589" i="1"/>
  <c r="AP589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D590" i="1"/>
  <c r="AE590" i="1"/>
  <c r="AF590" i="1"/>
  <c r="AG590" i="1"/>
  <c r="AH590" i="1"/>
  <c r="AI590" i="1"/>
  <c r="AJ590" i="1"/>
  <c r="AK590" i="1"/>
  <c r="AL590" i="1"/>
  <c r="AM590" i="1"/>
  <c r="AN590" i="1"/>
  <c r="AO590" i="1"/>
  <c r="AP590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D591" i="1"/>
  <c r="AE591" i="1"/>
  <c r="AF591" i="1"/>
  <c r="AG591" i="1"/>
  <c r="AH591" i="1"/>
  <c r="AI591" i="1"/>
  <c r="AJ591" i="1"/>
  <c r="AK591" i="1"/>
  <c r="AL591" i="1"/>
  <c r="AM591" i="1"/>
  <c r="AN591" i="1"/>
  <c r="AO591" i="1"/>
  <c r="AP591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D592" i="1"/>
  <c r="AE592" i="1"/>
  <c r="AF592" i="1"/>
  <c r="AG592" i="1"/>
  <c r="AH592" i="1"/>
  <c r="AI592" i="1"/>
  <c r="AJ592" i="1"/>
  <c r="AK592" i="1"/>
  <c r="AL592" i="1"/>
  <c r="AM592" i="1"/>
  <c r="AN592" i="1"/>
  <c r="AO592" i="1"/>
  <c r="AP592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D593" i="1"/>
  <c r="AE593" i="1"/>
  <c r="AF593" i="1"/>
  <c r="AG593" i="1"/>
  <c r="AH593" i="1"/>
  <c r="AI593" i="1"/>
  <c r="AJ593" i="1"/>
  <c r="AK593" i="1"/>
  <c r="AL593" i="1"/>
  <c r="AM593" i="1"/>
  <c r="AN593" i="1"/>
  <c r="AO593" i="1"/>
  <c r="AP593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D594" i="1"/>
  <c r="AE594" i="1"/>
  <c r="AF594" i="1"/>
  <c r="AG594" i="1"/>
  <c r="AH594" i="1"/>
  <c r="AI594" i="1"/>
  <c r="AJ594" i="1"/>
  <c r="AK594" i="1"/>
  <c r="AL594" i="1"/>
  <c r="AM594" i="1"/>
  <c r="AN594" i="1"/>
  <c r="AO594" i="1"/>
  <c r="AP594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D595" i="1"/>
  <c r="AE595" i="1"/>
  <c r="AF595" i="1"/>
  <c r="AG595" i="1"/>
  <c r="AH595" i="1"/>
  <c r="AI595" i="1"/>
  <c r="AJ595" i="1"/>
  <c r="AK595" i="1"/>
  <c r="AL595" i="1"/>
  <c r="AM595" i="1"/>
  <c r="AN595" i="1"/>
  <c r="AO595" i="1"/>
  <c r="AP595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D596" i="1"/>
  <c r="AE596" i="1"/>
  <c r="AF596" i="1"/>
  <c r="AG596" i="1"/>
  <c r="AH596" i="1"/>
  <c r="AI596" i="1"/>
  <c r="AJ596" i="1"/>
  <c r="AK596" i="1"/>
  <c r="AL596" i="1"/>
  <c r="AM596" i="1"/>
  <c r="AN596" i="1"/>
  <c r="AO596" i="1"/>
  <c r="AP596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D597" i="1"/>
  <c r="AE597" i="1"/>
  <c r="AF597" i="1"/>
  <c r="AG597" i="1"/>
  <c r="AH597" i="1"/>
  <c r="AI597" i="1"/>
  <c r="AJ597" i="1"/>
  <c r="AK597" i="1"/>
  <c r="AL597" i="1"/>
  <c r="AM597" i="1"/>
  <c r="AN597" i="1"/>
  <c r="AO597" i="1"/>
  <c r="AP597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D598" i="1"/>
  <c r="AE598" i="1"/>
  <c r="AF598" i="1"/>
  <c r="AG598" i="1"/>
  <c r="AH598" i="1"/>
  <c r="AI598" i="1"/>
  <c r="AJ598" i="1"/>
  <c r="AK598" i="1"/>
  <c r="AL598" i="1"/>
  <c r="AM598" i="1"/>
  <c r="AN598" i="1"/>
  <c r="AO598" i="1"/>
  <c r="AP598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D599" i="1"/>
  <c r="AE599" i="1"/>
  <c r="AF599" i="1"/>
  <c r="AG599" i="1"/>
  <c r="AH599" i="1"/>
  <c r="AI599" i="1"/>
  <c r="AJ599" i="1"/>
  <c r="AK599" i="1"/>
  <c r="AL599" i="1"/>
  <c r="AM599" i="1"/>
  <c r="AN599" i="1"/>
  <c r="AO599" i="1"/>
  <c r="AP599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D600" i="1"/>
  <c r="AE600" i="1"/>
  <c r="AF600" i="1"/>
  <c r="AG600" i="1"/>
  <c r="AH600" i="1"/>
  <c r="AI600" i="1"/>
  <c r="AJ600" i="1"/>
  <c r="AK600" i="1"/>
  <c r="AL600" i="1"/>
  <c r="AM600" i="1"/>
  <c r="AN600" i="1"/>
  <c r="AO600" i="1"/>
  <c r="AP600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D601" i="1"/>
  <c r="AE601" i="1"/>
  <c r="AF601" i="1"/>
  <c r="AG601" i="1"/>
  <c r="AH601" i="1"/>
  <c r="AI601" i="1"/>
  <c r="AJ601" i="1"/>
  <c r="AK601" i="1"/>
  <c r="AL601" i="1"/>
  <c r="AM601" i="1"/>
  <c r="AN601" i="1"/>
  <c r="AO601" i="1"/>
  <c r="AP601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D602" i="1"/>
  <c r="AE602" i="1"/>
  <c r="AF602" i="1"/>
  <c r="AG602" i="1"/>
  <c r="AH602" i="1"/>
  <c r="AI602" i="1"/>
  <c r="AJ602" i="1"/>
  <c r="AK602" i="1"/>
  <c r="AL602" i="1"/>
  <c r="AM602" i="1"/>
  <c r="AN602" i="1"/>
  <c r="AO602" i="1"/>
  <c r="AP602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D603" i="1"/>
  <c r="AE603" i="1"/>
  <c r="AF603" i="1"/>
  <c r="AG603" i="1"/>
  <c r="AH603" i="1"/>
  <c r="AI603" i="1"/>
  <c r="AJ603" i="1"/>
  <c r="AK603" i="1"/>
  <c r="AL603" i="1"/>
  <c r="AM603" i="1"/>
  <c r="AN603" i="1"/>
  <c r="AO603" i="1"/>
  <c r="AP603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D604" i="1"/>
  <c r="AE604" i="1"/>
  <c r="AF604" i="1"/>
  <c r="AG604" i="1"/>
  <c r="AH604" i="1"/>
  <c r="AI604" i="1"/>
  <c r="AJ604" i="1"/>
  <c r="AK604" i="1"/>
  <c r="AL604" i="1"/>
  <c r="AM604" i="1"/>
  <c r="AN604" i="1"/>
  <c r="AO604" i="1"/>
  <c r="AP604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D605" i="1"/>
  <c r="AE605" i="1"/>
  <c r="AF605" i="1"/>
  <c r="AG605" i="1"/>
  <c r="AH605" i="1"/>
  <c r="AI605" i="1"/>
  <c r="AJ605" i="1"/>
  <c r="AK605" i="1"/>
  <c r="AL605" i="1"/>
  <c r="AM605" i="1"/>
  <c r="AN605" i="1"/>
  <c r="AO605" i="1"/>
  <c r="AP605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D606" i="1"/>
  <c r="AE606" i="1"/>
  <c r="AF606" i="1"/>
  <c r="AG606" i="1"/>
  <c r="AH606" i="1"/>
  <c r="AI606" i="1"/>
  <c r="AJ606" i="1"/>
  <c r="AK606" i="1"/>
  <c r="AL606" i="1"/>
  <c r="AM606" i="1"/>
  <c r="AN606" i="1"/>
  <c r="AO606" i="1"/>
  <c r="AP606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D607" i="1"/>
  <c r="AE607" i="1"/>
  <c r="AF607" i="1"/>
  <c r="AG607" i="1"/>
  <c r="AH607" i="1"/>
  <c r="AI607" i="1"/>
  <c r="AJ607" i="1"/>
  <c r="AK607" i="1"/>
  <c r="AL607" i="1"/>
  <c r="AM607" i="1"/>
  <c r="AN607" i="1"/>
  <c r="AO607" i="1"/>
  <c r="AP607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D608" i="1"/>
  <c r="AE608" i="1"/>
  <c r="AF608" i="1"/>
  <c r="AG608" i="1"/>
  <c r="AH608" i="1"/>
  <c r="AI608" i="1"/>
  <c r="AJ608" i="1"/>
  <c r="AK608" i="1"/>
  <c r="AL608" i="1"/>
  <c r="AM608" i="1"/>
  <c r="AN608" i="1"/>
  <c r="AO608" i="1"/>
  <c r="AP608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D609" i="1"/>
  <c r="AE609" i="1"/>
  <c r="AF609" i="1"/>
  <c r="AG609" i="1"/>
  <c r="AH609" i="1"/>
  <c r="AI609" i="1"/>
  <c r="AJ609" i="1"/>
  <c r="AK609" i="1"/>
  <c r="AL609" i="1"/>
  <c r="AM609" i="1"/>
  <c r="AN609" i="1"/>
  <c r="AO609" i="1"/>
  <c r="AP609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D610" i="1"/>
  <c r="AE610" i="1"/>
  <c r="AF610" i="1"/>
  <c r="AG610" i="1"/>
  <c r="AH610" i="1"/>
  <c r="AI610" i="1"/>
  <c r="AJ610" i="1"/>
  <c r="AK610" i="1"/>
  <c r="AL610" i="1"/>
  <c r="AM610" i="1"/>
  <c r="AN610" i="1"/>
  <c r="AO610" i="1"/>
  <c r="AP610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D611" i="1"/>
  <c r="AE611" i="1"/>
  <c r="AF611" i="1"/>
  <c r="AG611" i="1"/>
  <c r="AH611" i="1"/>
  <c r="AI611" i="1"/>
  <c r="AJ611" i="1"/>
  <c r="AK611" i="1"/>
  <c r="AL611" i="1"/>
  <c r="AM611" i="1"/>
  <c r="AN611" i="1"/>
  <c r="AO611" i="1"/>
  <c r="AP611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D612" i="1"/>
  <c r="AE612" i="1"/>
  <c r="AF612" i="1"/>
  <c r="AG612" i="1"/>
  <c r="AH612" i="1"/>
  <c r="AI612" i="1"/>
  <c r="AJ612" i="1"/>
  <c r="AK612" i="1"/>
  <c r="AL612" i="1"/>
  <c r="AM612" i="1"/>
  <c r="AN612" i="1"/>
  <c r="AO612" i="1"/>
  <c r="AP612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D613" i="1"/>
  <c r="AE613" i="1"/>
  <c r="AF613" i="1"/>
  <c r="AG613" i="1"/>
  <c r="AH613" i="1"/>
  <c r="AI613" i="1"/>
  <c r="AJ613" i="1"/>
  <c r="AK613" i="1"/>
  <c r="AL613" i="1"/>
  <c r="AM613" i="1"/>
  <c r="AN613" i="1"/>
  <c r="AO613" i="1"/>
  <c r="AP613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D614" i="1"/>
  <c r="AE614" i="1"/>
  <c r="AF614" i="1"/>
  <c r="AG614" i="1"/>
  <c r="AH614" i="1"/>
  <c r="AI614" i="1"/>
  <c r="AJ614" i="1"/>
  <c r="AK614" i="1"/>
  <c r="AL614" i="1"/>
  <c r="AM614" i="1"/>
  <c r="AN614" i="1"/>
  <c r="AO614" i="1"/>
  <c r="AP614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D615" i="1"/>
  <c r="AE615" i="1"/>
  <c r="AF615" i="1"/>
  <c r="AG615" i="1"/>
  <c r="AH615" i="1"/>
  <c r="AI615" i="1"/>
  <c r="AJ615" i="1"/>
  <c r="AK615" i="1"/>
  <c r="AL615" i="1"/>
  <c r="AM615" i="1"/>
  <c r="AN615" i="1"/>
  <c r="AO615" i="1"/>
  <c r="AP615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D616" i="1"/>
  <c r="AE616" i="1"/>
  <c r="AF616" i="1"/>
  <c r="AG616" i="1"/>
  <c r="AH616" i="1"/>
  <c r="AI616" i="1"/>
  <c r="AJ616" i="1"/>
  <c r="AK616" i="1"/>
  <c r="AL616" i="1"/>
  <c r="AM616" i="1"/>
  <c r="AN616" i="1"/>
  <c r="AO616" i="1"/>
  <c r="AP616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D617" i="1"/>
  <c r="AE617" i="1"/>
  <c r="AF617" i="1"/>
  <c r="AG617" i="1"/>
  <c r="AH617" i="1"/>
  <c r="AI617" i="1"/>
  <c r="AJ617" i="1"/>
  <c r="AK617" i="1"/>
  <c r="AL617" i="1"/>
  <c r="AM617" i="1"/>
  <c r="AN617" i="1"/>
  <c r="AO617" i="1"/>
  <c r="AP617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D618" i="1"/>
  <c r="AE618" i="1"/>
  <c r="AF618" i="1"/>
  <c r="AG618" i="1"/>
  <c r="AH618" i="1"/>
  <c r="AI618" i="1"/>
  <c r="AJ618" i="1"/>
  <c r="AK618" i="1"/>
  <c r="AL618" i="1"/>
  <c r="AM618" i="1"/>
  <c r="AN618" i="1"/>
  <c r="AO618" i="1"/>
  <c r="AP618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D619" i="1"/>
  <c r="AE619" i="1"/>
  <c r="AF619" i="1"/>
  <c r="AG619" i="1"/>
  <c r="AH619" i="1"/>
  <c r="AI619" i="1"/>
  <c r="AJ619" i="1"/>
  <c r="AK619" i="1"/>
  <c r="AL619" i="1"/>
  <c r="AM619" i="1"/>
  <c r="AN619" i="1"/>
  <c r="AO619" i="1"/>
  <c r="AP619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D620" i="1"/>
  <c r="AE620" i="1"/>
  <c r="AF620" i="1"/>
  <c r="AG620" i="1"/>
  <c r="AH620" i="1"/>
  <c r="AI620" i="1"/>
  <c r="AJ620" i="1"/>
  <c r="AK620" i="1"/>
  <c r="AL620" i="1"/>
  <c r="AM620" i="1"/>
  <c r="AN620" i="1"/>
  <c r="AO620" i="1"/>
  <c r="AP620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D621" i="1"/>
  <c r="AE621" i="1"/>
  <c r="AF621" i="1"/>
  <c r="AG621" i="1"/>
  <c r="AH621" i="1"/>
  <c r="AI621" i="1"/>
  <c r="AJ621" i="1"/>
  <c r="AK621" i="1"/>
  <c r="AL621" i="1"/>
  <c r="AM621" i="1"/>
  <c r="AN621" i="1"/>
  <c r="AO621" i="1"/>
  <c r="AP621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D622" i="1"/>
  <c r="AE622" i="1"/>
  <c r="AF622" i="1"/>
  <c r="AG622" i="1"/>
  <c r="AH622" i="1"/>
  <c r="AI622" i="1"/>
  <c r="AJ622" i="1"/>
  <c r="AK622" i="1"/>
  <c r="AL622" i="1"/>
  <c r="AM622" i="1"/>
  <c r="AN622" i="1"/>
  <c r="AO622" i="1"/>
  <c r="AP622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D623" i="1"/>
  <c r="AE623" i="1"/>
  <c r="AF623" i="1"/>
  <c r="AG623" i="1"/>
  <c r="AH623" i="1"/>
  <c r="AI623" i="1"/>
  <c r="AJ623" i="1"/>
  <c r="AK623" i="1"/>
  <c r="AL623" i="1"/>
  <c r="AM623" i="1"/>
  <c r="AN623" i="1"/>
  <c r="AO623" i="1"/>
  <c r="AP623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D624" i="1"/>
  <c r="AE624" i="1"/>
  <c r="AF624" i="1"/>
  <c r="AG624" i="1"/>
  <c r="AH624" i="1"/>
  <c r="AI624" i="1"/>
  <c r="AJ624" i="1"/>
  <c r="AK624" i="1"/>
  <c r="AL624" i="1"/>
  <c r="AM624" i="1"/>
  <c r="AN624" i="1"/>
  <c r="AO624" i="1"/>
  <c r="AP624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D625" i="1"/>
  <c r="AE625" i="1"/>
  <c r="AF625" i="1"/>
  <c r="AG625" i="1"/>
  <c r="AH625" i="1"/>
  <c r="AI625" i="1"/>
  <c r="AJ625" i="1"/>
  <c r="AK625" i="1"/>
  <c r="AL625" i="1"/>
  <c r="AM625" i="1"/>
  <c r="AN625" i="1"/>
  <c r="AO625" i="1"/>
  <c r="AP625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D626" i="1"/>
  <c r="AE626" i="1"/>
  <c r="AF626" i="1"/>
  <c r="AG626" i="1"/>
  <c r="AH626" i="1"/>
  <c r="AI626" i="1"/>
  <c r="AJ626" i="1"/>
  <c r="AK626" i="1"/>
  <c r="AL626" i="1"/>
  <c r="AM626" i="1"/>
  <c r="AN626" i="1"/>
  <c r="AO626" i="1"/>
  <c r="AP626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D627" i="1"/>
  <c r="AE627" i="1"/>
  <c r="AF627" i="1"/>
  <c r="AG627" i="1"/>
  <c r="AH627" i="1"/>
  <c r="AI627" i="1"/>
  <c r="AJ627" i="1"/>
  <c r="AK627" i="1"/>
  <c r="AL627" i="1"/>
  <c r="AM627" i="1"/>
  <c r="AN627" i="1"/>
  <c r="AO627" i="1"/>
  <c r="AP627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D628" i="1"/>
  <c r="AE628" i="1"/>
  <c r="AF628" i="1"/>
  <c r="AG628" i="1"/>
  <c r="AH628" i="1"/>
  <c r="AI628" i="1"/>
  <c r="AJ628" i="1"/>
  <c r="AK628" i="1"/>
  <c r="AL628" i="1"/>
  <c r="AM628" i="1"/>
  <c r="AN628" i="1"/>
  <c r="AO628" i="1"/>
  <c r="AP628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D629" i="1"/>
  <c r="AE629" i="1"/>
  <c r="AF629" i="1"/>
  <c r="AG629" i="1"/>
  <c r="AH629" i="1"/>
  <c r="AI629" i="1"/>
  <c r="AJ629" i="1"/>
  <c r="AK629" i="1"/>
  <c r="AL629" i="1"/>
  <c r="AM629" i="1"/>
  <c r="AN629" i="1"/>
  <c r="AO629" i="1"/>
  <c r="AP629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D630" i="1"/>
  <c r="AE630" i="1"/>
  <c r="AF630" i="1"/>
  <c r="AG630" i="1"/>
  <c r="AH630" i="1"/>
  <c r="AI630" i="1"/>
  <c r="AJ630" i="1"/>
  <c r="AK630" i="1"/>
  <c r="AL630" i="1"/>
  <c r="AM630" i="1"/>
  <c r="AN630" i="1"/>
  <c r="AO630" i="1"/>
  <c r="AP630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D631" i="1"/>
  <c r="AE631" i="1"/>
  <c r="AF631" i="1"/>
  <c r="AG631" i="1"/>
  <c r="AH631" i="1"/>
  <c r="AI631" i="1"/>
  <c r="AJ631" i="1"/>
  <c r="AK631" i="1"/>
  <c r="AL631" i="1"/>
  <c r="AM631" i="1"/>
  <c r="AN631" i="1"/>
  <c r="AO631" i="1"/>
  <c r="AP631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D632" i="1"/>
  <c r="AE632" i="1"/>
  <c r="AF632" i="1"/>
  <c r="AG632" i="1"/>
  <c r="AH632" i="1"/>
  <c r="AI632" i="1"/>
  <c r="AJ632" i="1"/>
  <c r="AK632" i="1"/>
  <c r="AL632" i="1"/>
  <c r="AM632" i="1"/>
  <c r="AN632" i="1"/>
  <c r="AO632" i="1"/>
  <c r="AP632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D633" i="1"/>
  <c r="AE633" i="1"/>
  <c r="AF633" i="1"/>
  <c r="AG633" i="1"/>
  <c r="AH633" i="1"/>
  <c r="AI633" i="1"/>
  <c r="AJ633" i="1"/>
  <c r="AK633" i="1"/>
  <c r="AL633" i="1"/>
  <c r="AM633" i="1"/>
  <c r="AN633" i="1"/>
  <c r="AO633" i="1"/>
  <c r="AP633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D634" i="1"/>
  <c r="AE634" i="1"/>
  <c r="AF634" i="1"/>
  <c r="AG634" i="1"/>
  <c r="AH634" i="1"/>
  <c r="AI634" i="1"/>
  <c r="AJ634" i="1"/>
  <c r="AK634" i="1"/>
  <c r="AL634" i="1"/>
  <c r="AM634" i="1"/>
  <c r="AN634" i="1"/>
  <c r="AO634" i="1"/>
  <c r="AP634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D635" i="1"/>
  <c r="AE635" i="1"/>
  <c r="AF635" i="1"/>
  <c r="AG635" i="1"/>
  <c r="AH635" i="1"/>
  <c r="AI635" i="1"/>
  <c r="AJ635" i="1"/>
  <c r="AK635" i="1"/>
  <c r="AL635" i="1"/>
  <c r="AM635" i="1"/>
  <c r="AN635" i="1"/>
  <c r="AO635" i="1"/>
  <c r="AP635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D636" i="1"/>
  <c r="AE636" i="1"/>
  <c r="AF636" i="1"/>
  <c r="AG636" i="1"/>
  <c r="AH636" i="1"/>
  <c r="AI636" i="1"/>
  <c r="AJ636" i="1"/>
  <c r="AK636" i="1"/>
  <c r="AL636" i="1"/>
  <c r="AM636" i="1"/>
  <c r="AN636" i="1"/>
  <c r="AO636" i="1"/>
  <c r="AP636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D637" i="1"/>
  <c r="AE637" i="1"/>
  <c r="AF637" i="1"/>
  <c r="AG637" i="1"/>
  <c r="AH637" i="1"/>
  <c r="AI637" i="1"/>
  <c r="AJ637" i="1"/>
  <c r="AK637" i="1"/>
  <c r="AL637" i="1"/>
  <c r="AM637" i="1"/>
  <c r="AN637" i="1"/>
  <c r="AO637" i="1"/>
  <c r="AP637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D638" i="1"/>
  <c r="AE638" i="1"/>
  <c r="AF638" i="1"/>
  <c r="AG638" i="1"/>
  <c r="AH638" i="1"/>
  <c r="AI638" i="1"/>
  <c r="AJ638" i="1"/>
  <c r="AK638" i="1"/>
  <c r="AL638" i="1"/>
  <c r="AM638" i="1"/>
  <c r="AN638" i="1"/>
  <c r="AO638" i="1"/>
  <c r="AP638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D639" i="1"/>
  <c r="AE639" i="1"/>
  <c r="AF639" i="1"/>
  <c r="AG639" i="1"/>
  <c r="AH639" i="1"/>
  <c r="AI639" i="1"/>
  <c r="AJ639" i="1"/>
  <c r="AK639" i="1"/>
  <c r="AL639" i="1"/>
  <c r="AM639" i="1"/>
  <c r="AN639" i="1"/>
  <c r="AO639" i="1"/>
  <c r="AP639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D640" i="1"/>
  <c r="AE640" i="1"/>
  <c r="AF640" i="1"/>
  <c r="AG640" i="1"/>
  <c r="AH640" i="1"/>
  <c r="AI640" i="1"/>
  <c r="AJ640" i="1"/>
  <c r="AK640" i="1"/>
  <c r="AL640" i="1"/>
  <c r="AM640" i="1"/>
  <c r="AN640" i="1"/>
  <c r="AO640" i="1"/>
  <c r="AP640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D641" i="1"/>
  <c r="AE641" i="1"/>
  <c r="AF641" i="1"/>
  <c r="AG641" i="1"/>
  <c r="AH641" i="1"/>
  <c r="AI641" i="1"/>
  <c r="AJ641" i="1"/>
  <c r="AK641" i="1"/>
  <c r="AL641" i="1"/>
  <c r="AM641" i="1"/>
  <c r="AN641" i="1"/>
  <c r="AO641" i="1"/>
  <c r="AP641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D642" i="1"/>
  <c r="AE642" i="1"/>
  <c r="AF642" i="1"/>
  <c r="AG642" i="1"/>
  <c r="AH642" i="1"/>
  <c r="AI642" i="1"/>
  <c r="AJ642" i="1"/>
  <c r="AK642" i="1"/>
  <c r="AL642" i="1"/>
  <c r="AM642" i="1"/>
  <c r="AN642" i="1"/>
  <c r="AO642" i="1"/>
  <c r="AP642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D644" i="1"/>
  <c r="AE644" i="1"/>
  <c r="AF644" i="1"/>
  <c r="AG644" i="1"/>
  <c r="AH644" i="1"/>
  <c r="AI644" i="1"/>
  <c r="AJ644" i="1"/>
  <c r="AK644" i="1"/>
  <c r="AL644" i="1"/>
  <c r="AM644" i="1"/>
  <c r="AN644" i="1"/>
  <c r="AO644" i="1"/>
  <c r="AP644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D645" i="1"/>
  <c r="AE645" i="1"/>
  <c r="AF645" i="1"/>
  <c r="AG645" i="1"/>
  <c r="AH645" i="1"/>
  <c r="AI645" i="1"/>
  <c r="AJ645" i="1"/>
  <c r="AK645" i="1"/>
  <c r="AL645" i="1"/>
  <c r="AM645" i="1"/>
  <c r="AN645" i="1"/>
  <c r="AO645" i="1"/>
  <c r="AP645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D646" i="1"/>
  <c r="AE646" i="1"/>
  <c r="AF646" i="1"/>
  <c r="AG646" i="1"/>
  <c r="AH646" i="1"/>
  <c r="AI646" i="1"/>
  <c r="AJ646" i="1"/>
  <c r="AK646" i="1"/>
  <c r="AL646" i="1"/>
  <c r="AM646" i="1"/>
  <c r="AN646" i="1"/>
  <c r="AO646" i="1"/>
  <c r="AP646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D647" i="1"/>
  <c r="AE647" i="1"/>
  <c r="AF647" i="1"/>
  <c r="AG647" i="1"/>
  <c r="AH647" i="1"/>
  <c r="AI647" i="1"/>
  <c r="AJ647" i="1"/>
  <c r="AK647" i="1"/>
  <c r="AL647" i="1"/>
  <c r="AM647" i="1"/>
  <c r="AN647" i="1"/>
  <c r="AO647" i="1"/>
  <c r="AP647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D648" i="1"/>
  <c r="AE648" i="1"/>
  <c r="AF648" i="1"/>
  <c r="AG648" i="1"/>
  <c r="AH648" i="1"/>
  <c r="AI648" i="1"/>
  <c r="AJ648" i="1"/>
  <c r="AK648" i="1"/>
  <c r="AL648" i="1"/>
  <c r="AM648" i="1"/>
  <c r="AN648" i="1"/>
  <c r="AO648" i="1"/>
  <c r="AP648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D649" i="1"/>
  <c r="AE649" i="1"/>
  <c r="AF649" i="1"/>
  <c r="AG649" i="1"/>
  <c r="AH649" i="1"/>
  <c r="AI649" i="1"/>
  <c r="AJ649" i="1"/>
  <c r="AK649" i="1"/>
  <c r="AL649" i="1"/>
  <c r="AM649" i="1"/>
  <c r="AN649" i="1"/>
  <c r="AO649" i="1"/>
  <c r="AP649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D650" i="1"/>
  <c r="AE650" i="1"/>
  <c r="AF650" i="1"/>
  <c r="AG650" i="1"/>
  <c r="AH650" i="1"/>
  <c r="AI650" i="1"/>
  <c r="AJ650" i="1"/>
  <c r="AK650" i="1"/>
  <c r="AL650" i="1"/>
  <c r="AM650" i="1"/>
  <c r="AN650" i="1"/>
  <c r="AO650" i="1"/>
  <c r="AP650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D651" i="1"/>
  <c r="AE651" i="1"/>
  <c r="AF651" i="1"/>
  <c r="AG651" i="1"/>
  <c r="AH651" i="1"/>
  <c r="AI651" i="1"/>
  <c r="AJ651" i="1"/>
  <c r="AK651" i="1"/>
  <c r="AL651" i="1"/>
  <c r="AM651" i="1"/>
  <c r="AN651" i="1"/>
  <c r="AO651" i="1"/>
  <c r="AP651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D652" i="1"/>
  <c r="AE652" i="1"/>
  <c r="AF652" i="1"/>
  <c r="AG652" i="1"/>
  <c r="AH652" i="1"/>
  <c r="AI652" i="1"/>
  <c r="AJ652" i="1"/>
  <c r="AK652" i="1"/>
  <c r="AL652" i="1"/>
  <c r="AM652" i="1"/>
  <c r="AN652" i="1"/>
  <c r="AO652" i="1"/>
  <c r="AP652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D653" i="1"/>
  <c r="AE653" i="1"/>
  <c r="AF653" i="1"/>
  <c r="AG653" i="1"/>
  <c r="AH653" i="1"/>
  <c r="AI653" i="1"/>
  <c r="AJ653" i="1"/>
  <c r="AK653" i="1"/>
  <c r="AL653" i="1"/>
  <c r="AM653" i="1"/>
  <c r="AN653" i="1"/>
  <c r="AO653" i="1"/>
  <c r="AP653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D654" i="1"/>
  <c r="AE654" i="1"/>
  <c r="AF654" i="1"/>
  <c r="AG654" i="1"/>
  <c r="AH654" i="1"/>
  <c r="AI654" i="1"/>
  <c r="AJ654" i="1"/>
  <c r="AK654" i="1"/>
  <c r="AL654" i="1"/>
  <c r="AM654" i="1"/>
  <c r="AN654" i="1"/>
  <c r="AO654" i="1"/>
  <c r="AP654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D655" i="1"/>
  <c r="AE655" i="1"/>
  <c r="AF655" i="1"/>
  <c r="AG655" i="1"/>
  <c r="AH655" i="1"/>
  <c r="AI655" i="1"/>
  <c r="AJ655" i="1"/>
  <c r="AK655" i="1"/>
  <c r="AL655" i="1"/>
  <c r="AM655" i="1"/>
  <c r="AN655" i="1"/>
  <c r="AO655" i="1"/>
  <c r="AP655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D656" i="1"/>
  <c r="AE656" i="1"/>
  <c r="AF656" i="1"/>
  <c r="AG656" i="1"/>
  <c r="AH656" i="1"/>
  <c r="AI656" i="1"/>
  <c r="AJ656" i="1"/>
  <c r="AK656" i="1"/>
  <c r="AL656" i="1"/>
  <c r="AM656" i="1"/>
  <c r="AN656" i="1"/>
  <c r="AO656" i="1"/>
  <c r="AP656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D657" i="1"/>
  <c r="AE657" i="1"/>
  <c r="AF657" i="1"/>
  <c r="AG657" i="1"/>
  <c r="AH657" i="1"/>
  <c r="AI657" i="1"/>
  <c r="AJ657" i="1"/>
  <c r="AK657" i="1"/>
  <c r="AL657" i="1"/>
  <c r="AM657" i="1"/>
  <c r="AN657" i="1"/>
  <c r="AO657" i="1"/>
  <c r="AP657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D658" i="1"/>
  <c r="AE658" i="1"/>
  <c r="AF658" i="1"/>
  <c r="AG658" i="1"/>
  <c r="AH658" i="1"/>
  <c r="AI658" i="1"/>
  <c r="AJ658" i="1"/>
  <c r="AK658" i="1"/>
  <c r="AL658" i="1"/>
  <c r="AM658" i="1"/>
  <c r="AN658" i="1"/>
  <c r="AO658" i="1"/>
  <c r="AP658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D659" i="1"/>
  <c r="AE659" i="1"/>
  <c r="AF659" i="1"/>
  <c r="AG659" i="1"/>
  <c r="AH659" i="1"/>
  <c r="AI659" i="1"/>
  <c r="AJ659" i="1"/>
  <c r="AK659" i="1"/>
  <c r="AL659" i="1"/>
  <c r="AM659" i="1"/>
  <c r="AN659" i="1"/>
  <c r="AO659" i="1"/>
  <c r="AP659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D660" i="1"/>
  <c r="AE660" i="1"/>
  <c r="AF660" i="1"/>
  <c r="AG660" i="1"/>
  <c r="AH660" i="1"/>
  <c r="AI660" i="1"/>
  <c r="AJ660" i="1"/>
  <c r="AK660" i="1"/>
  <c r="AL660" i="1"/>
  <c r="AM660" i="1"/>
  <c r="AN660" i="1"/>
  <c r="AO660" i="1"/>
  <c r="AP660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D661" i="1"/>
  <c r="AE661" i="1"/>
  <c r="AF661" i="1"/>
  <c r="AG661" i="1"/>
  <c r="AH661" i="1"/>
  <c r="AI661" i="1"/>
  <c r="AJ661" i="1"/>
  <c r="AK661" i="1"/>
  <c r="AL661" i="1"/>
  <c r="AM661" i="1"/>
  <c r="AN661" i="1"/>
  <c r="AO661" i="1"/>
  <c r="AP661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D662" i="1"/>
  <c r="AE662" i="1"/>
  <c r="AF662" i="1"/>
  <c r="AG662" i="1"/>
  <c r="AH662" i="1"/>
  <c r="AI662" i="1"/>
  <c r="AJ662" i="1"/>
  <c r="AK662" i="1"/>
  <c r="AL662" i="1"/>
  <c r="AM662" i="1"/>
  <c r="AN662" i="1"/>
  <c r="AO662" i="1"/>
  <c r="AP662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D663" i="1"/>
  <c r="AE663" i="1"/>
  <c r="AF663" i="1"/>
  <c r="AG663" i="1"/>
  <c r="AH663" i="1"/>
  <c r="AI663" i="1"/>
  <c r="AJ663" i="1"/>
  <c r="AK663" i="1"/>
  <c r="AL663" i="1"/>
  <c r="AM663" i="1"/>
  <c r="AN663" i="1"/>
  <c r="AO663" i="1"/>
  <c r="AP663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D664" i="1"/>
  <c r="AE664" i="1"/>
  <c r="AF664" i="1"/>
  <c r="AG664" i="1"/>
  <c r="AH664" i="1"/>
  <c r="AI664" i="1"/>
  <c r="AJ664" i="1"/>
  <c r="AK664" i="1"/>
  <c r="AL664" i="1"/>
  <c r="AM664" i="1"/>
  <c r="AN664" i="1"/>
  <c r="AO664" i="1"/>
  <c r="AP664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D665" i="1"/>
  <c r="AE665" i="1"/>
  <c r="AF665" i="1"/>
  <c r="AG665" i="1"/>
  <c r="AH665" i="1"/>
  <c r="AI665" i="1"/>
  <c r="AJ665" i="1"/>
  <c r="AK665" i="1"/>
  <c r="AL665" i="1"/>
  <c r="AM665" i="1"/>
  <c r="AN665" i="1"/>
  <c r="AO665" i="1"/>
  <c r="AP665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D666" i="1"/>
  <c r="AE666" i="1"/>
  <c r="AF666" i="1"/>
  <c r="AG666" i="1"/>
  <c r="AH666" i="1"/>
  <c r="AI666" i="1"/>
  <c r="AJ666" i="1"/>
  <c r="AK666" i="1"/>
  <c r="AL666" i="1"/>
  <c r="AM666" i="1"/>
  <c r="AN666" i="1"/>
  <c r="AO666" i="1"/>
  <c r="AP666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D667" i="1"/>
  <c r="AE667" i="1"/>
  <c r="AF667" i="1"/>
  <c r="AG667" i="1"/>
  <c r="AH667" i="1"/>
  <c r="AI667" i="1"/>
  <c r="AJ667" i="1"/>
  <c r="AK667" i="1"/>
  <c r="AL667" i="1"/>
  <c r="AM667" i="1"/>
  <c r="AN667" i="1"/>
  <c r="AO667" i="1"/>
  <c r="AP667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D668" i="1"/>
  <c r="AE668" i="1"/>
  <c r="AF668" i="1"/>
  <c r="AG668" i="1"/>
  <c r="AH668" i="1"/>
  <c r="AI668" i="1"/>
  <c r="AJ668" i="1"/>
  <c r="AK668" i="1"/>
  <c r="AL668" i="1"/>
  <c r="AM668" i="1"/>
  <c r="AN668" i="1"/>
  <c r="AO668" i="1"/>
  <c r="AP668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D669" i="1"/>
  <c r="AE669" i="1"/>
  <c r="AF669" i="1"/>
  <c r="AG669" i="1"/>
  <c r="AH669" i="1"/>
  <c r="AI669" i="1"/>
  <c r="AJ669" i="1"/>
  <c r="AK669" i="1"/>
  <c r="AL669" i="1"/>
  <c r="AM669" i="1"/>
  <c r="AN669" i="1"/>
  <c r="AO669" i="1"/>
  <c r="AP669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D670" i="1"/>
  <c r="AE670" i="1"/>
  <c r="AF670" i="1"/>
  <c r="AG670" i="1"/>
  <c r="AH670" i="1"/>
  <c r="AI670" i="1"/>
  <c r="AJ670" i="1"/>
  <c r="AK670" i="1"/>
  <c r="AL670" i="1"/>
  <c r="AM670" i="1"/>
  <c r="AN670" i="1"/>
  <c r="AO670" i="1"/>
  <c r="AP670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D671" i="1"/>
  <c r="AE671" i="1"/>
  <c r="AF671" i="1"/>
  <c r="AG671" i="1"/>
  <c r="AH671" i="1"/>
  <c r="AI671" i="1"/>
  <c r="AJ671" i="1"/>
  <c r="AK671" i="1"/>
  <c r="AL671" i="1"/>
  <c r="AM671" i="1"/>
  <c r="AN671" i="1"/>
  <c r="AO671" i="1"/>
  <c r="AP671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D672" i="1"/>
  <c r="AE672" i="1"/>
  <c r="AF672" i="1"/>
  <c r="AG672" i="1"/>
  <c r="AH672" i="1"/>
  <c r="AI672" i="1"/>
  <c r="AJ672" i="1"/>
  <c r="AK672" i="1"/>
  <c r="AL672" i="1"/>
  <c r="AM672" i="1"/>
  <c r="AN672" i="1"/>
  <c r="AO672" i="1"/>
  <c r="AP672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D673" i="1"/>
  <c r="AE673" i="1"/>
  <c r="AF673" i="1"/>
  <c r="AG673" i="1"/>
  <c r="AH673" i="1"/>
  <c r="AI673" i="1"/>
  <c r="AJ673" i="1"/>
  <c r="AK673" i="1"/>
  <c r="AL673" i="1"/>
  <c r="AM673" i="1"/>
  <c r="AN673" i="1"/>
  <c r="AO673" i="1"/>
  <c r="AP673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D674" i="1"/>
  <c r="AE674" i="1"/>
  <c r="AF674" i="1"/>
  <c r="AG674" i="1"/>
  <c r="AH674" i="1"/>
  <c r="AI674" i="1"/>
  <c r="AJ674" i="1"/>
  <c r="AK674" i="1"/>
  <c r="AL674" i="1"/>
  <c r="AM674" i="1"/>
  <c r="AN674" i="1"/>
  <c r="AO674" i="1"/>
  <c r="AP674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D675" i="1"/>
  <c r="AE675" i="1"/>
  <c r="AF675" i="1"/>
  <c r="AG675" i="1"/>
  <c r="AH675" i="1"/>
  <c r="AI675" i="1"/>
  <c r="AJ675" i="1"/>
  <c r="AK675" i="1"/>
  <c r="AL675" i="1"/>
  <c r="AM675" i="1"/>
  <c r="AN675" i="1"/>
  <c r="AO675" i="1"/>
  <c r="AP675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D676" i="1"/>
  <c r="AE676" i="1"/>
  <c r="AF676" i="1"/>
  <c r="AG676" i="1"/>
  <c r="AH676" i="1"/>
  <c r="AI676" i="1"/>
  <c r="AJ676" i="1"/>
  <c r="AK676" i="1"/>
  <c r="AL676" i="1"/>
  <c r="AM676" i="1"/>
  <c r="AN676" i="1"/>
  <c r="AO676" i="1"/>
  <c r="AP676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D677" i="1"/>
  <c r="AE677" i="1"/>
  <c r="AF677" i="1"/>
  <c r="AG677" i="1"/>
  <c r="AH677" i="1"/>
  <c r="AI677" i="1"/>
  <c r="AJ677" i="1"/>
  <c r="AK677" i="1"/>
  <c r="AL677" i="1"/>
  <c r="AM677" i="1"/>
  <c r="AN677" i="1"/>
  <c r="AO677" i="1"/>
  <c r="AP677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D678" i="1"/>
  <c r="AE678" i="1"/>
  <c r="AF678" i="1"/>
  <c r="AG678" i="1"/>
  <c r="AH678" i="1"/>
  <c r="AI678" i="1"/>
  <c r="AJ678" i="1"/>
  <c r="AK678" i="1"/>
  <c r="AL678" i="1"/>
  <c r="AM678" i="1"/>
  <c r="AN678" i="1"/>
  <c r="AO678" i="1"/>
  <c r="AP678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D679" i="1"/>
  <c r="AE679" i="1"/>
  <c r="AF679" i="1"/>
  <c r="AG679" i="1"/>
  <c r="AH679" i="1"/>
  <c r="AI679" i="1"/>
  <c r="AJ679" i="1"/>
  <c r="AK679" i="1"/>
  <c r="AL679" i="1"/>
  <c r="AM679" i="1"/>
  <c r="AN679" i="1"/>
  <c r="AO679" i="1"/>
  <c r="AP679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D680" i="1"/>
  <c r="AE680" i="1"/>
  <c r="AF680" i="1"/>
  <c r="AG680" i="1"/>
  <c r="AH680" i="1"/>
  <c r="AI680" i="1"/>
  <c r="AJ680" i="1"/>
  <c r="AK680" i="1"/>
  <c r="AL680" i="1"/>
  <c r="AM680" i="1"/>
  <c r="AN680" i="1"/>
  <c r="AO680" i="1"/>
  <c r="AP680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D681" i="1"/>
  <c r="AE681" i="1"/>
  <c r="AF681" i="1"/>
  <c r="AG681" i="1"/>
  <c r="AH681" i="1"/>
  <c r="AI681" i="1"/>
  <c r="AJ681" i="1"/>
  <c r="AK681" i="1"/>
  <c r="AL681" i="1"/>
  <c r="AM681" i="1"/>
  <c r="AN681" i="1"/>
  <c r="AO681" i="1"/>
  <c r="AP681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D682" i="1"/>
  <c r="AE682" i="1"/>
  <c r="AF682" i="1"/>
  <c r="AG682" i="1"/>
  <c r="AH682" i="1"/>
  <c r="AI682" i="1"/>
  <c r="AJ682" i="1"/>
  <c r="AK682" i="1"/>
  <c r="AL682" i="1"/>
  <c r="AM682" i="1"/>
  <c r="AN682" i="1"/>
  <c r="AO682" i="1"/>
  <c r="AP682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D683" i="1"/>
  <c r="AE683" i="1"/>
  <c r="AF683" i="1"/>
  <c r="AG683" i="1"/>
  <c r="AH683" i="1"/>
  <c r="AI683" i="1"/>
  <c r="AJ683" i="1"/>
  <c r="AK683" i="1"/>
  <c r="AL683" i="1"/>
  <c r="AM683" i="1"/>
  <c r="AN683" i="1"/>
  <c r="AO683" i="1"/>
  <c r="AP683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D684" i="1"/>
  <c r="AE684" i="1"/>
  <c r="AF684" i="1"/>
  <c r="AG684" i="1"/>
  <c r="AH684" i="1"/>
  <c r="AI684" i="1"/>
  <c r="AJ684" i="1"/>
  <c r="AK684" i="1"/>
  <c r="AL684" i="1"/>
  <c r="AM684" i="1"/>
  <c r="AN684" i="1"/>
  <c r="AO684" i="1"/>
  <c r="AP684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D685" i="1"/>
  <c r="AE685" i="1"/>
  <c r="AF685" i="1"/>
  <c r="AG685" i="1"/>
  <c r="AH685" i="1"/>
  <c r="AI685" i="1"/>
  <c r="AJ685" i="1"/>
  <c r="AK685" i="1"/>
  <c r="AL685" i="1"/>
  <c r="AM685" i="1"/>
  <c r="AN685" i="1"/>
  <c r="AO685" i="1"/>
  <c r="AP685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D686" i="1"/>
  <c r="AE686" i="1"/>
  <c r="AF686" i="1"/>
  <c r="AG686" i="1"/>
  <c r="AH686" i="1"/>
  <c r="AI686" i="1"/>
  <c r="AJ686" i="1"/>
  <c r="AK686" i="1"/>
  <c r="AL686" i="1"/>
  <c r="AM686" i="1"/>
  <c r="AN686" i="1"/>
  <c r="AO686" i="1"/>
  <c r="AP686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D687" i="1"/>
  <c r="AE687" i="1"/>
  <c r="AF687" i="1"/>
  <c r="AG687" i="1"/>
  <c r="AH687" i="1"/>
  <c r="AI687" i="1"/>
  <c r="AJ687" i="1"/>
  <c r="AK687" i="1"/>
  <c r="AL687" i="1"/>
  <c r="AM687" i="1"/>
  <c r="AN687" i="1"/>
  <c r="AO687" i="1"/>
  <c r="AP687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D688" i="1"/>
  <c r="AE688" i="1"/>
  <c r="AF688" i="1"/>
  <c r="AG688" i="1"/>
  <c r="AH688" i="1"/>
  <c r="AI688" i="1"/>
  <c r="AJ688" i="1"/>
  <c r="AK688" i="1"/>
  <c r="AL688" i="1"/>
  <c r="AM688" i="1"/>
  <c r="AN688" i="1"/>
  <c r="AO688" i="1"/>
  <c r="AP688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D689" i="1"/>
  <c r="AE689" i="1"/>
  <c r="AF689" i="1"/>
  <c r="AG689" i="1"/>
  <c r="AH689" i="1"/>
  <c r="AI689" i="1"/>
  <c r="AJ689" i="1"/>
  <c r="AK689" i="1"/>
  <c r="AL689" i="1"/>
  <c r="AM689" i="1"/>
  <c r="AN689" i="1"/>
  <c r="AO689" i="1"/>
  <c r="AP689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D690" i="1"/>
  <c r="AE690" i="1"/>
  <c r="AF690" i="1"/>
  <c r="AG690" i="1"/>
  <c r="AH690" i="1"/>
  <c r="AI690" i="1"/>
  <c r="AJ690" i="1"/>
  <c r="AK690" i="1"/>
  <c r="AL690" i="1"/>
  <c r="AM690" i="1"/>
  <c r="AN690" i="1"/>
  <c r="AO690" i="1"/>
  <c r="AP690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D691" i="1"/>
  <c r="AE691" i="1"/>
  <c r="AF691" i="1"/>
  <c r="AG691" i="1"/>
  <c r="AH691" i="1"/>
  <c r="AI691" i="1"/>
  <c r="AJ691" i="1"/>
  <c r="AK691" i="1"/>
  <c r="AL691" i="1"/>
  <c r="AM691" i="1"/>
  <c r="AN691" i="1"/>
  <c r="AO691" i="1"/>
  <c r="AP691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D692" i="1"/>
  <c r="AE692" i="1"/>
  <c r="AF692" i="1"/>
  <c r="AG692" i="1"/>
  <c r="AH692" i="1"/>
  <c r="AI692" i="1"/>
  <c r="AJ692" i="1"/>
  <c r="AK692" i="1"/>
  <c r="AL692" i="1"/>
  <c r="AM692" i="1"/>
  <c r="AN692" i="1"/>
  <c r="AO692" i="1"/>
  <c r="AP692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D693" i="1"/>
  <c r="AE693" i="1"/>
  <c r="AF693" i="1"/>
  <c r="AG693" i="1"/>
  <c r="AH693" i="1"/>
  <c r="AI693" i="1"/>
  <c r="AJ693" i="1"/>
  <c r="AK693" i="1"/>
  <c r="AL693" i="1"/>
  <c r="AM693" i="1"/>
  <c r="AN693" i="1"/>
  <c r="AO693" i="1"/>
  <c r="AP693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D694" i="1"/>
  <c r="AE694" i="1"/>
  <c r="AF694" i="1"/>
  <c r="AG694" i="1"/>
  <c r="AH694" i="1"/>
  <c r="AI694" i="1"/>
  <c r="AJ694" i="1"/>
  <c r="AK694" i="1"/>
  <c r="AL694" i="1"/>
  <c r="AM694" i="1"/>
  <c r="AN694" i="1"/>
  <c r="AO694" i="1"/>
  <c r="AP694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D695" i="1"/>
  <c r="AE695" i="1"/>
  <c r="AF695" i="1"/>
  <c r="AG695" i="1"/>
  <c r="AH695" i="1"/>
  <c r="AI695" i="1"/>
  <c r="AJ695" i="1"/>
  <c r="AK695" i="1"/>
  <c r="AL695" i="1"/>
  <c r="AM695" i="1"/>
  <c r="AN695" i="1"/>
  <c r="AO695" i="1"/>
  <c r="AP695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D696" i="1"/>
  <c r="AE696" i="1"/>
  <c r="AF696" i="1"/>
  <c r="AG696" i="1"/>
  <c r="AH696" i="1"/>
  <c r="AI696" i="1"/>
  <c r="AJ696" i="1"/>
  <c r="AK696" i="1"/>
  <c r="AL696" i="1"/>
  <c r="AM696" i="1"/>
  <c r="AN696" i="1"/>
  <c r="AO696" i="1"/>
  <c r="AP696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D697" i="1"/>
  <c r="AE697" i="1"/>
  <c r="AF697" i="1"/>
  <c r="AG697" i="1"/>
  <c r="AH697" i="1"/>
  <c r="AI697" i="1"/>
  <c r="AJ697" i="1"/>
  <c r="AK697" i="1"/>
  <c r="AL697" i="1"/>
  <c r="AM697" i="1"/>
  <c r="AN697" i="1"/>
  <c r="AO697" i="1"/>
  <c r="AP697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D698" i="1"/>
  <c r="AE698" i="1"/>
  <c r="AF698" i="1"/>
  <c r="AG698" i="1"/>
  <c r="AH698" i="1"/>
  <c r="AI698" i="1"/>
  <c r="AJ698" i="1"/>
  <c r="AK698" i="1"/>
  <c r="AL698" i="1"/>
  <c r="AM698" i="1"/>
  <c r="AN698" i="1"/>
  <c r="AO698" i="1"/>
  <c r="AP698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D699" i="1"/>
  <c r="AE699" i="1"/>
  <c r="AF699" i="1"/>
  <c r="AG699" i="1"/>
  <c r="AH699" i="1"/>
  <c r="AI699" i="1"/>
  <c r="AJ699" i="1"/>
  <c r="AK699" i="1"/>
  <c r="AL699" i="1"/>
  <c r="AM699" i="1"/>
  <c r="AN699" i="1"/>
  <c r="AO699" i="1"/>
  <c r="AP699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D700" i="1"/>
  <c r="AE700" i="1"/>
  <c r="AF700" i="1"/>
  <c r="AG700" i="1"/>
  <c r="AH700" i="1"/>
  <c r="AI700" i="1"/>
  <c r="AJ700" i="1"/>
  <c r="AK700" i="1"/>
  <c r="AL700" i="1"/>
  <c r="AM700" i="1"/>
  <c r="AN700" i="1"/>
  <c r="AO700" i="1"/>
  <c r="AP700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D701" i="1"/>
  <c r="AE701" i="1"/>
  <c r="AF701" i="1"/>
  <c r="AG701" i="1"/>
  <c r="AH701" i="1"/>
  <c r="AI701" i="1"/>
  <c r="AJ701" i="1"/>
  <c r="AK701" i="1"/>
  <c r="AL701" i="1"/>
  <c r="AM701" i="1"/>
  <c r="AN701" i="1"/>
  <c r="AO701" i="1"/>
  <c r="AP701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D702" i="1"/>
  <c r="AE702" i="1"/>
  <c r="AF702" i="1"/>
  <c r="AG702" i="1"/>
  <c r="AH702" i="1"/>
  <c r="AI702" i="1"/>
  <c r="AJ702" i="1"/>
  <c r="AK702" i="1"/>
  <c r="AL702" i="1"/>
  <c r="AM702" i="1"/>
  <c r="AN702" i="1"/>
  <c r="AO702" i="1"/>
  <c r="AP702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D703" i="1"/>
  <c r="AE703" i="1"/>
  <c r="AF703" i="1"/>
  <c r="AG703" i="1"/>
  <c r="AH703" i="1"/>
  <c r="AI703" i="1"/>
  <c r="AJ703" i="1"/>
  <c r="AK703" i="1"/>
  <c r="AL703" i="1"/>
  <c r="AM703" i="1"/>
  <c r="AN703" i="1"/>
  <c r="AO703" i="1"/>
  <c r="AP703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D704" i="1"/>
  <c r="AE704" i="1"/>
  <c r="AF704" i="1"/>
  <c r="AG704" i="1"/>
  <c r="AH704" i="1"/>
  <c r="AI704" i="1"/>
  <c r="AJ704" i="1"/>
  <c r="AK704" i="1"/>
  <c r="AL704" i="1"/>
  <c r="AM704" i="1"/>
  <c r="AN704" i="1"/>
  <c r="AO704" i="1"/>
  <c r="AP704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D705" i="1"/>
  <c r="AE705" i="1"/>
  <c r="AF705" i="1"/>
  <c r="AG705" i="1"/>
  <c r="AH705" i="1"/>
  <c r="AI705" i="1"/>
  <c r="AJ705" i="1"/>
  <c r="AK705" i="1"/>
  <c r="AL705" i="1"/>
  <c r="AM705" i="1"/>
  <c r="AN705" i="1"/>
  <c r="AO705" i="1"/>
  <c r="AP705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D706" i="1"/>
  <c r="AE706" i="1"/>
  <c r="AF706" i="1"/>
  <c r="AG706" i="1"/>
  <c r="AH706" i="1"/>
  <c r="AI706" i="1"/>
  <c r="AJ706" i="1"/>
  <c r="AK706" i="1"/>
  <c r="AL706" i="1"/>
  <c r="AM706" i="1"/>
  <c r="AN706" i="1"/>
  <c r="AO706" i="1"/>
  <c r="AP706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D707" i="1"/>
  <c r="AE707" i="1"/>
  <c r="AF707" i="1"/>
  <c r="AG707" i="1"/>
  <c r="AH707" i="1"/>
  <c r="AI707" i="1"/>
  <c r="AJ707" i="1"/>
  <c r="AK707" i="1"/>
  <c r="AL707" i="1"/>
  <c r="AM707" i="1"/>
  <c r="AN707" i="1"/>
  <c r="AO707" i="1"/>
  <c r="AP707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D708" i="1"/>
  <c r="AE708" i="1"/>
  <c r="AF708" i="1"/>
  <c r="AG708" i="1"/>
  <c r="AH708" i="1"/>
  <c r="AI708" i="1"/>
  <c r="AJ708" i="1"/>
  <c r="AK708" i="1"/>
  <c r="AL708" i="1"/>
  <c r="AM708" i="1"/>
  <c r="AN708" i="1"/>
  <c r="AO708" i="1"/>
  <c r="AP708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D709" i="1"/>
  <c r="AE709" i="1"/>
  <c r="AF709" i="1"/>
  <c r="AG709" i="1"/>
  <c r="AH709" i="1"/>
  <c r="AI709" i="1"/>
  <c r="AJ709" i="1"/>
  <c r="AK709" i="1"/>
  <c r="AL709" i="1"/>
  <c r="AM709" i="1"/>
  <c r="AN709" i="1"/>
  <c r="AO709" i="1"/>
  <c r="AP709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D710" i="1"/>
  <c r="AE710" i="1"/>
  <c r="AF710" i="1"/>
  <c r="AG710" i="1"/>
  <c r="AH710" i="1"/>
  <c r="AI710" i="1"/>
  <c r="AJ710" i="1"/>
  <c r="AK710" i="1"/>
  <c r="AL710" i="1"/>
  <c r="AM710" i="1"/>
  <c r="AN710" i="1"/>
  <c r="AO710" i="1"/>
  <c r="AP710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D711" i="1"/>
  <c r="AE711" i="1"/>
  <c r="AF711" i="1"/>
  <c r="AG711" i="1"/>
  <c r="AH711" i="1"/>
  <c r="AI711" i="1"/>
  <c r="AJ711" i="1"/>
  <c r="AK711" i="1"/>
  <c r="AL711" i="1"/>
  <c r="AM711" i="1"/>
  <c r="AN711" i="1"/>
  <c r="AO711" i="1"/>
  <c r="AP711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D712" i="1"/>
  <c r="AE712" i="1"/>
  <c r="AF712" i="1"/>
  <c r="AG712" i="1"/>
  <c r="AH712" i="1"/>
  <c r="AI712" i="1"/>
  <c r="AJ712" i="1"/>
  <c r="AK712" i="1"/>
  <c r="AL712" i="1"/>
  <c r="AM712" i="1"/>
  <c r="AN712" i="1"/>
  <c r="AO712" i="1"/>
  <c r="AP712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D713" i="1"/>
  <c r="AE713" i="1"/>
  <c r="AF713" i="1"/>
  <c r="AG713" i="1"/>
  <c r="AH713" i="1"/>
  <c r="AI713" i="1"/>
  <c r="AJ713" i="1"/>
  <c r="AK713" i="1"/>
  <c r="AL713" i="1"/>
  <c r="AM713" i="1"/>
  <c r="AN713" i="1"/>
  <c r="AO713" i="1"/>
  <c r="AP713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D714" i="1"/>
  <c r="AE714" i="1"/>
  <c r="AF714" i="1"/>
  <c r="AG714" i="1"/>
  <c r="AH714" i="1"/>
  <c r="AI714" i="1"/>
  <c r="AJ714" i="1"/>
  <c r="AK714" i="1"/>
  <c r="AL714" i="1"/>
  <c r="AM714" i="1"/>
  <c r="AN714" i="1"/>
  <c r="AO714" i="1"/>
  <c r="AP714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D715" i="1"/>
  <c r="AE715" i="1"/>
  <c r="AF715" i="1"/>
  <c r="AG715" i="1"/>
  <c r="AH715" i="1"/>
  <c r="AI715" i="1"/>
  <c r="AJ715" i="1"/>
  <c r="AK715" i="1"/>
  <c r="AL715" i="1"/>
  <c r="AM715" i="1"/>
  <c r="AN715" i="1"/>
  <c r="AO715" i="1"/>
  <c r="AP715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D716" i="1"/>
  <c r="AE716" i="1"/>
  <c r="AF716" i="1"/>
  <c r="AG716" i="1"/>
  <c r="AH716" i="1"/>
  <c r="AI716" i="1"/>
  <c r="AJ716" i="1"/>
  <c r="AK716" i="1"/>
  <c r="AL716" i="1"/>
  <c r="AM716" i="1"/>
  <c r="AN716" i="1"/>
  <c r="AO716" i="1"/>
  <c r="AP716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D717" i="1"/>
  <c r="AE717" i="1"/>
  <c r="AF717" i="1"/>
  <c r="AG717" i="1"/>
  <c r="AH717" i="1"/>
  <c r="AI717" i="1"/>
  <c r="AJ717" i="1"/>
  <c r="AK717" i="1"/>
  <c r="AL717" i="1"/>
  <c r="AM717" i="1"/>
  <c r="AN717" i="1"/>
  <c r="AO717" i="1"/>
  <c r="AP717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D718" i="1"/>
  <c r="AE718" i="1"/>
  <c r="AF718" i="1"/>
  <c r="AG718" i="1"/>
  <c r="AH718" i="1"/>
  <c r="AI718" i="1"/>
  <c r="AJ718" i="1"/>
  <c r="AK718" i="1"/>
  <c r="AL718" i="1"/>
  <c r="AM718" i="1"/>
  <c r="AN718" i="1"/>
  <c r="AO718" i="1"/>
  <c r="AP718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D719" i="1"/>
  <c r="AE719" i="1"/>
  <c r="AF719" i="1"/>
  <c r="AG719" i="1"/>
  <c r="AH719" i="1"/>
  <c r="AI719" i="1"/>
  <c r="AJ719" i="1"/>
  <c r="AK719" i="1"/>
  <c r="AL719" i="1"/>
  <c r="AM719" i="1"/>
  <c r="AN719" i="1"/>
  <c r="AO719" i="1"/>
  <c r="AP719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D720" i="1"/>
  <c r="AE720" i="1"/>
  <c r="AF720" i="1"/>
  <c r="AG720" i="1"/>
  <c r="AH720" i="1"/>
  <c r="AI720" i="1"/>
  <c r="AJ720" i="1"/>
  <c r="AK720" i="1"/>
  <c r="AL720" i="1"/>
  <c r="AM720" i="1"/>
  <c r="AN720" i="1"/>
  <c r="AO720" i="1"/>
  <c r="AP720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D721" i="1"/>
  <c r="AE721" i="1"/>
  <c r="AF721" i="1"/>
  <c r="AG721" i="1"/>
  <c r="AH721" i="1"/>
  <c r="AI721" i="1"/>
  <c r="AJ721" i="1"/>
  <c r="AK721" i="1"/>
  <c r="AL721" i="1"/>
  <c r="AM721" i="1"/>
  <c r="AN721" i="1"/>
  <c r="AO721" i="1"/>
  <c r="AP721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D722" i="1"/>
  <c r="AE722" i="1"/>
  <c r="AF722" i="1"/>
  <c r="AG722" i="1"/>
  <c r="AH722" i="1"/>
  <c r="AI722" i="1"/>
  <c r="AJ722" i="1"/>
  <c r="AK722" i="1"/>
  <c r="AL722" i="1"/>
  <c r="AM722" i="1"/>
  <c r="AN722" i="1"/>
  <c r="AO722" i="1"/>
  <c r="AP722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D723" i="1"/>
  <c r="AE723" i="1"/>
  <c r="AF723" i="1"/>
  <c r="AG723" i="1"/>
  <c r="AH723" i="1"/>
  <c r="AI723" i="1"/>
  <c r="AJ723" i="1"/>
  <c r="AK723" i="1"/>
  <c r="AL723" i="1"/>
  <c r="AM723" i="1"/>
  <c r="AN723" i="1"/>
  <c r="AO723" i="1"/>
  <c r="AP723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D724" i="1"/>
  <c r="AE724" i="1"/>
  <c r="AF724" i="1"/>
  <c r="AG724" i="1"/>
  <c r="AH724" i="1"/>
  <c r="AI724" i="1"/>
  <c r="AJ724" i="1"/>
  <c r="AK724" i="1"/>
  <c r="AL724" i="1"/>
  <c r="AM724" i="1"/>
  <c r="AN724" i="1"/>
  <c r="AO724" i="1"/>
  <c r="AP724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D725" i="1"/>
  <c r="AE725" i="1"/>
  <c r="AF725" i="1"/>
  <c r="AG725" i="1"/>
  <c r="AH725" i="1"/>
  <c r="AI725" i="1"/>
  <c r="AJ725" i="1"/>
  <c r="AK725" i="1"/>
  <c r="AL725" i="1"/>
  <c r="AM725" i="1"/>
  <c r="AN725" i="1"/>
  <c r="AO725" i="1"/>
  <c r="AP725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D726" i="1"/>
  <c r="AE726" i="1"/>
  <c r="AF726" i="1"/>
  <c r="AG726" i="1"/>
  <c r="AH726" i="1"/>
  <c r="AI726" i="1"/>
  <c r="AJ726" i="1"/>
  <c r="AK726" i="1"/>
  <c r="AL726" i="1"/>
  <c r="AM726" i="1"/>
  <c r="AN726" i="1"/>
  <c r="AO726" i="1"/>
  <c r="AP726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D727" i="1"/>
  <c r="AE727" i="1"/>
  <c r="AF727" i="1"/>
  <c r="AG727" i="1"/>
  <c r="AH727" i="1"/>
  <c r="AI727" i="1"/>
  <c r="AJ727" i="1"/>
  <c r="AK727" i="1"/>
  <c r="AL727" i="1"/>
  <c r="AM727" i="1"/>
  <c r="AN727" i="1"/>
  <c r="AO727" i="1"/>
  <c r="AP727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D728" i="1"/>
  <c r="AE728" i="1"/>
  <c r="AF728" i="1"/>
  <c r="AG728" i="1"/>
  <c r="AH728" i="1"/>
  <c r="AI728" i="1"/>
  <c r="AJ728" i="1"/>
  <c r="AK728" i="1"/>
  <c r="AL728" i="1"/>
  <c r="AM728" i="1"/>
  <c r="AN728" i="1"/>
  <c r="AO728" i="1"/>
  <c r="AP728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D729" i="1"/>
  <c r="AE729" i="1"/>
  <c r="AF729" i="1"/>
  <c r="AG729" i="1"/>
  <c r="AH729" i="1"/>
  <c r="AI729" i="1"/>
  <c r="AJ729" i="1"/>
  <c r="AK729" i="1"/>
  <c r="AL729" i="1"/>
  <c r="AM729" i="1"/>
  <c r="AN729" i="1"/>
  <c r="AO729" i="1"/>
  <c r="AP729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D730" i="1"/>
  <c r="AE730" i="1"/>
  <c r="AF730" i="1"/>
  <c r="AG730" i="1"/>
  <c r="AH730" i="1"/>
  <c r="AI730" i="1"/>
  <c r="AJ730" i="1"/>
  <c r="AK730" i="1"/>
  <c r="AL730" i="1"/>
  <c r="AM730" i="1"/>
  <c r="AN730" i="1"/>
  <c r="AO730" i="1"/>
  <c r="AP730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D731" i="1"/>
  <c r="AE731" i="1"/>
  <c r="AF731" i="1"/>
  <c r="AG731" i="1"/>
  <c r="AH731" i="1"/>
  <c r="AI731" i="1"/>
  <c r="AJ731" i="1"/>
  <c r="AK731" i="1"/>
  <c r="AL731" i="1"/>
  <c r="AM731" i="1"/>
  <c r="AN731" i="1"/>
  <c r="AO731" i="1"/>
  <c r="AP731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D732" i="1"/>
  <c r="AE732" i="1"/>
  <c r="AF732" i="1"/>
  <c r="AG732" i="1"/>
  <c r="AH732" i="1"/>
  <c r="AI732" i="1"/>
  <c r="AJ732" i="1"/>
  <c r="AK732" i="1"/>
  <c r="AL732" i="1"/>
  <c r="AM732" i="1"/>
  <c r="AN732" i="1"/>
  <c r="AO732" i="1"/>
  <c r="AP732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D733" i="1"/>
  <c r="AE733" i="1"/>
  <c r="AF733" i="1"/>
  <c r="AG733" i="1"/>
  <c r="AH733" i="1"/>
  <c r="AI733" i="1"/>
  <c r="AJ733" i="1"/>
  <c r="AK733" i="1"/>
  <c r="AL733" i="1"/>
  <c r="AM733" i="1"/>
  <c r="AN733" i="1"/>
  <c r="AO733" i="1"/>
  <c r="AP733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D734" i="1"/>
  <c r="AE734" i="1"/>
  <c r="AF734" i="1"/>
  <c r="AG734" i="1"/>
  <c r="AH734" i="1"/>
  <c r="AI734" i="1"/>
  <c r="AJ734" i="1"/>
  <c r="AK734" i="1"/>
  <c r="AL734" i="1"/>
  <c r="AM734" i="1"/>
  <c r="AN734" i="1"/>
  <c r="AO734" i="1"/>
  <c r="AP734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D735" i="1"/>
  <c r="AE735" i="1"/>
  <c r="AF735" i="1"/>
  <c r="AG735" i="1"/>
  <c r="AH735" i="1"/>
  <c r="AI735" i="1"/>
  <c r="AJ735" i="1"/>
  <c r="AK735" i="1"/>
  <c r="AL735" i="1"/>
  <c r="AM735" i="1"/>
  <c r="AN735" i="1"/>
  <c r="AO735" i="1"/>
  <c r="AP735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D736" i="1"/>
  <c r="AE736" i="1"/>
  <c r="AF736" i="1"/>
  <c r="AG736" i="1"/>
  <c r="AH736" i="1"/>
  <c r="AI736" i="1"/>
  <c r="AJ736" i="1"/>
  <c r="AK736" i="1"/>
  <c r="AL736" i="1"/>
  <c r="AM736" i="1"/>
  <c r="AN736" i="1"/>
  <c r="AO736" i="1"/>
  <c r="AP736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D737" i="1"/>
  <c r="AE737" i="1"/>
  <c r="AF737" i="1"/>
  <c r="AG737" i="1"/>
  <c r="AH737" i="1"/>
  <c r="AI737" i="1"/>
  <c r="AJ737" i="1"/>
  <c r="AK737" i="1"/>
  <c r="AL737" i="1"/>
  <c r="AM737" i="1"/>
  <c r="AN737" i="1"/>
  <c r="AO737" i="1"/>
  <c r="AP737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D738" i="1"/>
  <c r="AE738" i="1"/>
  <c r="AF738" i="1"/>
  <c r="AG738" i="1"/>
  <c r="AH738" i="1"/>
  <c r="AI738" i="1"/>
  <c r="AJ738" i="1"/>
  <c r="AK738" i="1"/>
  <c r="AL738" i="1"/>
  <c r="AM738" i="1"/>
  <c r="AN738" i="1"/>
  <c r="AO738" i="1"/>
  <c r="AP738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D739" i="1"/>
  <c r="AE739" i="1"/>
  <c r="AF739" i="1"/>
  <c r="AG739" i="1"/>
  <c r="AH739" i="1"/>
  <c r="AI739" i="1"/>
  <c r="AJ739" i="1"/>
  <c r="AK739" i="1"/>
  <c r="AL739" i="1"/>
  <c r="AM739" i="1"/>
  <c r="AN739" i="1"/>
  <c r="AO739" i="1"/>
  <c r="AP739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D740" i="1"/>
  <c r="AE740" i="1"/>
  <c r="AF740" i="1"/>
  <c r="AG740" i="1"/>
  <c r="AH740" i="1"/>
  <c r="AI740" i="1"/>
  <c r="AJ740" i="1"/>
  <c r="AK740" i="1"/>
  <c r="AL740" i="1"/>
  <c r="AM740" i="1"/>
  <c r="AN740" i="1"/>
  <c r="AO740" i="1"/>
  <c r="AP740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D741" i="1"/>
  <c r="AE741" i="1"/>
  <c r="AF741" i="1"/>
  <c r="AG741" i="1"/>
  <c r="AH741" i="1"/>
  <c r="AI741" i="1"/>
  <c r="AJ741" i="1"/>
  <c r="AK741" i="1"/>
  <c r="AL741" i="1"/>
  <c r="AM741" i="1"/>
  <c r="AN741" i="1"/>
  <c r="AO741" i="1"/>
  <c r="AP741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D742" i="1"/>
  <c r="AE742" i="1"/>
  <c r="AF742" i="1"/>
  <c r="AG742" i="1"/>
  <c r="AH742" i="1"/>
  <c r="AI742" i="1"/>
  <c r="AJ742" i="1"/>
  <c r="AK742" i="1"/>
  <c r="AL742" i="1"/>
  <c r="AM742" i="1"/>
  <c r="AN742" i="1"/>
  <c r="AO742" i="1"/>
  <c r="AP742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D743" i="1"/>
  <c r="AE743" i="1"/>
  <c r="AF743" i="1"/>
  <c r="AG743" i="1"/>
  <c r="AH743" i="1"/>
  <c r="AI743" i="1"/>
  <c r="AJ743" i="1"/>
  <c r="AK743" i="1"/>
  <c r="AL743" i="1"/>
  <c r="AM743" i="1"/>
  <c r="AN743" i="1"/>
  <c r="AO743" i="1"/>
  <c r="AP743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D744" i="1"/>
  <c r="AE744" i="1"/>
  <c r="AF744" i="1"/>
  <c r="AG744" i="1"/>
  <c r="AH744" i="1"/>
  <c r="AI744" i="1"/>
  <c r="AJ744" i="1"/>
  <c r="AK744" i="1"/>
  <c r="AL744" i="1"/>
  <c r="AM744" i="1"/>
  <c r="AN744" i="1"/>
  <c r="AO744" i="1"/>
  <c r="AP744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D745" i="1"/>
  <c r="AE745" i="1"/>
  <c r="AF745" i="1"/>
  <c r="AG745" i="1"/>
  <c r="AH745" i="1"/>
  <c r="AI745" i="1"/>
  <c r="AJ745" i="1"/>
  <c r="AK745" i="1"/>
  <c r="AL745" i="1"/>
  <c r="AM745" i="1"/>
  <c r="AN745" i="1"/>
  <c r="AO745" i="1"/>
  <c r="AP745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D746" i="1"/>
  <c r="AE746" i="1"/>
  <c r="AF746" i="1"/>
  <c r="AG746" i="1"/>
  <c r="AH746" i="1"/>
  <c r="AI746" i="1"/>
  <c r="AJ746" i="1"/>
  <c r="AK746" i="1"/>
  <c r="AL746" i="1"/>
  <c r="AM746" i="1"/>
  <c r="AN746" i="1"/>
  <c r="AO746" i="1"/>
  <c r="AP746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D747" i="1"/>
  <c r="AE747" i="1"/>
  <c r="AF747" i="1"/>
  <c r="AG747" i="1"/>
  <c r="AH747" i="1"/>
  <c r="AI747" i="1"/>
  <c r="AJ747" i="1"/>
  <c r="AK747" i="1"/>
  <c r="AL747" i="1"/>
  <c r="AM747" i="1"/>
  <c r="AN747" i="1"/>
  <c r="AO747" i="1"/>
  <c r="AP747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D748" i="1"/>
  <c r="AE748" i="1"/>
  <c r="AF748" i="1"/>
  <c r="AG748" i="1"/>
  <c r="AH748" i="1"/>
  <c r="AI748" i="1"/>
  <c r="AJ748" i="1"/>
  <c r="AK748" i="1"/>
  <c r="AL748" i="1"/>
  <c r="AM748" i="1"/>
  <c r="AN748" i="1"/>
  <c r="AO748" i="1"/>
  <c r="AP748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D749" i="1"/>
  <c r="AE749" i="1"/>
  <c r="AF749" i="1"/>
  <c r="AG749" i="1"/>
  <c r="AH749" i="1"/>
  <c r="AI749" i="1"/>
  <c r="AJ749" i="1"/>
  <c r="AK749" i="1"/>
  <c r="AL749" i="1"/>
  <c r="AM749" i="1"/>
  <c r="AN749" i="1"/>
  <c r="AO749" i="1"/>
  <c r="AP749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D750" i="1"/>
  <c r="AE750" i="1"/>
  <c r="AF750" i="1"/>
  <c r="AG750" i="1"/>
  <c r="AH750" i="1"/>
  <c r="AI750" i="1"/>
  <c r="AJ750" i="1"/>
  <c r="AK750" i="1"/>
  <c r="AL750" i="1"/>
  <c r="AM750" i="1"/>
  <c r="AN750" i="1"/>
  <c r="AO750" i="1"/>
  <c r="AP750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D751" i="1"/>
  <c r="AE751" i="1"/>
  <c r="AF751" i="1"/>
  <c r="AG751" i="1"/>
  <c r="AH751" i="1"/>
  <c r="AI751" i="1"/>
  <c r="AJ751" i="1"/>
  <c r="AK751" i="1"/>
  <c r="AL751" i="1"/>
  <c r="AM751" i="1"/>
  <c r="AN751" i="1"/>
  <c r="AO751" i="1"/>
  <c r="AP751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D752" i="1"/>
  <c r="AE752" i="1"/>
  <c r="AF752" i="1"/>
  <c r="AG752" i="1"/>
  <c r="AH752" i="1"/>
  <c r="AI752" i="1"/>
  <c r="AJ752" i="1"/>
  <c r="AK752" i="1"/>
  <c r="AL752" i="1"/>
  <c r="AM752" i="1"/>
  <c r="AN752" i="1"/>
  <c r="AO752" i="1"/>
  <c r="AP752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D753" i="1"/>
  <c r="AE753" i="1"/>
  <c r="AF753" i="1"/>
  <c r="AG753" i="1"/>
  <c r="AH753" i="1"/>
  <c r="AI753" i="1"/>
  <c r="AJ753" i="1"/>
  <c r="AK753" i="1"/>
  <c r="AL753" i="1"/>
  <c r="AM753" i="1"/>
  <c r="AN753" i="1"/>
  <c r="AO753" i="1"/>
  <c r="AP753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D754" i="1"/>
  <c r="AE754" i="1"/>
  <c r="AF754" i="1"/>
  <c r="AG754" i="1"/>
  <c r="AH754" i="1"/>
  <c r="AI754" i="1"/>
  <c r="AJ754" i="1"/>
  <c r="AK754" i="1"/>
  <c r="AL754" i="1"/>
  <c r="AM754" i="1"/>
  <c r="AN754" i="1"/>
  <c r="AO754" i="1"/>
  <c r="AP754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D755" i="1"/>
  <c r="AE755" i="1"/>
  <c r="AF755" i="1"/>
  <c r="AG755" i="1"/>
  <c r="AH755" i="1"/>
  <c r="AI755" i="1"/>
  <c r="AJ755" i="1"/>
  <c r="AK755" i="1"/>
  <c r="AL755" i="1"/>
  <c r="AM755" i="1"/>
  <c r="AN755" i="1"/>
  <c r="AO755" i="1"/>
  <c r="AP755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D756" i="1"/>
  <c r="AE756" i="1"/>
  <c r="AF756" i="1"/>
  <c r="AG756" i="1"/>
  <c r="AH756" i="1"/>
  <c r="AI756" i="1"/>
  <c r="AJ756" i="1"/>
  <c r="AK756" i="1"/>
  <c r="AL756" i="1"/>
  <c r="AM756" i="1"/>
  <c r="AN756" i="1"/>
  <c r="AO756" i="1"/>
  <c r="AP756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D757" i="1"/>
  <c r="AE757" i="1"/>
  <c r="AF757" i="1"/>
  <c r="AG757" i="1"/>
  <c r="AH757" i="1"/>
  <c r="AI757" i="1"/>
  <c r="AJ757" i="1"/>
  <c r="AK757" i="1"/>
  <c r="AL757" i="1"/>
  <c r="AM757" i="1"/>
  <c r="AN757" i="1"/>
  <c r="AO757" i="1"/>
  <c r="AP757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D758" i="1"/>
  <c r="AE758" i="1"/>
  <c r="AF758" i="1"/>
  <c r="AG758" i="1"/>
  <c r="AH758" i="1"/>
  <c r="AI758" i="1"/>
  <c r="AJ758" i="1"/>
  <c r="AK758" i="1"/>
  <c r="AL758" i="1"/>
  <c r="AM758" i="1"/>
  <c r="AN758" i="1"/>
  <c r="AO758" i="1"/>
  <c r="AP758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D759" i="1"/>
  <c r="AE759" i="1"/>
  <c r="AF759" i="1"/>
  <c r="AG759" i="1"/>
  <c r="AH759" i="1"/>
  <c r="AI759" i="1"/>
  <c r="AJ759" i="1"/>
  <c r="AK759" i="1"/>
  <c r="AL759" i="1"/>
  <c r="AM759" i="1"/>
  <c r="AN759" i="1"/>
  <c r="AO759" i="1"/>
  <c r="AP759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D760" i="1"/>
  <c r="AE760" i="1"/>
  <c r="AF760" i="1"/>
  <c r="AG760" i="1"/>
  <c r="AH760" i="1"/>
  <c r="AI760" i="1"/>
  <c r="AJ760" i="1"/>
  <c r="AK760" i="1"/>
  <c r="AL760" i="1"/>
  <c r="AM760" i="1"/>
  <c r="AN760" i="1"/>
  <c r="AO760" i="1"/>
  <c r="AP760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D761" i="1"/>
  <c r="AE761" i="1"/>
  <c r="AF761" i="1"/>
  <c r="AG761" i="1"/>
  <c r="AH761" i="1"/>
  <c r="AI761" i="1"/>
  <c r="AJ761" i="1"/>
  <c r="AK761" i="1"/>
  <c r="AL761" i="1"/>
  <c r="AM761" i="1"/>
  <c r="AN761" i="1"/>
  <c r="AO761" i="1"/>
  <c r="AP761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D762" i="1"/>
  <c r="AE762" i="1"/>
  <c r="AF762" i="1"/>
  <c r="AG762" i="1"/>
  <c r="AH762" i="1"/>
  <c r="AI762" i="1"/>
  <c r="AJ762" i="1"/>
  <c r="AK762" i="1"/>
  <c r="AL762" i="1"/>
  <c r="AM762" i="1"/>
  <c r="AN762" i="1"/>
  <c r="AO762" i="1"/>
  <c r="AP762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D763" i="1"/>
  <c r="AE763" i="1"/>
  <c r="AF763" i="1"/>
  <c r="AG763" i="1"/>
  <c r="AH763" i="1"/>
  <c r="AI763" i="1"/>
  <c r="AJ763" i="1"/>
  <c r="AK763" i="1"/>
  <c r="AL763" i="1"/>
  <c r="AM763" i="1"/>
  <c r="AN763" i="1"/>
  <c r="AO763" i="1"/>
  <c r="AP763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D764" i="1"/>
  <c r="AE764" i="1"/>
  <c r="AF764" i="1"/>
  <c r="AG764" i="1"/>
  <c r="AH764" i="1"/>
  <c r="AI764" i="1"/>
  <c r="AJ764" i="1"/>
  <c r="AK764" i="1"/>
  <c r="AL764" i="1"/>
  <c r="AM764" i="1"/>
  <c r="AN764" i="1"/>
  <c r="AO764" i="1"/>
  <c r="AP764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D765" i="1"/>
  <c r="AE765" i="1"/>
  <c r="AF765" i="1"/>
  <c r="AG765" i="1"/>
  <c r="AH765" i="1"/>
  <c r="AI765" i="1"/>
  <c r="AJ765" i="1"/>
  <c r="AK765" i="1"/>
  <c r="AL765" i="1"/>
  <c r="AM765" i="1"/>
  <c r="AN765" i="1"/>
  <c r="AO765" i="1"/>
  <c r="AP765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D766" i="1"/>
  <c r="AE766" i="1"/>
  <c r="AF766" i="1"/>
  <c r="AG766" i="1"/>
  <c r="AH766" i="1"/>
  <c r="AI766" i="1"/>
  <c r="AJ766" i="1"/>
  <c r="AK766" i="1"/>
  <c r="AL766" i="1"/>
  <c r="AM766" i="1"/>
  <c r="AN766" i="1"/>
  <c r="AO766" i="1"/>
  <c r="AP766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D767" i="1"/>
  <c r="AE767" i="1"/>
  <c r="AF767" i="1"/>
  <c r="AG767" i="1"/>
  <c r="AH767" i="1"/>
  <c r="AI767" i="1"/>
  <c r="AJ767" i="1"/>
  <c r="AK767" i="1"/>
  <c r="AL767" i="1"/>
  <c r="AM767" i="1"/>
  <c r="AN767" i="1"/>
  <c r="AO767" i="1"/>
  <c r="AP767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D768" i="1"/>
  <c r="AE768" i="1"/>
  <c r="AF768" i="1"/>
  <c r="AG768" i="1"/>
  <c r="AH768" i="1"/>
  <c r="AI768" i="1"/>
  <c r="AJ768" i="1"/>
  <c r="AK768" i="1"/>
  <c r="AL768" i="1"/>
  <c r="AM768" i="1"/>
  <c r="AN768" i="1"/>
  <c r="AO768" i="1"/>
  <c r="AP768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D769" i="1"/>
  <c r="AE769" i="1"/>
  <c r="AF769" i="1"/>
  <c r="AG769" i="1"/>
  <c r="AH769" i="1"/>
  <c r="AI769" i="1"/>
  <c r="AJ769" i="1"/>
  <c r="AK769" i="1"/>
  <c r="AL769" i="1"/>
  <c r="AM769" i="1"/>
  <c r="AN769" i="1"/>
  <c r="AO769" i="1"/>
  <c r="AP769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D770" i="1"/>
  <c r="AE770" i="1"/>
  <c r="AF770" i="1"/>
  <c r="AG770" i="1"/>
  <c r="AH770" i="1"/>
  <c r="AI770" i="1"/>
  <c r="AJ770" i="1"/>
  <c r="AK770" i="1"/>
  <c r="AL770" i="1"/>
  <c r="AM770" i="1"/>
  <c r="AN770" i="1"/>
  <c r="AO770" i="1"/>
  <c r="AP770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D771" i="1"/>
  <c r="AE771" i="1"/>
  <c r="AF771" i="1"/>
  <c r="AG771" i="1"/>
  <c r="AH771" i="1"/>
  <c r="AI771" i="1"/>
  <c r="AJ771" i="1"/>
  <c r="AK771" i="1"/>
  <c r="AL771" i="1"/>
  <c r="AM771" i="1"/>
  <c r="AN771" i="1"/>
  <c r="AO771" i="1"/>
  <c r="AP771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D772" i="1"/>
  <c r="AE772" i="1"/>
  <c r="AF772" i="1"/>
  <c r="AG772" i="1"/>
  <c r="AH772" i="1"/>
  <c r="AI772" i="1"/>
  <c r="AJ772" i="1"/>
  <c r="AK772" i="1"/>
  <c r="AL772" i="1"/>
  <c r="AM772" i="1"/>
  <c r="AN772" i="1"/>
  <c r="AO772" i="1"/>
  <c r="AP772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D773" i="1"/>
  <c r="AE773" i="1"/>
  <c r="AF773" i="1"/>
  <c r="AG773" i="1"/>
  <c r="AH773" i="1"/>
  <c r="AI773" i="1"/>
  <c r="AJ773" i="1"/>
  <c r="AK773" i="1"/>
  <c r="AL773" i="1"/>
  <c r="AM773" i="1"/>
  <c r="AN773" i="1"/>
  <c r="AO773" i="1"/>
  <c r="AP773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D774" i="1"/>
  <c r="AE774" i="1"/>
  <c r="AF774" i="1"/>
  <c r="AG774" i="1"/>
  <c r="AH774" i="1"/>
  <c r="AI774" i="1"/>
  <c r="AJ774" i="1"/>
  <c r="AK774" i="1"/>
  <c r="AL774" i="1"/>
  <c r="AM774" i="1"/>
  <c r="AN774" i="1"/>
  <c r="AO774" i="1"/>
  <c r="AP774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D775" i="1"/>
  <c r="AE775" i="1"/>
  <c r="AF775" i="1"/>
  <c r="AG775" i="1"/>
  <c r="AH775" i="1"/>
  <c r="AI775" i="1"/>
  <c r="AJ775" i="1"/>
  <c r="AK775" i="1"/>
  <c r="AL775" i="1"/>
  <c r="AM775" i="1"/>
  <c r="AN775" i="1"/>
  <c r="AO775" i="1"/>
  <c r="AP775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D776" i="1"/>
  <c r="AE776" i="1"/>
  <c r="AF776" i="1"/>
  <c r="AG776" i="1"/>
  <c r="AH776" i="1"/>
  <c r="AI776" i="1"/>
  <c r="AJ776" i="1"/>
  <c r="AK776" i="1"/>
  <c r="AL776" i="1"/>
  <c r="AM776" i="1"/>
  <c r="AN776" i="1"/>
  <c r="AO776" i="1"/>
  <c r="AP776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D777" i="1"/>
  <c r="AE777" i="1"/>
  <c r="AF777" i="1"/>
  <c r="AG777" i="1"/>
  <c r="AH777" i="1"/>
  <c r="AI777" i="1"/>
  <c r="AJ777" i="1"/>
  <c r="AK777" i="1"/>
  <c r="AL777" i="1"/>
  <c r="AM777" i="1"/>
  <c r="AN777" i="1"/>
  <c r="AO777" i="1"/>
  <c r="AP777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D778" i="1"/>
  <c r="AE778" i="1"/>
  <c r="AF778" i="1"/>
  <c r="AG778" i="1"/>
  <c r="AH778" i="1"/>
  <c r="AI778" i="1"/>
  <c r="AJ778" i="1"/>
  <c r="AK778" i="1"/>
  <c r="AL778" i="1"/>
  <c r="AM778" i="1"/>
  <c r="AN778" i="1"/>
  <c r="AO778" i="1"/>
  <c r="AP778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D779" i="1"/>
  <c r="AE779" i="1"/>
  <c r="AF779" i="1"/>
  <c r="AG779" i="1"/>
  <c r="AH779" i="1"/>
  <c r="AI779" i="1"/>
  <c r="AJ779" i="1"/>
  <c r="AK779" i="1"/>
  <c r="AL779" i="1"/>
  <c r="AM779" i="1"/>
  <c r="AN779" i="1"/>
  <c r="AO779" i="1"/>
  <c r="AP779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D780" i="1"/>
  <c r="AE780" i="1"/>
  <c r="AF780" i="1"/>
  <c r="AG780" i="1"/>
  <c r="AH780" i="1"/>
  <c r="AI780" i="1"/>
  <c r="AJ780" i="1"/>
  <c r="AK780" i="1"/>
  <c r="AL780" i="1"/>
  <c r="AM780" i="1"/>
  <c r="AN780" i="1"/>
  <c r="AO780" i="1"/>
  <c r="AP780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D781" i="1"/>
  <c r="AE781" i="1"/>
  <c r="AF781" i="1"/>
  <c r="AG781" i="1"/>
  <c r="AH781" i="1"/>
  <c r="AI781" i="1"/>
  <c r="AJ781" i="1"/>
  <c r="AK781" i="1"/>
  <c r="AL781" i="1"/>
  <c r="AM781" i="1"/>
  <c r="AN781" i="1"/>
  <c r="AO781" i="1"/>
  <c r="AP781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D782" i="1"/>
  <c r="AE782" i="1"/>
  <c r="AF782" i="1"/>
  <c r="AG782" i="1"/>
  <c r="AH782" i="1"/>
  <c r="AI782" i="1"/>
  <c r="AJ782" i="1"/>
  <c r="AK782" i="1"/>
  <c r="AL782" i="1"/>
  <c r="AM782" i="1"/>
  <c r="AN782" i="1"/>
  <c r="AO782" i="1"/>
  <c r="AP782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D783" i="1"/>
  <c r="AE783" i="1"/>
  <c r="AF783" i="1"/>
  <c r="AG783" i="1"/>
  <c r="AH783" i="1"/>
  <c r="AI783" i="1"/>
  <c r="AJ783" i="1"/>
  <c r="AK783" i="1"/>
  <c r="AL783" i="1"/>
  <c r="AM783" i="1"/>
  <c r="AN783" i="1"/>
  <c r="AO783" i="1"/>
  <c r="AP783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D784" i="1"/>
  <c r="AE784" i="1"/>
  <c r="AF784" i="1"/>
  <c r="AG784" i="1"/>
  <c r="AH784" i="1"/>
  <c r="AI784" i="1"/>
  <c r="AJ784" i="1"/>
  <c r="AK784" i="1"/>
  <c r="AL784" i="1"/>
  <c r="AM784" i="1"/>
  <c r="AN784" i="1"/>
  <c r="AO784" i="1"/>
  <c r="AP784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D785" i="1"/>
  <c r="AE785" i="1"/>
  <c r="AF785" i="1"/>
  <c r="AG785" i="1"/>
  <c r="AH785" i="1"/>
  <c r="AI785" i="1"/>
  <c r="AJ785" i="1"/>
  <c r="AK785" i="1"/>
  <c r="AL785" i="1"/>
  <c r="AM785" i="1"/>
  <c r="AN785" i="1"/>
  <c r="AO785" i="1"/>
  <c r="AP785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D786" i="1"/>
  <c r="AE786" i="1"/>
  <c r="AF786" i="1"/>
  <c r="AG786" i="1"/>
  <c r="AH786" i="1"/>
  <c r="AI786" i="1"/>
  <c r="AJ786" i="1"/>
  <c r="AK786" i="1"/>
  <c r="AL786" i="1"/>
  <c r="AM786" i="1"/>
  <c r="AN786" i="1"/>
  <c r="AO786" i="1"/>
  <c r="AP786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D787" i="1"/>
  <c r="AE787" i="1"/>
  <c r="AF787" i="1"/>
  <c r="AG787" i="1"/>
  <c r="AH787" i="1"/>
  <c r="AI787" i="1"/>
  <c r="AJ787" i="1"/>
  <c r="AK787" i="1"/>
  <c r="AL787" i="1"/>
  <c r="AM787" i="1"/>
  <c r="AN787" i="1"/>
  <c r="AO787" i="1"/>
  <c r="AP787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D788" i="1"/>
  <c r="AE788" i="1"/>
  <c r="AF788" i="1"/>
  <c r="AG788" i="1"/>
  <c r="AH788" i="1"/>
  <c r="AI788" i="1"/>
  <c r="AJ788" i="1"/>
  <c r="AK788" i="1"/>
  <c r="AL788" i="1"/>
  <c r="AM788" i="1"/>
  <c r="AN788" i="1"/>
  <c r="AO788" i="1"/>
  <c r="AP788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D789" i="1"/>
  <c r="AE789" i="1"/>
  <c r="AF789" i="1"/>
  <c r="AG789" i="1"/>
  <c r="AH789" i="1"/>
  <c r="AI789" i="1"/>
  <c r="AJ789" i="1"/>
  <c r="AK789" i="1"/>
  <c r="AL789" i="1"/>
  <c r="AM789" i="1"/>
  <c r="AN789" i="1"/>
  <c r="AO789" i="1"/>
  <c r="AP789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D790" i="1"/>
  <c r="AE790" i="1"/>
  <c r="AF790" i="1"/>
  <c r="AG790" i="1"/>
  <c r="AH790" i="1"/>
  <c r="AI790" i="1"/>
  <c r="AJ790" i="1"/>
  <c r="AK790" i="1"/>
  <c r="AL790" i="1"/>
  <c r="AM790" i="1"/>
  <c r="AN790" i="1"/>
  <c r="AO790" i="1"/>
  <c r="AP790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D791" i="1"/>
  <c r="AE791" i="1"/>
  <c r="AF791" i="1"/>
  <c r="AG791" i="1"/>
  <c r="AH791" i="1"/>
  <c r="AI791" i="1"/>
  <c r="AJ791" i="1"/>
  <c r="AK791" i="1"/>
  <c r="AL791" i="1"/>
  <c r="AM791" i="1"/>
  <c r="AN791" i="1"/>
  <c r="AO791" i="1"/>
  <c r="AP791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D792" i="1"/>
  <c r="AE792" i="1"/>
  <c r="AF792" i="1"/>
  <c r="AG792" i="1"/>
  <c r="AH792" i="1"/>
  <c r="AI792" i="1"/>
  <c r="AJ792" i="1"/>
  <c r="AK792" i="1"/>
  <c r="AL792" i="1"/>
  <c r="AM792" i="1"/>
  <c r="AN792" i="1"/>
  <c r="AO792" i="1"/>
  <c r="AP792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D793" i="1"/>
  <c r="AE793" i="1"/>
  <c r="AF793" i="1"/>
  <c r="AG793" i="1"/>
  <c r="AH793" i="1"/>
  <c r="AI793" i="1"/>
  <c r="AJ793" i="1"/>
  <c r="AK793" i="1"/>
  <c r="AL793" i="1"/>
  <c r="AM793" i="1"/>
  <c r="AN793" i="1"/>
  <c r="AO793" i="1"/>
  <c r="AP793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D794" i="1"/>
  <c r="AE794" i="1"/>
  <c r="AF794" i="1"/>
  <c r="AG794" i="1"/>
  <c r="AH794" i="1"/>
  <c r="AI794" i="1"/>
  <c r="AJ794" i="1"/>
  <c r="AK794" i="1"/>
  <c r="AL794" i="1"/>
  <c r="AM794" i="1"/>
  <c r="AN794" i="1"/>
  <c r="AO794" i="1"/>
  <c r="AP794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D795" i="1"/>
  <c r="AE795" i="1"/>
  <c r="AF795" i="1"/>
  <c r="AG795" i="1"/>
  <c r="AH795" i="1"/>
  <c r="AI795" i="1"/>
  <c r="AJ795" i="1"/>
  <c r="AK795" i="1"/>
  <c r="AL795" i="1"/>
  <c r="AM795" i="1"/>
  <c r="AN795" i="1"/>
  <c r="AO795" i="1"/>
  <c r="AP795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D796" i="1"/>
  <c r="AE796" i="1"/>
  <c r="AF796" i="1"/>
  <c r="AG796" i="1"/>
  <c r="AH796" i="1"/>
  <c r="AI796" i="1"/>
  <c r="AJ796" i="1"/>
  <c r="AK796" i="1"/>
  <c r="AL796" i="1"/>
  <c r="AM796" i="1"/>
  <c r="AN796" i="1"/>
  <c r="AO796" i="1"/>
  <c r="AP796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D797" i="1"/>
  <c r="AE797" i="1"/>
  <c r="AF797" i="1"/>
  <c r="AG797" i="1"/>
  <c r="AH797" i="1"/>
  <c r="AI797" i="1"/>
  <c r="AJ797" i="1"/>
  <c r="AK797" i="1"/>
  <c r="AL797" i="1"/>
  <c r="AM797" i="1"/>
  <c r="AN797" i="1"/>
  <c r="AO797" i="1"/>
  <c r="AP797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D798" i="1"/>
  <c r="AE798" i="1"/>
  <c r="AF798" i="1"/>
  <c r="AG798" i="1"/>
  <c r="AH798" i="1"/>
  <c r="AI798" i="1"/>
  <c r="AJ798" i="1"/>
  <c r="AK798" i="1"/>
  <c r="AL798" i="1"/>
  <c r="AM798" i="1"/>
  <c r="AN798" i="1"/>
  <c r="AO798" i="1"/>
  <c r="AP798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D799" i="1"/>
  <c r="AE799" i="1"/>
  <c r="AF799" i="1"/>
  <c r="AG799" i="1"/>
  <c r="AH799" i="1"/>
  <c r="AI799" i="1"/>
  <c r="AJ799" i="1"/>
  <c r="AK799" i="1"/>
  <c r="AL799" i="1"/>
  <c r="AM799" i="1"/>
  <c r="AN799" i="1"/>
  <c r="AO799" i="1"/>
  <c r="AP799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D800" i="1"/>
  <c r="AE800" i="1"/>
  <c r="AF800" i="1"/>
  <c r="AG800" i="1"/>
  <c r="AH800" i="1"/>
  <c r="AI800" i="1"/>
  <c r="AJ800" i="1"/>
  <c r="AK800" i="1"/>
  <c r="AL800" i="1"/>
  <c r="AM800" i="1"/>
  <c r="AN800" i="1"/>
  <c r="AO800" i="1"/>
  <c r="AP800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D801" i="1"/>
  <c r="AE801" i="1"/>
  <c r="AF801" i="1"/>
  <c r="AG801" i="1"/>
  <c r="AH801" i="1"/>
  <c r="AI801" i="1"/>
  <c r="AJ801" i="1"/>
  <c r="AK801" i="1"/>
  <c r="AL801" i="1"/>
  <c r="AM801" i="1"/>
  <c r="AN801" i="1"/>
  <c r="AO801" i="1"/>
  <c r="AP801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D802" i="1"/>
  <c r="AE802" i="1"/>
  <c r="AF802" i="1"/>
  <c r="AG802" i="1"/>
  <c r="AH802" i="1"/>
  <c r="AI802" i="1"/>
  <c r="AJ802" i="1"/>
  <c r="AK802" i="1"/>
  <c r="AL802" i="1"/>
  <c r="AM802" i="1"/>
  <c r="AN802" i="1"/>
  <c r="AO802" i="1"/>
  <c r="AP802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D803" i="1"/>
  <c r="AE803" i="1"/>
  <c r="AF803" i="1"/>
  <c r="AG803" i="1"/>
  <c r="AH803" i="1"/>
  <c r="AI803" i="1"/>
  <c r="AJ803" i="1"/>
  <c r="AK803" i="1"/>
  <c r="AL803" i="1"/>
  <c r="AM803" i="1"/>
  <c r="AN803" i="1"/>
  <c r="AO803" i="1"/>
  <c r="AP803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D804" i="1"/>
  <c r="AE804" i="1"/>
  <c r="AF804" i="1"/>
  <c r="AG804" i="1"/>
  <c r="AH804" i="1"/>
  <c r="AI804" i="1"/>
  <c r="AJ804" i="1"/>
  <c r="AK804" i="1"/>
  <c r="AL804" i="1"/>
  <c r="AM804" i="1"/>
  <c r="AN804" i="1"/>
  <c r="AO804" i="1"/>
  <c r="AP804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D805" i="1"/>
  <c r="AE805" i="1"/>
  <c r="AF805" i="1"/>
  <c r="AG805" i="1"/>
  <c r="AH805" i="1"/>
  <c r="AI805" i="1"/>
  <c r="AJ805" i="1"/>
  <c r="AK805" i="1"/>
  <c r="AL805" i="1"/>
  <c r="AM805" i="1"/>
  <c r="AN805" i="1"/>
  <c r="AO805" i="1"/>
  <c r="AP805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D806" i="1"/>
  <c r="AE806" i="1"/>
  <c r="AF806" i="1"/>
  <c r="AG806" i="1"/>
  <c r="AH806" i="1"/>
  <c r="AI806" i="1"/>
  <c r="AJ806" i="1"/>
  <c r="AK806" i="1"/>
  <c r="AL806" i="1"/>
  <c r="AM806" i="1"/>
  <c r="AN806" i="1"/>
  <c r="AO806" i="1"/>
  <c r="AP806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D807" i="1"/>
  <c r="AE807" i="1"/>
  <c r="AF807" i="1"/>
  <c r="AG807" i="1"/>
  <c r="AH807" i="1"/>
  <c r="AI807" i="1"/>
  <c r="AJ807" i="1"/>
  <c r="AK807" i="1"/>
  <c r="AL807" i="1"/>
  <c r="AM807" i="1"/>
  <c r="AN807" i="1"/>
  <c r="AO807" i="1"/>
  <c r="AP807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D808" i="1"/>
  <c r="AE808" i="1"/>
  <c r="AF808" i="1"/>
  <c r="AG808" i="1"/>
  <c r="AH808" i="1"/>
  <c r="AI808" i="1"/>
  <c r="AJ808" i="1"/>
  <c r="AK808" i="1"/>
  <c r="AL808" i="1"/>
  <c r="AM808" i="1"/>
  <c r="AN808" i="1"/>
  <c r="AO808" i="1"/>
  <c r="AP808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D809" i="1"/>
  <c r="AE809" i="1"/>
  <c r="AF809" i="1"/>
  <c r="AG809" i="1"/>
  <c r="AH809" i="1"/>
  <c r="AI809" i="1"/>
  <c r="AJ809" i="1"/>
  <c r="AK809" i="1"/>
  <c r="AL809" i="1"/>
  <c r="AM809" i="1"/>
  <c r="AN809" i="1"/>
  <c r="AO809" i="1"/>
  <c r="AP809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D810" i="1"/>
  <c r="AE810" i="1"/>
  <c r="AF810" i="1"/>
  <c r="AG810" i="1"/>
  <c r="AH810" i="1"/>
  <c r="AI810" i="1"/>
  <c r="AJ810" i="1"/>
  <c r="AK810" i="1"/>
  <c r="AL810" i="1"/>
  <c r="AM810" i="1"/>
  <c r="AN810" i="1"/>
  <c r="AO810" i="1"/>
  <c r="AP810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D811" i="1"/>
  <c r="AE811" i="1"/>
  <c r="AF811" i="1"/>
  <c r="AG811" i="1"/>
  <c r="AH811" i="1"/>
  <c r="AI811" i="1"/>
  <c r="AJ811" i="1"/>
  <c r="AK811" i="1"/>
  <c r="AL811" i="1"/>
  <c r="AM811" i="1"/>
  <c r="AN811" i="1"/>
  <c r="AO811" i="1"/>
  <c r="AP811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D812" i="1"/>
  <c r="AE812" i="1"/>
  <c r="AF812" i="1"/>
  <c r="AG812" i="1"/>
  <c r="AH812" i="1"/>
  <c r="AI812" i="1"/>
  <c r="AJ812" i="1"/>
  <c r="AK812" i="1"/>
  <c r="AL812" i="1"/>
  <c r="AM812" i="1"/>
  <c r="AN812" i="1"/>
  <c r="AO812" i="1"/>
  <c r="AP812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D813" i="1"/>
  <c r="AE813" i="1"/>
  <c r="AF813" i="1"/>
  <c r="AG813" i="1"/>
  <c r="AH813" i="1"/>
  <c r="AI813" i="1"/>
  <c r="AJ813" i="1"/>
  <c r="AK813" i="1"/>
  <c r="AL813" i="1"/>
  <c r="AM813" i="1"/>
  <c r="AN813" i="1"/>
  <c r="AO813" i="1"/>
  <c r="AP813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D814" i="1"/>
  <c r="AE814" i="1"/>
  <c r="AF814" i="1"/>
  <c r="AG814" i="1"/>
  <c r="AH814" i="1"/>
  <c r="AI814" i="1"/>
  <c r="AJ814" i="1"/>
  <c r="AK814" i="1"/>
  <c r="AL814" i="1"/>
  <c r="AM814" i="1"/>
  <c r="AN814" i="1"/>
  <c r="AO814" i="1"/>
  <c r="AP814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D815" i="1"/>
  <c r="AE815" i="1"/>
  <c r="AF815" i="1"/>
  <c r="AG815" i="1"/>
  <c r="AH815" i="1"/>
  <c r="AI815" i="1"/>
  <c r="AJ815" i="1"/>
  <c r="AK815" i="1"/>
  <c r="AL815" i="1"/>
  <c r="AM815" i="1"/>
  <c r="AN815" i="1"/>
  <c r="AO815" i="1"/>
  <c r="AP815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D816" i="1"/>
  <c r="AE816" i="1"/>
  <c r="AF816" i="1"/>
  <c r="AG816" i="1"/>
  <c r="AH816" i="1"/>
  <c r="AI816" i="1"/>
  <c r="AJ816" i="1"/>
  <c r="AK816" i="1"/>
  <c r="AL816" i="1"/>
  <c r="AM816" i="1"/>
  <c r="AN816" i="1"/>
  <c r="AO816" i="1"/>
  <c r="AP816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D817" i="1"/>
  <c r="AE817" i="1"/>
  <c r="AF817" i="1"/>
  <c r="AG817" i="1"/>
  <c r="AH817" i="1"/>
  <c r="AI817" i="1"/>
  <c r="AJ817" i="1"/>
  <c r="AK817" i="1"/>
  <c r="AL817" i="1"/>
  <c r="AM817" i="1"/>
  <c r="AN817" i="1"/>
  <c r="AO817" i="1"/>
  <c r="AP817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D818" i="1"/>
  <c r="AE818" i="1"/>
  <c r="AF818" i="1"/>
  <c r="AG818" i="1"/>
  <c r="AH818" i="1"/>
  <c r="AI818" i="1"/>
  <c r="AJ818" i="1"/>
  <c r="AK818" i="1"/>
  <c r="AL818" i="1"/>
  <c r="AM818" i="1"/>
  <c r="AN818" i="1"/>
  <c r="AO818" i="1"/>
  <c r="AP818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D819" i="1"/>
  <c r="AE819" i="1"/>
  <c r="AF819" i="1"/>
  <c r="AG819" i="1"/>
  <c r="AH819" i="1"/>
  <c r="AI819" i="1"/>
  <c r="AJ819" i="1"/>
  <c r="AK819" i="1"/>
  <c r="AL819" i="1"/>
  <c r="AM819" i="1"/>
  <c r="AN819" i="1"/>
  <c r="AO819" i="1"/>
  <c r="AP819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D820" i="1"/>
  <c r="AE820" i="1"/>
  <c r="AF820" i="1"/>
  <c r="AG820" i="1"/>
  <c r="AH820" i="1"/>
  <c r="AI820" i="1"/>
  <c r="AJ820" i="1"/>
  <c r="AK820" i="1"/>
  <c r="AL820" i="1"/>
  <c r="AM820" i="1"/>
  <c r="AN820" i="1"/>
  <c r="AO820" i="1"/>
  <c r="AP820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D821" i="1"/>
  <c r="AE821" i="1"/>
  <c r="AF821" i="1"/>
  <c r="AG821" i="1"/>
  <c r="AH821" i="1"/>
  <c r="AI821" i="1"/>
  <c r="AJ821" i="1"/>
  <c r="AK821" i="1"/>
  <c r="AL821" i="1"/>
  <c r="AM821" i="1"/>
  <c r="AN821" i="1"/>
  <c r="AO821" i="1"/>
  <c r="AP821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D822" i="1"/>
  <c r="AE822" i="1"/>
  <c r="AF822" i="1"/>
  <c r="AG822" i="1"/>
  <c r="AH822" i="1"/>
  <c r="AI822" i="1"/>
  <c r="AJ822" i="1"/>
  <c r="AK822" i="1"/>
  <c r="AL822" i="1"/>
  <c r="AM822" i="1"/>
  <c r="AN822" i="1"/>
  <c r="AO822" i="1"/>
  <c r="AP822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D823" i="1"/>
  <c r="AE823" i="1"/>
  <c r="AF823" i="1"/>
  <c r="AG823" i="1"/>
  <c r="AH823" i="1"/>
  <c r="AI823" i="1"/>
  <c r="AJ823" i="1"/>
  <c r="AK823" i="1"/>
  <c r="AL823" i="1"/>
  <c r="AM823" i="1"/>
  <c r="AN823" i="1"/>
  <c r="AO823" i="1"/>
  <c r="AP823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D824" i="1"/>
  <c r="AE824" i="1"/>
  <c r="AF824" i="1"/>
  <c r="AG824" i="1"/>
  <c r="AH824" i="1"/>
  <c r="AI824" i="1"/>
  <c r="AJ824" i="1"/>
  <c r="AK824" i="1"/>
  <c r="AL824" i="1"/>
  <c r="AM824" i="1"/>
  <c r="AN824" i="1"/>
  <c r="AO824" i="1"/>
  <c r="AP824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D825" i="1"/>
  <c r="AE825" i="1"/>
  <c r="AF825" i="1"/>
  <c r="AG825" i="1"/>
  <c r="AH825" i="1"/>
  <c r="AI825" i="1"/>
  <c r="AJ825" i="1"/>
  <c r="AK825" i="1"/>
  <c r="AL825" i="1"/>
  <c r="AM825" i="1"/>
  <c r="AN825" i="1"/>
  <c r="AO825" i="1"/>
  <c r="AP825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D826" i="1"/>
  <c r="AE826" i="1"/>
  <c r="AF826" i="1"/>
  <c r="AG826" i="1"/>
  <c r="AH826" i="1"/>
  <c r="AI826" i="1"/>
  <c r="AJ826" i="1"/>
  <c r="AK826" i="1"/>
  <c r="AL826" i="1"/>
  <c r="AM826" i="1"/>
  <c r="AN826" i="1"/>
  <c r="AO826" i="1"/>
  <c r="AP826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D827" i="1"/>
  <c r="AE827" i="1"/>
  <c r="AF827" i="1"/>
  <c r="AG827" i="1"/>
  <c r="AH827" i="1"/>
  <c r="AI827" i="1"/>
  <c r="AJ827" i="1"/>
  <c r="AK827" i="1"/>
  <c r="AL827" i="1"/>
  <c r="AM827" i="1"/>
  <c r="AN827" i="1"/>
  <c r="AO827" i="1"/>
  <c r="AP827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D828" i="1"/>
  <c r="AE828" i="1"/>
  <c r="AF828" i="1"/>
  <c r="AG828" i="1"/>
  <c r="AH828" i="1"/>
  <c r="AI828" i="1"/>
  <c r="AJ828" i="1"/>
  <c r="AK828" i="1"/>
  <c r="AL828" i="1"/>
  <c r="AM828" i="1"/>
  <c r="AN828" i="1"/>
  <c r="AO828" i="1"/>
  <c r="AP828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D829" i="1"/>
  <c r="AE829" i="1"/>
  <c r="AF829" i="1"/>
  <c r="AG829" i="1"/>
  <c r="AH829" i="1"/>
  <c r="AI829" i="1"/>
  <c r="AJ829" i="1"/>
  <c r="AK829" i="1"/>
  <c r="AL829" i="1"/>
  <c r="AM829" i="1"/>
  <c r="AN829" i="1"/>
  <c r="AO829" i="1"/>
  <c r="AP829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D830" i="1"/>
  <c r="AE830" i="1"/>
  <c r="AF830" i="1"/>
  <c r="AG830" i="1"/>
  <c r="AH830" i="1"/>
  <c r="AI830" i="1"/>
  <c r="AJ830" i="1"/>
  <c r="AK830" i="1"/>
  <c r="AL830" i="1"/>
  <c r="AM830" i="1"/>
  <c r="AN830" i="1"/>
  <c r="AO830" i="1"/>
  <c r="AP830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D831" i="1"/>
  <c r="AE831" i="1"/>
  <c r="AF831" i="1"/>
  <c r="AG831" i="1"/>
  <c r="AH831" i="1"/>
  <c r="AI831" i="1"/>
  <c r="AJ831" i="1"/>
  <c r="AK831" i="1"/>
  <c r="AL831" i="1"/>
  <c r="AM831" i="1"/>
  <c r="AN831" i="1"/>
  <c r="AO831" i="1"/>
  <c r="AP831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D832" i="1"/>
  <c r="AE832" i="1"/>
  <c r="AF832" i="1"/>
  <c r="AG832" i="1"/>
  <c r="AH832" i="1"/>
  <c r="AI832" i="1"/>
  <c r="AJ832" i="1"/>
  <c r="AK832" i="1"/>
  <c r="AL832" i="1"/>
  <c r="AM832" i="1"/>
  <c r="AN832" i="1"/>
  <c r="AO832" i="1"/>
  <c r="AP832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D833" i="1"/>
  <c r="AE833" i="1"/>
  <c r="AF833" i="1"/>
  <c r="AG833" i="1"/>
  <c r="AH833" i="1"/>
  <c r="AI833" i="1"/>
  <c r="AJ833" i="1"/>
  <c r="AK833" i="1"/>
  <c r="AL833" i="1"/>
  <c r="AM833" i="1"/>
  <c r="AN833" i="1"/>
  <c r="AO833" i="1"/>
  <c r="AP833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D834" i="1"/>
  <c r="AE834" i="1"/>
  <c r="AF834" i="1"/>
  <c r="AG834" i="1"/>
  <c r="AH834" i="1"/>
  <c r="AI834" i="1"/>
  <c r="AJ834" i="1"/>
  <c r="AK834" i="1"/>
  <c r="AL834" i="1"/>
  <c r="AM834" i="1"/>
  <c r="AN834" i="1"/>
  <c r="AO834" i="1"/>
  <c r="AP834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D835" i="1"/>
  <c r="AE835" i="1"/>
  <c r="AF835" i="1"/>
  <c r="AG835" i="1"/>
  <c r="AH835" i="1"/>
  <c r="AI835" i="1"/>
  <c r="AJ835" i="1"/>
  <c r="AK835" i="1"/>
  <c r="AL835" i="1"/>
  <c r="AM835" i="1"/>
  <c r="AN835" i="1"/>
  <c r="AO835" i="1"/>
  <c r="AP835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D836" i="1"/>
  <c r="AE836" i="1"/>
  <c r="AF836" i="1"/>
  <c r="AG836" i="1"/>
  <c r="AH836" i="1"/>
  <c r="AI836" i="1"/>
  <c r="AJ836" i="1"/>
  <c r="AK836" i="1"/>
  <c r="AL836" i="1"/>
  <c r="AM836" i="1"/>
  <c r="AN836" i="1"/>
  <c r="AO836" i="1"/>
  <c r="AP836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D837" i="1"/>
  <c r="AE837" i="1"/>
  <c r="AF837" i="1"/>
  <c r="AG837" i="1"/>
  <c r="AH837" i="1"/>
  <c r="AI837" i="1"/>
  <c r="AJ837" i="1"/>
  <c r="AK837" i="1"/>
  <c r="AL837" i="1"/>
  <c r="AM837" i="1"/>
  <c r="AN837" i="1"/>
  <c r="AO837" i="1"/>
  <c r="AP837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D838" i="1"/>
  <c r="AE838" i="1"/>
  <c r="AF838" i="1"/>
  <c r="AG838" i="1"/>
  <c r="AH838" i="1"/>
  <c r="AI838" i="1"/>
  <c r="AJ838" i="1"/>
  <c r="AK838" i="1"/>
  <c r="AL838" i="1"/>
  <c r="AM838" i="1"/>
  <c r="AN838" i="1"/>
  <c r="AO838" i="1"/>
  <c r="AP838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D839" i="1"/>
  <c r="AE839" i="1"/>
  <c r="AF839" i="1"/>
  <c r="AG839" i="1"/>
  <c r="AH839" i="1"/>
  <c r="AI839" i="1"/>
  <c r="AJ839" i="1"/>
  <c r="AK839" i="1"/>
  <c r="AL839" i="1"/>
  <c r="AM839" i="1"/>
  <c r="AN839" i="1"/>
  <c r="AO839" i="1"/>
  <c r="AP839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D840" i="1"/>
  <c r="AE840" i="1"/>
  <c r="AF840" i="1"/>
  <c r="AG840" i="1"/>
  <c r="AH840" i="1"/>
  <c r="AI840" i="1"/>
  <c r="AJ840" i="1"/>
  <c r="AK840" i="1"/>
  <c r="AL840" i="1"/>
  <c r="AM840" i="1"/>
  <c r="AN840" i="1"/>
  <c r="AO840" i="1"/>
  <c r="AP840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D841" i="1"/>
  <c r="AE841" i="1"/>
  <c r="AF841" i="1"/>
  <c r="AG841" i="1"/>
  <c r="AH841" i="1"/>
  <c r="AI841" i="1"/>
  <c r="AJ841" i="1"/>
  <c r="AK841" i="1"/>
  <c r="AL841" i="1"/>
  <c r="AM841" i="1"/>
  <c r="AN841" i="1"/>
  <c r="AO841" i="1"/>
  <c r="AP841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D842" i="1"/>
  <c r="AE842" i="1"/>
  <c r="AF842" i="1"/>
  <c r="AG842" i="1"/>
  <c r="AH842" i="1"/>
  <c r="AI842" i="1"/>
  <c r="AJ842" i="1"/>
  <c r="AK842" i="1"/>
  <c r="AL842" i="1"/>
  <c r="AM842" i="1"/>
  <c r="AN842" i="1"/>
  <c r="AO842" i="1"/>
  <c r="AP842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D843" i="1"/>
  <c r="AE843" i="1"/>
  <c r="AF843" i="1"/>
  <c r="AG843" i="1"/>
  <c r="AH843" i="1"/>
  <c r="AI843" i="1"/>
  <c r="AJ843" i="1"/>
  <c r="AK843" i="1"/>
  <c r="AL843" i="1"/>
  <c r="AM843" i="1"/>
  <c r="AN843" i="1"/>
  <c r="AO843" i="1"/>
  <c r="AP843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D844" i="1"/>
  <c r="AE844" i="1"/>
  <c r="AF844" i="1"/>
  <c r="AG844" i="1"/>
  <c r="AH844" i="1"/>
  <c r="AI844" i="1"/>
  <c r="AJ844" i="1"/>
  <c r="AK844" i="1"/>
  <c r="AL844" i="1"/>
  <c r="AM844" i="1"/>
  <c r="AN844" i="1"/>
  <c r="AO844" i="1"/>
  <c r="AP844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D845" i="1"/>
  <c r="AE845" i="1"/>
  <c r="AF845" i="1"/>
  <c r="AG845" i="1"/>
  <c r="AH845" i="1"/>
  <c r="AI845" i="1"/>
  <c r="AJ845" i="1"/>
  <c r="AK845" i="1"/>
  <c r="AL845" i="1"/>
  <c r="AM845" i="1"/>
  <c r="AN845" i="1"/>
  <c r="AO845" i="1"/>
  <c r="AP845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D846" i="1"/>
  <c r="AE846" i="1"/>
  <c r="AF846" i="1"/>
  <c r="AG846" i="1"/>
  <c r="AH846" i="1"/>
  <c r="AI846" i="1"/>
  <c r="AJ846" i="1"/>
  <c r="AK846" i="1"/>
  <c r="AL846" i="1"/>
  <c r="AM846" i="1"/>
  <c r="AN846" i="1"/>
  <c r="AO846" i="1"/>
  <c r="AP846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D847" i="1"/>
  <c r="AE847" i="1"/>
  <c r="AF847" i="1"/>
  <c r="AG847" i="1"/>
  <c r="AH847" i="1"/>
  <c r="AI847" i="1"/>
  <c r="AJ847" i="1"/>
  <c r="AK847" i="1"/>
  <c r="AL847" i="1"/>
  <c r="AM847" i="1"/>
  <c r="AN847" i="1"/>
  <c r="AO847" i="1"/>
  <c r="AP847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D848" i="1"/>
  <c r="AE848" i="1"/>
  <c r="AF848" i="1"/>
  <c r="AG848" i="1"/>
  <c r="AH848" i="1"/>
  <c r="AI848" i="1"/>
  <c r="AJ848" i="1"/>
  <c r="AK848" i="1"/>
  <c r="AL848" i="1"/>
  <c r="AM848" i="1"/>
  <c r="AN848" i="1"/>
  <c r="AO848" i="1"/>
  <c r="AP848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D849" i="1"/>
  <c r="AE849" i="1"/>
  <c r="AF849" i="1"/>
  <c r="AG849" i="1"/>
  <c r="AH849" i="1"/>
  <c r="AI849" i="1"/>
  <c r="AJ849" i="1"/>
  <c r="AK849" i="1"/>
  <c r="AL849" i="1"/>
  <c r="AM849" i="1"/>
  <c r="AN849" i="1"/>
  <c r="AO849" i="1"/>
  <c r="AP849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D850" i="1"/>
  <c r="AE850" i="1"/>
  <c r="AF850" i="1"/>
  <c r="AG850" i="1"/>
  <c r="AH850" i="1"/>
  <c r="AI850" i="1"/>
  <c r="AJ850" i="1"/>
  <c r="AK850" i="1"/>
  <c r="AL850" i="1"/>
  <c r="AM850" i="1"/>
  <c r="AN850" i="1"/>
  <c r="AO850" i="1"/>
  <c r="AP850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D851" i="1"/>
  <c r="AE851" i="1"/>
  <c r="AF851" i="1"/>
  <c r="AG851" i="1"/>
  <c r="AH851" i="1"/>
  <c r="AI851" i="1"/>
  <c r="AJ851" i="1"/>
  <c r="AK851" i="1"/>
  <c r="AL851" i="1"/>
  <c r="AM851" i="1"/>
  <c r="AN851" i="1"/>
  <c r="AO851" i="1"/>
  <c r="AP851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D852" i="1"/>
  <c r="AE852" i="1"/>
  <c r="AF852" i="1"/>
  <c r="AG852" i="1"/>
  <c r="AH852" i="1"/>
  <c r="AI852" i="1"/>
  <c r="AJ852" i="1"/>
  <c r="AK852" i="1"/>
  <c r="AL852" i="1"/>
  <c r="AM852" i="1"/>
  <c r="AN852" i="1"/>
  <c r="AO852" i="1"/>
  <c r="AP852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D853" i="1"/>
  <c r="AE853" i="1"/>
  <c r="AF853" i="1"/>
  <c r="AG853" i="1"/>
  <c r="AH853" i="1"/>
  <c r="AI853" i="1"/>
  <c r="AJ853" i="1"/>
  <c r="AK853" i="1"/>
  <c r="AL853" i="1"/>
  <c r="AM853" i="1"/>
  <c r="AN853" i="1"/>
  <c r="AO853" i="1"/>
  <c r="AP853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D854" i="1"/>
  <c r="AE854" i="1"/>
  <c r="AF854" i="1"/>
  <c r="AG854" i="1"/>
  <c r="AH854" i="1"/>
  <c r="AI854" i="1"/>
  <c r="AJ854" i="1"/>
  <c r="AK854" i="1"/>
  <c r="AL854" i="1"/>
  <c r="AM854" i="1"/>
  <c r="AN854" i="1"/>
  <c r="AO854" i="1"/>
  <c r="AP854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D855" i="1"/>
  <c r="AE855" i="1"/>
  <c r="AF855" i="1"/>
  <c r="AG855" i="1"/>
  <c r="AH855" i="1"/>
  <c r="AI855" i="1"/>
  <c r="AJ855" i="1"/>
  <c r="AK855" i="1"/>
  <c r="AL855" i="1"/>
  <c r="AM855" i="1"/>
  <c r="AN855" i="1"/>
  <c r="AO855" i="1"/>
  <c r="AP855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D856" i="1"/>
  <c r="AE856" i="1"/>
  <c r="AF856" i="1"/>
  <c r="AG856" i="1"/>
  <c r="AH856" i="1"/>
  <c r="AI856" i="1"/>
  <c r="AJ856" i="1"/>
  <c r="AK856" i="1"/>
  <c r="AL856" i="1"/>
  <c r="AM856" i="1"/>
  <c r="AN856" i="1"/>
  <c r="AO856" i="1"/>
  <c r="AP856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D857" i="1"/>
  <c r="AE857" i="1"/>
  <c r="AF857" i="1"/>
  <c r="AG857" i="1"/>
  <c r="AH857" i="1"/>
  <c r="AI857" i="1"/>
  <c r="AJ857" i="1"/>
  <c r="AK857" i="1"/>
  <c r="AL857" i="1"/>
  <c r="AM857" i="1"/>
  <c r="AN857" i="1"/>
  <c r="AO857" i="1"/>
  <c r="AP857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D858" i="1"/>
  <c r="AE858" i="1"/>
  <c r="AF858" i="1"/>
  <c r="AG858" i="1"/>
  <c r="AH858" i="1"/>
  <c r="AI858" i="1"/>
  <c r="AJ858" i="1"/>
  <c r="AK858" i="1"/>
  <c r="AL858" i="1"/>
  <c r="AM858" i="1"/>
  <c r="AN858" i="1"/>
  <c r="AO858" i="1"/>
  <c r="AP858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D859" i="1"/>
  <c r="AE859" i="1"/>
  <c r="AF859" i="1"/>
  <c r="AG859" i="1"/>
  <c r="AH859" i="1"/>
  <c r="AI859" i="1"/>
  <c r="AJ859" i="1"/>
  <c r="AK859" i="1"/>
  <c r="AL859" i="1"/>
  <c r="AM859" i="1"/>
  <c r="AN859" i="1"/>
  <c r="AO859" i="1"/>
  <c r="AP859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D860" i="1"/>
  <c r="AE860" i="1"/>
  <c r="AF860" i="1"/>
  <c r="AG860" i="1"/>
  <c r="AH860" i="1"/>
  <c r="AI860" i="1"/>
  <c r="AJ860" i="1"/>
  <c r="AK860" i="1"/>
  <c r="AL860" i="1"/>
  <c r="AM860" i="1"/>
  <c r="AN860" i="1"/>
  <c r="AO860" i="1"/>
  <c r="AP860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D861" i="1"/>
  <c r="AE861" i="1"/>
  <c r="AF861" i="1"/>
  <c r="AG861" i="1"/>
  <c r="AH861" i="1"/>
  <c r="AI861" i="1"/>
  <c r="AJ861" i="1"/>
  <c r="AK861" i="1"/>
  <c r="AL861" i="1"/>
  <c r="AM861" i="1"/>
  <c r="AN861" i="1"/>
  <c r="AO861" i="1"/>
  <c r="AP861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D862" i="1"/>
  <c r="AE862" i="1"/>
  <c r="AF862" i="1"/>
  <c r="AG862" i="1"/>
  <c r="AH862" i="1"/>
  <c r="AI862" i="1"/>
  <c r="AJ862" i="1"/>
  <c r="AK862" i="1"/>
  <c r="AL862" i="1"/>
  <c r="AM862" i="1"/>
  <c r="AN862" i="1"/>
  <c r="AO862" i="1"/>
  <c r="AP862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D863" i="1"/>
  <c r="AE863" i="1"/>
  <c r="AF863" i="1"/>
  <c r="AG863" i="1"/>
  <c r="AH863" i="1"/>
  <c r="AI863" i="1"/>
  <c r="AJ863" i="1"/>
  <c r="AK863" i="1"/>
  <c r="AL863" i="1"/>
  <c r="AM863" i="1"/>
  <c r="AN863" i="1"/>
  <c r="AO863" i="1"/>
  <c r="AP863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D864" i="1"/>
  <c r="AE864" i="1"/>
  <c r="AF864" i="1"/>
  <c r="AG864" i="1"/>
  <c r="AH864" i="1"/>
  <c r="AI864" i="1"/>
  <c r="AJ864" i="1"/>
  <c r="AK864" i="1"/>
  <c r="AL864" i="1"/>
  <c r="AM864" i="1"/>
  <c r="AN864" i="1"/>
  <c r="AO864" i="1"/>
  <c r="AP864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D865" i="1"/>
  <c r="AE865" i="1"/>
  <c r="AF865" i="1"/>
  <c r="AG865" i="1"/>
  <c r="AH865" i="1"/>
  <c r="AI865" i="1"/>
  <c r="AJ865" i="1"/>
  <c r="AK865" i="1"/>
  <c r="AL865" i="1"/>
  <c r="AM865" i="1"/>
  <c r="AN865" i="1"/>
  <c r="AO865" i="1"/>
  <c r="AP865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D866" i="1"/>
  <c r="AE866" i="1"/>
  <c r="AF866" i="1"/>
  <c r="AG866" i="1"/>
  <c r="AH866" i="1"/>
  <c r="AI866" i="1"/>
  <c r="AJ866" i="1"/>
  <c r="AK866" i="1"/>
  <c r="AL866" i="1"/>
  <c r="AM866" i="1"/>
  <c r="AN866" i="1"/>
  <c r="AO866" i="1"/>
  <c r="AP866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D867" i="1"/>
  <c r="AE867" i="1"/>
  <c r="AF867" i="1"/>
  <c r="AG867" i="1"/>
  <c r="AH867" i="1"/>
  <c r="AI867" i="1"/>
  <c r="AJ867" i="1"/>
  <c r="AK867" i="1"/>
  <c r="AL867" i="1"/>
  <c r="AM867" i="1"/>
  <c r="AN867" i="1"/>
  <c r="AO867" i="1"/>
  <c r="AP867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D868" i="1"/>
  <c r="AE868" i="1"/>
  <c r="AF868" i="1"/>
  <c r="AG868" i="1"/>
  <c r="AH868" i="1"/>
  <c r="AI868" i="1"/>
  <c r="AJ868" i="1"/>
  <c r="AK868" i="1"/>
  <c r="AL868" i="1"/>
  <c r="AM868" i="1"/>
  <c r="AN868" i="1"/>
  <c r="AO868" i="1"/>
  <c r="AP868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D869" i="1"/>
  <c r="AE869" i="1"/>
  <c r="AF869" i="1"/>
  <c r="AG869" i="1"/>
  <c r="AH869" i="1"/>
  <c r="AI869" i="1"/>
  <c r="AJ869" i="1"/>
  <c r="AK869" i="1"/>
  <c r="AL869" i="1"/>
  <c r="AM869" i="1"/>
  <c r="AN869" i="1"/>
  <c r="AO869" i="1"/>
  <c r="AP869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D870" i="1"/>
  <c r="AE870" i="1"/>
  <c r="AF870" i="1"/>
  <c r="AG870" i="1"/>
  <c r="AH870" i="1"/>
  <c r="AI870" i="1"/>
  <c r="AJ870" i="1"/>
  <c r="AK870" i="1"/>
  <c r="AL870" i="1"/>
  <c r="AM870" i="1"/>
  <c r="AN870" i="1"/>
  <c r="AO870" i="1"/>
  <c r="AP870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D871" i="1"/>
  <c r="AE871" i="1"/>
  <c r="AF871" i="1"/>
  <c r="AG871" i="1"/>
  <c r="AH871" i="1"/>
  <c r="AI871" i="1"/>
  <c r="AJ871" i="1"/>
  <c r="AK871" i="1"/>
  <c r="AL871" i="1"/>
  <c r="AM871" i="1"/>
  <c r="AN871" i="1"/>
  <c r="AO871" i="1"/>
  <c r="AP871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D872" i="1"/>
  <c r="AE872" i="1"/>
  <c r="AF872" i="1"/>
  <c r="AG872" i="1"/>
  <c r="AH872" i="1"/>
  <c r="AI872" i="1"/>
  <c r="AJ872" i="1"/>
  <c r="AK872" i="1"/>
  <c r="AL872" i="1"/>
  <c r="AM872" i="1"/>
  <c r="AN872" i="1"/>
  <c r="AO872" i="1"/>
  <c r="AP872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D873" i="1"/>
  <c r="AE873" i="1"/>
  <c r="AF873" i="1"/>
  <c r="AG873" i="1"/>
  <c r="AH873" i="1"/>
  <c r="AI873" i="1"/>
  <c r="AJ873" i="1"/>
  <c r="AK873" i="1"/>
  <c r="AL873" i="1"/>
  <c r="AM873" i="1"/>
  <c r="AN873" i="1"/>
  <c r="AO873" i="1"/>
  <c r="AP873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D874" i="1"/>
  <c r="AE874" i="1"/>
  <c r="AF874" i="1"/>
  <c r="AG874" i="1"/>
  <c r="AH874" i="1"/>
  <c r="AI874" i="1"/>
  <c r="AJ874" i="1"/>
  <c r="AK874" i="1"/>
  <c r="AL874" i="1"/>
  <c r="AM874" i="1"/>
  <c r="AN874" i="1"/>
  <c r="AO874" i="1"/>
  <c r="AP874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D875" i="1"/>
  <c r="AE875" i="1"/>
  <c r="AF875" i="1"/>
  <c r="AG875" i="1"/>
  <c r="AH875" i="1"/>
  <c r="AI875" i="1"/>
  <c r="AJ875" i="1"/>
  <c r="AK875" i="1"/>
  <c r="AL875" i="1"/>
  <c r="AM875" i="1"/>
  <c r="AN875" i="1"/>
  <c r="AO875" i="1"/>
  <c r="AP875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D876" i="1"/>
  <c r="AE876" i="1"/>
  <c r="AF876" i="1"/>
  <c r="AG876" i="1"/>
  <c r="AH876" i="1"/>
  <c r="AI876" i="1"/>
  <c r="AJ876" i="1"/>
  <c r="AK876" i="1"/>
  <c r="AL876" i="1"/>
  <c r="AM876" i="1"/>
  <c r="AN876" i="1"/>
  <c r="AO876" i="1"/>
  <c r="AP876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D877" i="1"/>
  <c r="AE877" i="1"/>
  <c r="AF877" i="1"/>
  <c r="AG877" i="1"/>
  <c r="AH877" i="1"/>
  <c r="AI877" i="1"/>
  <c r="AJ877" i="1"/>
  <c r="AK877" i="1"/>
  <c r="AL877" i="1"/>
  <c r="AM877" i="1"/>
  <c r="AN877" i="1"/>
  <c r="AO877" i="1"/>
  <c r="AP877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D878" i="1"/>
  <c r="AE878" i="1"/>
  <c r="AF878" i="1"/>
  <c r="AG878" i="1"/>
  <c r="AH878" i="1"/>
  <c r="AI878" i="1"/>
  <c r="AJ878" i="1"/>
  <c r="AK878" i="1"/>
  <c r="AL878" i="1"/>
  <c r="AM878" i="1"/>
  <c r="AN878" i="1"/>
  <c r="AO878" i="1"/>
  <c r="AP878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D879" i="1"/>
  <c r="AE879" i="1"/>
  <c r="AF879" i="1"/>
  <c r="AG879" i="1"/>
  <c r="AH879" i="1"/>
  <c r="AI879" i="1"/>
  <c r="AJ879" i="1"/>
  <c r="AK879" i="1"/>
  <c r="AL879" i="1"/>
  <c r="AM879" i="1"/>
  <c r="AN879" i="1"/>
  <c r="AO879" i="1"/>
  <c r="AP879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D880" i="1"/>
  <c r="AE880" i="1"/>
  <c r="AF880" i="1"/>
  <c r="AG880" i="1"/>
  <c r="AH880" i="1"/>
  <c r="AI880" i="1"/>
  <c r="AJ880" i="1"/>
  <c r="AK880" i="1"/>
  <c r="AL880" i="1"/>
  <c r="AM880" i="1"/>
  <c r="AN880" i="1"/>
  <c r="AO880" i="1"/>
  <c r="AP880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D881" i="1"/>
  <c r="AE881" i="1"/>
  <c r="AF881" i="1"/>
  <c r="AG881" i="1"/>
  <c r="AH881" i="1"/>
  <c r="AI881" i="1"/>
  <c r="AJ881" i="1"/>
  <c r="AK881" i="1"/>
  <c r="AL881" i="1"/>
  <c r="AM881" i="1"/>
  <c r="AN881" i="1"/>
  <c r="AO881" i="1"/>
  <c r="AP881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D882" i="1"/>
  <c r="AE882" i="1"/>
  <c r="AF882" i="1"/>
  <c r="AG882" i="1"/>
  <c r="AH882" i="1"/>
  <c r="AI882" i="1"/>
  <c r="AJ882" i="1"/>
  <c r="AK882" i="1"/>
  <c r="AL882" i="1"/>
  <c r="AM882" i="1"/>
  <c r="AN882" i="1"/>
  <c r="AO882" i="1"/>
  <c r="AP882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D883" i="1"/>
  <c r="AE883" i="1"/>
  <c r="AF883" i="1"/>
  <c r="AG883" i="1"/>
  <c r="AH883" i="1"/>
  <c r="AI883" i="1"/>
  <c r="AJ883" i="1"/>
  <c r="AK883" i="1"/>
  <c r="AL883" i="1"/>
  <c r="AM883" i="1"/>
  <c r="AN883" i="1"/>
  <c r="AO883" i="1"/>
  <c r="AP883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D884" i="1"/>
  <c r="AE884" i="1"/>
  <c r="AF884" i="1"/>
  <c r="AG884" i="1"/>
  <c r="AH884" i="1"/>
  <c r="AI884" i="1"/>
  <c r="AJ884" i="1"/>
  <c r="AK884" i="1"/>
  <c r="AL884" i="1"/>
  <c r="AM884" i="1"/>
  <c r="AN884" i="1"/>
  <c r="AO884" i="1"/>
  <c r="AP884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D885" i="1"/>
  <c r="AE885" i="1"/>
  <c r="AF885" i="1"/>
  <c r="AG885" i="1"/>
  <c r="AH885" i="1"/>
  <c r="AI885" i="1"/>
  <c r="AJ885" i="1"/>
  <c r="AK885" i="1"/>
  <c r="AL885" i="1"/>
  <c r="AM885" i="1"/>
  <c r="AN885" i="1"/>
  <c r="AO885" i="1"/>
  <c r="AP885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D886" i="1"/>
  <c r="AE886" i="1"/>
  <c r="AF886" i="1"/>
  <c r="AG886" i="1"/>
  <c r="AH886" i="1"/>
  <c r="AI886" i="1"/>
  <c r="AJ886" i="1"/>
  <c r="AK886" i="1"/>
  <c r="AL886" i="1"/>
  <c r="AM886" i="1"/>
  <c r="AN886" i="1"/>
  <c r="AO886" i="1"/>
  <c r="AP886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D887" i="1"/>
  <c r="AE887" i="1"/>
  <c r="AF887" i="1"/>
  <c r="AG887" i="1"/>
  <c r="AH887" i="1"/>
  <c r="AI887" i="1"/>
  <c r="AJ887" i="1"/>
  <c r="AK887" i="1"/>
  <c r="AL887" i="1"/>
  <c r="AM887" i="1"/>
  <c r="AN887" i="1"/>
  <c r="AO887" i="1"/>
  <c r="AP887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D888" i="1"/>
  <c r="AE888" i="1"/>
  <c r="AF888" i="1"/>
  <c r="AG888" i="1"/>
  <c r="AH888" i="1"/>
  <c r="AI888" i="1"/>
  <c r="AJ888" i="1"/>
  <c r="AK888" i="1"/>
  <c r="AL888" i="1"/>
  <c r="AM888" i="1"/>
  <c r="AN888" i="1"/>
  <c r="AO888" i="1"/>
  <c r="AP888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D889" i="1"/>
  <c r="AE889" i="1"/>
  <c r="AF889" i="1"/>
  <c r="AG889" i="1"/>
  <c r="AH889" i="1"/>
  <c r="AI889" i="1"/>
  <c r="AJ889" i="1"/>
  <c r="AK889" i="1"/>
  <c r="AL889" i="1"/>
  <c r="AM889" i="1"/>
  <c r="AN889" i="1"/>
  <c r="AO889" i="1"/>
  <c r="AP889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D890" i="1"/>
  <c r="AE890" i="1"/>
  <c r="AF890" i="1"/>
  <c r="AG890" i="1"/>
  <c r="AH890" i="1"/>
  <c r="AI890" i="1"/>
  <c r="AJ890" i="1"/>
  <c r="AK890" i="1"/>
  <c r="AL890" i="1"/>
  <c r="AM890" i="1"/>
  <c r="AN890" i="1"/>
  <c r="AO890" i="1"/>
  <c r="AP890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D891" i="1"/>
  <c r="AE891" i="1"/>
  <c r="AF891" i="1"/>
  <c r="AG891" i="1"/>
  <c r="AH891" i="1"/>
  <c r="AI891" i="1"/>
  <c r="AJ891" i="1"/>
  <c r="AK891" i="1"/>
  <c r="AL891" i="1"/>
  <c r="AM891" i="1"/>
  <c r="AN891" i="1"/>
  <c r="AO891" i="1"/>
  <c r="AP891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D892" i="1"/>
  <c r="AE892" i="1"/>
  <c r="AF892" i="1"/>
  <c r="AG892" i="1"/>
  <c r="AH892" i="1"/>
  <c r="AI892" i="1"/>
  <c r="AJ892" i="1"/>
  <c r="AK892" i="1"/>
  <c r="AL892" i="1"/>
  <c r="AM892" i="1"/>
  <c r="AN892" i="1"/>
  <c r="AO892" i="1"/>
  <c r="AP892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D893" i="1"/>
  <c r="AE893" i="1"/>
  <c r="AF893" i="1"/>
  <c r="AG893" i="1"/>
  <c r="AH893" i="1"/>
  <c r="AI893" i="1"/>
  <c r="AJ893" i="1"/>
  <c r="AK893" i="1"/>
  <c r="AL893" i="1"/>
  <c r="AM893" i="1"/>
  <c r="AN893" i="1"/>
  <c r="AO893" i="1"/>
  <c r="AP893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D894" i="1"/>
  <c r="AE894" i="1"/>
  <c r="AF894" i="1"/>
  <c r="AG894" i="1"/>
  <c r="AH894" i="1"/>
  <c r="AI894" i="1"/>
  <c r="AJ894" i="1"/>
  <c r="AK894" i="1"/>
  <c r="AL894" i="1"/>
  <c r="AM894" i="1"/>
  <c r="AN894" i="1"/>
  <c r="AO894" i="1"/>
  <c r="AP894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D895" i="1"/>
  <c r="AE895" i="1"/>
  <c r="AF895" i="1"/>
  <c r="AG895" i="1"/>
  <c r="AH895" i="1"/>
  <c r="AI895" i="1"/>
  <c r="AJ895" i="1"/>
  <c r="AK895" i="1"/>
  <c r="AL895" i="1"/>
  <c r="AM895" i="1"/>
  <c r="AN895" i="1"/>
  <c r="AO895" i="1"/>
  <c r="AP895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D896" i="1"/>
  <c r="AE896" i="1"/>
  <c r="AF896" i="1"/>
  <c r="AG896" i="1"/>
  <c r="AH896" i="1"/>
  <c r="AI896" i="1"/>
  <c r="AJ896" i="1"/>
  <c r="AK896" i="1"/>
  <c r="AL896" i="1"/>
  <c r="AM896" i="1"/>
  <c r="AN896" i="1"/>
  <c r="AO896" i="1"/>
  <c r="AP896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D897" i="1"/>
  <c r="AE897" i="1"/>
  <c r="AF897" i="1"/>
  <c r="AG897" i="1"/>
  <c r="AH897" i="1"/>
  <c r="AI897" i="1"/>
  <c r="AJ897" i="1"/>
  <c r="AK897" i="1"/>
  <c r="AL897" i="1"/>
  <c r="AM897" i="1"/>
  <c r="AN897" i="1"/>
  <c r="AO897" i="1"/>
  <c r="AP897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D898" i="1"/>
  <c r="AE898" i="1"/>
  <c r="AF898" i="1"/>
  <c r="AG898" i="1"/>
  <c r="AH898" i="1"/>
  <c r="AI898" i="1"/>
  <c r="AJ898" i="1"/>
  <c r="AK898" i="1"/>
  <c r="AL898" i="1"/>
  <c r="AM898" i="1"/>
  <c r="AN898" i="1"/>
  <c r="AO898" i="1"/>
  <c r="AP898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D899" i="1"/>
  <c r="AE899" i="1"/>
  <c r="AF899" i="1"/>
  <c r="AG899" i="1"/>
  <c r="AH899" i="1"/>
  <c r="AI899" i="1"/>
  <c r="AJ899" i="1"/>
  <c r="AK899" i="1"/>
  <c r="AL899" i="1"/>
  <c r="AM899" i="1"/>
  <c r="AN899" i="1"/>
  <c r="AO899" i="1"/>
  <c r="AP899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D900" i="1"/>
  <c r="AE900" i="1"/>
  <c r="AF900" i="1"/>
  <c r="AG900" i="1"/>
  <c r="AH900" i="1"/>
  <c r="AI900" i="1"/>
  <c r="AJ900" i="1"/>
  <c r="AK900" i="1"/>
  <c r="AL900" i="1"/>
  <c r="AM900" i="1"/>
  <c r="AN900" i="1"/>
  <c r="AO900" i="1"/>
  <c r="AP900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D901" i="1"/>
  <c r="AE901" i="1"/>
  <c r="AF901" i="1"/>
  <c r="AG901" i="1"/>
  <c r="AH901" i="1"/>
  <c r="AI901" i="1"/>
  <c r="AJ901" i="1"/>
  <c r="AK901" i="1"/>
  <c r="AL901" i="1"/>
  <c r="AM901" i="1"/>
  <c r="AN901" i="1"/>
  <c r="AO901" i="1"/>
  <c r="AP901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D902" i="1"/>
  <c r="AE902" i="1"/>
  <c r="AF902" i="1"/>
  <c r="AG902" i="1"/>
  <c r="AH902" i="1"/>
  <c r="AI902" i="1"/>
  <c r="AJ902" i="1"/>
  <c r="AK902" i="1"/>
  <c r="AL902" i="1"/>
  <c r="AM902" i="1"/>
  <c r="AN902" i="1"/>
  <c r="AO902" i="1"/>
  <c r="AP902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D903" i="1"/>
  <c r="AE903" i="1"/>
  <c r="AF903" i="1"/>
  <c r="AG903" i="1"/>
  <c r="AH903" i="1"/>
  <c r="AI903" i="1"/>
  <c r="AJ903" i="1"/>
  <c r="AK903" i="1"/>
  <c r="AL903" i="1"/>
  <c r="AM903" i="1"/>
  <c r="AN903" i="1"/>
  <c r="AO903" i="1"/>
  <c r="AP903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D904" i="1"/>
  <c r="AE904" i="1"/>
  <c r="AF904" i="1"/>
  <c r="AG904" i="1"/>
  <c r="AH904" i="1"/>
  <c r="AI904" i="1"/>
  <c r="AJ904" i="1"/>
  <c r="AK904" i="1"/>
  <c r="AL904" i="1"/>
  <c r="AM904" i="1"/>
  <c r="AN904" i="1"/>
  <c r="AO904" i="1"/>
  <c r="AP904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D905" i="1"/>
  <c r="AE905" i="1"/>
  <c r="AF905" i="1"/>
  <c r="AG905" i="1"/>
  <c r="AH905" i="1"/>
  <c r="AI905" i="1"/>
  <c r="AJ905" i="1"/>
  <c r="AK905" i="1"/>
  <c r="AL905" i="1"/>
  <c r="AM905" i="1"/>
  <c r="AN905" i="1"/>
  <c r="AO905" i="1"/>
  <c r="AP905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D906" i="1"/>
  <c r="AE906" i="1"/>
  <c r="AF906" i="1"/>
  <c r="AG906" i="1"/>
  <c r="AH906" i="1"/>
  <c r="AI906" i="1"/>
  <c r="AJ906" i="1"/>
  <c r="AK906" i="1"/>
  <c r="AL906" i="1"/>
  <c r="AM906" i="1"/>
  <c r="AN906" i="1"/>
  <c r="AO906" i="1"/>
  <c r="AP906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D907" i="1"/>
  <c r="AE907" i="1"/>
  <c r="AF907" i="1"/>
  <c r="AG907" i="1"/>
  <c r="AH907" i="1"/>
  <c r="AI907" i="1"/>
  <c r="AJ907" i="1"/>
  <c r="AK907" i="1"/>
  <c r="AL907" i="1"/>
  <c r="AM907" i="1"/>
  <c r="AN907" i="1"/>
  <c r="AO907" i="1"/>
  <c r="AP907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D908" i="1"/>
  <c r="AE908" i="1"/>
  <c r="AF908" i="1"/>
  <c r="AG908" i="1"/>
  <c r="AH908" i="1"/>
  <c r="AI908" i="1"/>
  <c r="AJ908" i="1"/>
  <c r="AK908" i="1"/>
  <c r="AL908" i="1"/>
  <c r="AM908" i="1"/>
  <c r="AN908" i="1"/>
  <c r="AO908" i="1"/>
  <c r="AP908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D909" i="1"/>
  <c r="AE909" i="1"/>
  <c r="AF909" i="1"/>
  <c r="AG909" i="1"/>
  <c r="AH909" i="1"/>
  <c r="AI909" i="1"/>
  <c r="AJ909" i="1"/>
  <c r="AK909" i="1"/>
  <c r="AL909" i="1"/>
  <c r="AM909" i="1"/>
  <c r="AN909" i="1"/>
  <c r="AO909" i="1"/>
  <c r="AP909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D910" i="1"/>
  <c r="AE910" i="1"/>
  <c r="AF910" i="1"/>
  <c r="AG910" i="1"/>
  <c r="AH910" i="1"/>
  <c r="AI910" i="1"/>
  <c r="AJ910" i="1"/>
  <c r="AK910" i="1"/>
  <c r="AL910" i="1"/>
  <c r="AM910" i="1"/>
  <c r="AN910" i="1"/>
  <c r="AO910" i="1"/>
  <c r="AP910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D911" i="1"/>
  <c r="AE911" i="1"/>
  <c r="AF911" i="1"/>
  <c r="AG911" i="1"/>
  <c r="AH911" i="1"/>
  <c r="AI911" i="1"/>
  <c r="AJ911" i="1"/>
  <c r="AK911" i="1"/>
  <c r="AL911" i="1"/>
  <c r="AM911" i="1"/>
  <c r="AN911" i="1"/>
  <c r="AO911" i="1"/>
  <c r="AP911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D912" i="1"/>
  <c r="AE912" i="1"/>
  <c r="AF912" i="1"/>
  <c r="AG912" i="1"/>
  <c r="AH912" i="1"/>
  <c r="AI912" i="1"/>
  <c r="AJ912" i="1"/>
  <c r="AK912" i="1"/>
  <c r="AL912" i="1"/>
  <c r="AM912" i="1"/>
  <c r="AN912" i="1"/>
  <c r="AO912" i="1"/>
  <c r="AP912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D913" i="1"/>
  <c r="AE913" i="1"/>
  <c r="AF913" i="1"/>
  <c r="AG913" i="1"/>
  <c r="AH913" i="1"/>
  <c r="AI913" i="1"/>
  <c r="AJ913" i="1"/>
  <c r="AK913" i="1"/>
  <c r="AL913" i="1"/>
  <c r="AM913" i="1"/>
  <c r="AN913" i="1"/>
  <c r="AO913" i="1"/>
  <c r="AP913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D914" i="1"/>
  <c r="AE914" i="1"/>
  <c r="AF914" i="1"/>
  <c r="AG914" i="1"/>
  <c r="AH914" i="1"/>
  <c r="AI914" i="1"/>
  <c r="AJ914" i="1"/>
  <c r="AK914" i="1"/>
  <c r="AL914" i="1"/>
  <c r="AM914" i="1"/>
  <c r="AN914" i="1"/>
  <c r="AO914" i="1"/>
  <c r="AP914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D915" i="1"/>
  <c r="AE915" i="1"/>
  <c r="AF915" i="1"/>
  <c r="AG915" i="1"/>
  <c r="AH915" i="1"/>
  <c r="AI915" i="1"/>
  <c r="AJ915" i="1"/>
  <c r="AK915" i="1"/>
  <c r="AL915" i="1"/>
  <c r="AM915" i="1"/>
  <c r="AN915" i="1"/>
  <c r="AO915" i="1"/>
  <c r="AP915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D916" i="1"/>
  <c r="AE916" i="1"/>
  <c r="AF916" i="1"/>
  <c r="AG916" i="1"/>
  <c r="AH916" i="1"/>
  <c r="AI916" i="1"/>
  <c r="AJ916" i="1"/>
  <c r="AK916" i="1"/>
  <c r="AL916" i="1"/>
  <c r="AM916" i="1"/>
  <c r="AN916" i="1"/>
  <c r="AO916" i="1"/>
  <c r="AP916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D917" i="1"/>
  <c r="AE917" i="1"/>
  <c r="AF917" i="1"/>
  <c r="AG917" i="1"/>
  <c r="AH917" i="1"/>
  <c r="AI917" i="1"/>
  <c r="AJ917" i="1"/>
  <c r="AK917" i="1"/>
  <c r="AL917" i="1"/>
  <c r="AM917" i="1"/>
  <c r="AN917" i="1"/>
  <c r="AO917" i="1"/>
  <c r="AP917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D918" i="1"/>
  <c r="AE918" i="1"/>
  <c r="AF918" i="1"/>
  <c r="AG918" i="1"/>
  <c r="AH918" i="1"/>
  <c r="AI918" i="1"/>
  <c r="AJ918" i="1"/>
  <c r="AK918" i="1"/>
  <c r="AL918" i="1"/>
  <c r="AM918" i="1"/>
  <c r="AN918" i="1"/>
  <c r="AO918" i="1"/>
  <c r="AP918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D919" i="1"/>
  <c r="AE919" i="1"/>
  <c r="AF919" i="1"/>
  <c r="AG919" i="1"/>
  <c r="AH919" i="1"/>
  <c r="AI919" i="1"/>
  <c r="AJ919" i="1"/>
  <c r="AK919" i="1"/>
  <c r="AL919" i="1"/>
  <c r="AM919" i="1"/>
  <c r="AN919" i="1"/>
  <c r="AO919" i="1"/>
  <c r="AP919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D920" i="1"/>
  <c r="AE920" i="1"/>
  <c r="AF920" i="1"/>
  <c r="AG920" i="1"/>
  <c r="AH920" i="1"/>
  <c r="AI920" i="1"/>
  <c r="AJ920" i="1"/>
  <c r="AK920" i="1"/>
  <c r="AL920" i="1"/>
  <c r="AM920" i="1"/>
  <c r="AN920" i="1"/>
  <c r="AO920" i="1"/>
  <c r="AP920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D921" i="1"/>
  <c r="AE921" i="1"/>
  <c r="AF921" i="1"/>
  <c r="AG921" i="1"/>
  <c r="AH921" i="1"/>
  <c r="AI921" i="1"/>
  <c r="AJ921" i="1"/>
  <c r="AK921" i="1"/>
  <c r="AL921" i="1"/>
  <c r="AM921" i="1"/>
  <c r="AN921" i="1"/>
  <c r="AO921" i="1"/>
  <c r="AP921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D922" i="1"/>
  <c r="AE922" i="1"/>
  <c r="AF922" i="1"/>
  <c r="AG922" i="1"/>
  <c r="AH922" i="1"/>
  <c r="AI922" i="1"/>
  <c r="AJ922" i="1"/>
  <c r="AK922" i="1"/>
  <c r="AL922" i="1"/>
  <c r="AM922" i="1"/>
  <c r="AN922" i="1"/>
  <c r="AO922" i="1"/>
  <c r="AP922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D923" i="1"/>
  <c r="AE923" i="1"/>
  <c r="AF923" i="1"/>
  <c r="AG923" i="1"/>
  <c r="AH923" i="1"/>
  <c r="AI923" i="1"/>
  <c r="AJ923" i="1"/>
  <c r="AK923" i="1"/>
  <c r="AL923" i="1"/>
  <c r="AM923" i="1"/>
  <c r="AN923" i="1"/>
  <c r="AO923" i="1"/>
  <c r="AP923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D924" i="1"/>
  <c r="AE924" i="1"/>
  <c r="AF924" i="1"/>
  <c r="AG924" i="1"/>
  <c r="AH924" i="1"/>
  <c r="AI924" i="1"/>
  <c r="AJ924" i="1"/>
  <c r="AK924" i="1"/>
  <c r="AL924" i="1"/>
  <c r="AM924" i="1"/>
  <c r="AN924" i="1"/>
  <c r="AO924" i="1"/>
  <c r="AP924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D925" i="1"/>
  <c r="AE925" i="1"/>
  <c r="AF925" i="1"/>
  <c r="AG925" i="1"/>
  <c r="AH925" i="1"/>
  <c r="AI925" i="1"/>
  <c r="AJ925" i="1"/>
  <c r="AK925" i="1"/>
  <c r="AL925" i="1"/>
  <c r="AM925" i="1"/>
  <c r="AN925" i="1"/>
  <c r="AO925" i="1"/>
  <c r="AP925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D926" i="1"/>
  <c r="AE926" i="1"/>
  <c r="AF926" i="1"/>
  <c r="AG926" i="1"/>
  <c r="AH926" i="1"/>
  <c r="AI926" i="1"/>
  <c r="AJ926" i="1"/>
  <c r="AK926" i="1"/>
  <c r="AL926" i="1"/>
  <c r="AM926" i="1"/>
  <c r="AN926" i="1"/>
  <c r="AO926" i="1"/>
  <c r="AP926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D927" i="1"/>
  <c r="AE927" i="1"/>
  <c r="AF927" i="1"/>
  <c r="AG927" i="1"/>
  <c r="AH927" i="1"/>
  <c r="AI927" i="1"/>
  <c r="AJ927" i="1"/>
  <c r="AK927" i="1"/>
  <c r="AL927" i="1"/>
  <c r="AM927" i="1"/>
  <c r="AN927" i="1"/>
  <c r="AO927" i="1"/>
  <c r="AP927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D928" i="1"/>
  <c r="AE928" i="1"/>
  <c r="AF928" i="1"/>
  <c r="AG928" i="1"/>
  <c r="AH928" i="1"/>
  <c r="AI928" i="1"/>
  <c r="AJ928" i="1"/>
  <c r="AK928" i="1"/>
  <c r="AL928" i="1"/>
  <c r="AM928" i="1"/>
  <c r="AN928" i="1"/>
  <c r="AO928" i="1"/>
  <c r="AP928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D929" i="1"/>
  <c r="AE929" i="1"/>
  <c r="AF929" i="1"/>
  <c r="AG929" i="1"/>
  <c r="AH929" i="1"/>
  <c r="AI929" i="1"/>
  <c r="AJ929" i="1"/>
  <c r="AK929" i="1"/>
  <c r="AL929" i="1"/>
  <c r="AM929" i="1"/>
  <c r="AN929" i="1"/>
  <c r="AO929" i="1"/>
  <c r="AP929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D930" i="1"/>
  <c r="AE930" i="1"/>
  <c r="AF930" i="1"/>
  <c r="AG930" i="1"/>
  <c r="AH930" i="1"/>
  <c r="AI930" i="1"/>
  <c r="AJ930" i="1"/>
  <c r="AK930" i="1"/>
  <c r="AL930" i="1"/>
  <c r="AM930" i="1"/>
  <c r="AN930" i="1"/>
  <c r="AO930" i="1"/>
  <c r="AP930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D931" i="1"/>
  <c r="AE931" i="1"/>
  <c r="AF931" i="1"/>
  <c r="AG931" i="1"/>
  <c r="AH931" i="1"/>
  <c r="AI931" i="1"/>
  <c r="AJ931" i="1"/>
  <c r="AK931" i="1"/>
  <c r="AL931" i="1"/>
  <c r="AM931" i="1"/>
  <c r="AN931" i="1"/>
  <c r="AO931" i="1"/>
  <c r="AP931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D932" i="1"/>
  <c r="AE932" i="1"/>
  <c r="AF932" i="1"/>
  <c r="AG932" i="1"/>
  <c r="AH932" i="1"/>
  <c r="AI932" i="1"/>
  <c r="AJ932" i="1"/>
  <c r="AK932" i="1"/>
  <c r="AL932" i="1"/>
  <c r="AM932" i="1"/>
  <c r="AN932" i="1"/>
  <c r="AO932" i="1"/>
  <c r="AP932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D933" i="1"/>
  <c r="AE933" i="1"/>
  <c r="AF933" i="1"/>
  <c r="AG933" i="1"/>
  <c r="AH933" i="1"/>
  <c r="AI933" i="1"/>
  <c r="AJ933" i="1"/>
  <c r="AK933" i="1"/>
  <c r="AL933" i="1"/>
  <c r="AM933" i="1"/>
  <c r="AN933" i="1"/>
  <c r="AO933" i="1"/>
  <c r="AP933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D934" i="1"/>
  <c r="AE934" i="1"/>
  <c r="AF934" i="1"/>
  <c r="AG934" i="1"/>
  <c r="AH934" i="1"/>
  <c r="AI934" i="1"/>
  <c r="AJ934" i="1"/>
  <c r="AK934" i="1"/>
  <c r="AL934" i="1"/>
  <c r="AM934" i="1"/>
  <c r="AN934" i="1"/>
  <c r="AO934" i="1"/>
  <c r="AP934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D935" i="1"/>
  <c r="AE935" i="1"/>
  <c r="AF935" i="1"/>
  <c r="AG935" i="1"/>
  <c r="AH935" i="1"/>
  <c r="AI935" i="1"/>
  <c r="AJ935" i="1"/>
  <c r="AK935" i="1"/>
  <c r="AL935" i="1"/>
  <c r="AM935" i="1"/>
  <c r="AN935" i="1"/>
  <c r="AO935" i="1"/>
  <c r="AP935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D936" i="1"/>
  <c r="AE936" i="1"/>
  <c r="AF936" i="1"/>
  <c r="AG936" i="1"/>
  <c r="AH936" i="1"/>
  <c r="AI936" i="1"/>
  <c r="AJ936" i="1"/>
  <c r="AK936" i="1"/>
  <c r="AL936" i="1"/>
  <c r="AM936" i="1"/>
  <c r="AN936" i="1"/>
  <c r="AO936" i="1"/>
  <c r="AP936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D937" i="1"/>
  <c r="AE937" i="1"/>
  <c r="AF937" i="1"/>
  <c r="AG937" i="1"/>
  <c r="AH937" i="1"/>
  <c r="AI937" i="1"/>
  <c r="AJ937" i="1"/>
  <c r="AK937" i="1"/>
  <c r="AL937" i="1"/>
  <c r="AM937" i="1"/>
  <c r="AN937" i="1"/>
  <c r="AO937" i="1"/>
  <c r="AP937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D938" i="1"/>
  <c r="AE938" i="1"/>
  <c r="AF938" i="1"/>
  <c r="AG938" i="1"/>
  <c r="AH938" i="1"/>
  <c r="AI938" i="1"/>
  <c r="AJ938" i="1"/>
  <c r="AK938" i="1"/>
  <c r="AL938" i="1"/>
  <c r="AM938" i="1"/>
  <c r="AN938" i="1"/>
  <c r="AO938" i="1"/>
  <c r="AP938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D939" i="1"/>
  <c r="AE939" i="1"/>
  <c r="AF939" i="1"/>
  <c r="AG939" i="1"/>
  <c r="AH939" i="1"/>
  <c r="AI939" i="1"/>
  <c r="AJ939" i="1"/>
  <c r="AK939" i="1"/>
  <c r="AL939" i="1"/>
  <c r="AM939" i="1"/>
  <c r="AN939" i="1"/>
  <c r="AO939" i="1"/>
  <c r="AP939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D940" i="1"/>
  <c r="AE940" i="1"/>
  <c r="AF940" i="1"/>
  <c r="AG940" i="1"/>
  <c r="AH940" i="1"/>
  <c r="AI940" i="1"/>
  <c r="AJ940" i="1"/>
  <c r="AK940" i="1"/>
  <c r="AL940" i="1"/>
  <c r="AM940" i="1"/>
  <c r="AN940" i="1"/>
  <c r="AO940" i="1"/>
  <c r="AP940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D941" i="1"/>
  <c r="AE941" i="1"/>
  <c r="AF941" i="1"/>
  <c r="AG941" i="1"/>
  <c r="AH941" i="1"/>
  <c r="AI941" i="1"/>
  <c r="AJ941" i="1"/>
  <c r="AK941" i="1"/>
  <c r="AL941" i="1"/>
  <c r="AM941" i="1"/>
  <c r="AN941" i="1"/>
  <c r="AO941" i="1"/>
  <c r="AP941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D942" i="1"/>
  <c r="AE942" i="1"/>
  <c r="AF942" i="1"/>
  <c r="AG942" i="1"/>
  <c r="AH942" i="1"/>
  <c r="AI942" i="1"/>
  <c r="AJ942" i="1"/>
  <c r="AK942" i="1"/>
  <c r="AL942" i="1"/>
  <c r="AM942" i="1"/>
  <c r="AN942" i="1"/>
  <c r="AO942" i="1"/>
  <c r="AP942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D943" i="1"/>
  <c r="AE943" i="1"/>
  <c r="AF943" i="1"/>
  <c r="AG943" i="1"/>
  <c r="AH943" i="1"/>
  <c r="AI943" i="1"/>
  <c r="AJ943" i="1"/>
  <c r="AK943" i="1"/>
  <c r="AL943" i="1"/>
  <c r="AM943" i="1"/>
  <c r="AN943" i="1"/>
  <c r="AO943" i="1"/>
  <c r="AP943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D944" i="1"/>
  <c r="AE944" i="1"/>
  <c r="AF944" i="1"/>
  <c r="AG944" i="1"/>
  <c r="AH944" i="1"/>
  <c r="AI944" i="1"/>
  <c r="AJ944" i="1"/>
  <c r="AK944" i="1"/>
  <c r="AL944" i="1"/>
  <c r="AM944" i="1"/>
  <c r="AN944" i="1"/>
  <c r="AO944" i="1"/>
  <c r="AP944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D945" i="1"/>
  <c r="AE945" i="1"/>
  <c r="AF945" i="1"/>
  <c r="AG945" i="1"/>
  <c r="AH945" i="1"/>
  <c r="AI945" i="1"/>
  <c r="AJ945" i="1"/>
  <c r="AK945" i="1"/>
  <c r="AL945" i="1"/>
  <c r="AM945" i="1"/>
  <c r="AN945" i="1"/>
  <c r="AO945" i="1"/>
  <c r="AP945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D946" i="1"/>
  <c r="AE946" i="1"/>
  <c r="AF946" i="1"/>
  <c r="AG946" i="1"/>
  <c r="AH946" i="1"/>
  <c r="AI946" i="1"/>
  <c r="AJ946" i="1"/>
  <c r="AK946" i="1"/>
  <c r="AL946" i="1"/>
  <c r="AM946" i="1"/>
  <c r="AN946" i="1"/>
  <c r="AO946" i="1"/>
  <c r="AP946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D947" i="1"/>
  <c r="AE947" i="1"/>
  <c r="AF947" i="1"/>
  <c r="AG947" i="1"/>
  <c r="AH947" i="1"/>
  <c r="AI947" i="1"/>
  <c r="AJ947" i="1"/>
  <c r="AK947" i="1"/>
  <c r="AL947" i="1"/>
  <c r="AM947" i="1"/>
  <c r="AN947" i="1"/>
  <c r="AO947" i="1"/>
  <c r="AP947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D948" i="1"/>
  <c r="AE948" i="1"/>
  <c r="AF948" i="1"/>
  <c r="AG948" i="1"/>
  <c r="AH948" i="1"/>
  <c r="AI948" i="1"/>
  <c r="AJ948" i="1"/>
  <c r="AK948" i="1"/>
  <c r="AL948" i="1"/>
  <c r="AM948" i="1"/>
  <c r="AN948" i="1"/>
  <c r="AO948" i="1"/>
  <c r="AP948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D949" i="1"/>
  <c r="AE949" i="1"/>
  <c r="AF949" i="1"/>
  <c r="AG949" i="1"/>
  <c r="AH949" i="1"/>
  <c r="AI949" i="1"/>
  <c r="AJ949" i="1"/>
  <c r="AK949" i="1"/>
  <c r="AL949" i="1"/>
  <c r="AM949" i="1"/>
  <c r="AN949" i="1"/>
  <c r="AO949" i="1"/>
  <c r="AP949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D950" i="1"/>
  <c r="AE950" i="1"/>
  <c r="AF950" i="1"/>
  <c r="AG950" i="1"/>
  <c r="AH950" i="1"/>
  <c r="AI950" i="1"/>
  <c r="AJ950" i="1"/>
  <c r="AK950" i="1"/>
  <c r="AL950" i="1"/>
  <c r="AM950" i="1"/>
  <c r="AN950" i="1"/>
  <c r="AO950" i="1"/>
  <c r="AP950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D951" i="1"/>
  <c r="AE951" i="1"/>
  <c r="AF951" i="1"/>
  <c r="AG951" i="1"/>
  <c r="AH951" i="1"/>
  <c r="AI951" i="1"/>
  <c r="AJ951" i="1"/>
  <c r="AK951" i="1"/>
  <c r="AL951" i="1"/>
  <c r="AM951" i="1"/>
  <c r="AN951" i="1"/>
  <c r="AO951" i="1"/>
  <c r="AP951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D952" i="1"/>
  <c r="AE952" i="1"/>
  <c r="AF952" i="1"/>
  <c r="AG952" i="1"/>
  <c r="AH952" i="1"/>
  <c r="AI952" i="1"/>
  <c r="AJ952" i="1"/>
  <c r="AK952" i="1"/>
  <c r="AL952" i="1"/>
  <c r="AM952" i="1"/>
  <c r="AN952" i="1"/>
  <c r="AO952" i="1"/>
  <c r="AP952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D953" i="1"/>
  <c r="AE953" i="1"/>
  <c r="AF953" i="1"/>
  <c r="AG953" i="1"/>
  <c r="AH953" i="1"/>
  <c r="AI953" i="1"/>
  <c r="AJ953" i="1"/>
  <c r="AK953" i="1"/>
  <c r="AL953" i="1"/>
  <c r="AM953" i="1"/>
  <c r="AN953" i="1"/>
  <c r="AO953" i="1"/>
  <c r="AP953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D954" i="1"/>
  <c r="AE954" i="1"/>
  <c r="AF954" i="1"/>
  <c r="AG954" i="1"/>
  <c r="AH954" i="1"/>
  <c r="AI954" i="1"/>
  <c r="AJ954" i="1"/>
  <c r="AK954" i="1"/>
  <c r="AL954" i="1"/>
  <c r="AM954" i="1"/>
  <c r="AN954" i="1"/>
  <c r="AO954" i="1"/>
  <c r="AP954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D955" i="1"/>
  <c r="AE955" i="1"/>
  <c r="AF955" i="1"/>
  <c r="AG955" i="1"/>
  <c r="AH955" i="1"/>
  <c r="AI955" i="1"/>
  <c r="AJ955" i="1"/>
  <c r="AK955" i="1"/>
  <c r="AL955" i="1"/>
  <c r="AM955" i="1"/>
  <c r="AN955" i="1"/>
  <c r="AO955" i="1"/>
  <c r="AP955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D956" i="1"/>
  <c r="AE956" i="1"/>
  <c r="AF956" i="1"/>
  <c r="AG956" i="1"/>
  <c r="AH956" i="1"/>
  <c r="AI956" i="1"/>
  <c r="AJ956" i="1"/>
  <c r="AK956" i="1"/>
  <c r="AL956" i="1"/>
  <c r="AM956" i="1"/>
  <c r="AN956" i="1"/>
  <c r="AO956" i="1"/>
  <c r="AP956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D957" i="1"/>
  <c r="AE957" i="1"/>
  <c r="AF957" i="1"/>
  <c r="AG957" i="1"/>
  <c r="AH957" i="1"/>
  <c r="AI957" i="1"/>
  <c r="AJ957" i="1"/>
  <c r="AK957" i="1"/>
  <c r="AL957" i="1"/>
  <c r="AM957" i="1"/>
  <c r="AN957" i="1"/>
  <c r="AO957" i="1"/>
  <c r="AP957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D958" i="1"/>
  <c r="AE958" i="1"/>
  <c r="AF958" i="1"/>
  <c r="AG958" i="1"/>
  <c r="AH958" i="1"/>
  <c r="AI958" i="1"/>
  <c r="AJ958" i="1"/>
  <c r="AK958" i="1"/>
  <c r="AL958" i="1"/>
  <c r="AM958" i="1"/>
  <c r="AN958" i="1"/>
  <c r="AO958" i="1"/>
  <c r="AP958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D959" i="1"/>
  <c r="AE959" i="1"/>
  <c r="AF959" i="1"/>
  <c r="AG959" i="1"/>
  <c r="AH959" i="1"/>
  <c r="AI959" i="1"/>
  <c r="AJ959" i="1"/>
  <c r="AK959" i="1"/>
  <c r="AL959" i="1"/>
  <c r="AM959" i="1"/>
  <c r="AN959" i="1"/>
  <c r="AO959" i="1"/>
  <c r="AP959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D960" i="1"/>
  <c r="AE960" i="1"/>
  <c r="AF960" i="1"/>
  <c r="AG960" i="1"/>
  <c r="AH960" i="1"/>
  <c r="AI960" i="1"/>
  <c r="AJ960" i="1"/>
  <c r="AK960" i="1"/>
  <c r="AL960" i="1"/>
  <c r="AM960" i="1"/>
  <c r="AN960" i="1"/>
  <c r="AO960" i="1"/>
  <c r="AP960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D961" i="1"/>
  <c r="AE961" i="1"/>
  <c r="AF961" i="1"/>
  <c r="AG961" i="1"/>
  <c r="AH961" i="1"/>
  <c r="AI961" i="1"/>
  <c r="AJ961" i="1"/>
  <c r="AK961" i="1"/>
  <c r="AL961" i="1"/>
  <c r="AM961" i="1"/>
  <c r="AN961" i="1"/>
  <c r="AO961" i="1"/>
  <c r="AP961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D962" i="1"/>
  <c r="AE962" i="1"/>
  <c r="AF962" i="1"/>
  <c r="AG962" i="1"/>
  <c r="AH962" i="1"/>
  <c r="AI962" i="1"/>
  <c r="AJ962" i="1"/>
  <c r="AK962" i="1"/>
  <c r="AL962" i="1"/>
  <c r="AM962" i="1"/>
  <c r="AN962" i="1"/>
  <c r="AO962" i="1"/>
  <c r="AP962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D963" i="1"/>
  <c r="AE963" i="1"/>
  <c r="AF963" i="1"/>
  <c r="AG963" i="1"/>
  <c r="AH963" i="1"/>
  <c r="AI963" i="1"/>
  <c r="AJ963" i="1"/>
  <c r="AK963" i="1"/>
  <c r="AL963" i="1"/>
  <c r="AM963" i="1"/>
  <c r="AN963" i="1"/>
  <c r="AO963" i="1"/>
  <c r="AP963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D964" i="1"/>
  <c r="AE964" i="1"/>
  <c r="AF964" i="1"/>
  <c r="AG964" i="1"/>
  <c r="AH964" i="1"/>
  <c r="AI964" i="1"/>
  <c r="AJ964" i="1"/>
  <c r="AK964" i="1"/>
  <c r="AL964" i="1"/>
  <c r="AM964" i="1"/>
  <c r="AN964" i="1"/>
  <c r="AO964" i="1"/>
  <c r="AP964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D965" i="1"/>
  <c r="AE965" i="1"/>
  <c r="AF965" i="1"/>
  <c r="AG965" i="1"/>
  <c r="AH965" i="1"/>
  <c r="AI965" i="1"/>
  <c r="AJ965" i="1"/>
  <c r="AK965" i="1"/>
  <c r="AL965" i="1"/>
  <c r="AM965" i="1"/>
  <c r="AN965" i="1"/>
  <c r="AO965" i="1"/>
  <c r="AP965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D966" i="1"/>
  <c r="AE966" i="1"/>
  <c r="AF966" i="1"/>
  <c r="AG966" i="1"/>
  <c r="AH966" i="1"/>
  <c r="AI966" i="1"/>
  <c r="AJ966" i="1"/>
  <c r="AK966" i="1"/>
  <c r="AL966" i="1"/>
  <c r="AM966" i="1"/>
  <c r="AN966" i="1"/>
  <c r="AO966" i="1"/>
  <c r="AP966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D967" i="1"/>
  <c r="AE967" i="1"/>
  <c r="AF967" i="1"/>
  <c r="AG967" i="1"/>
  <c r="AH967" i="1"/>
  <c r="AI967" i="1"/>
  <c r="AJ967" i="1"/>
  <c r="AK967" i="1"/>
  <c r="AL967" i="1"/>
  <c r="AM967" i="1"/>
  <c r="AN967" i="1"/>
  <c r="AO967" i="1"/>
  <c r="AP967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D968" i="1"/>
  <c r="AE968" i="1"/>
  <c r="AF968" i="1"/>
  <c r="AG968" i="1"/>
  <c r="AH968" i="1"/>
  <c r="AI968" i="1"/>
  <c r="AJ968" i="1"/>
  <c r="AK968" i="1"/>
  <c r="AL968" i="1"/>
  <c r="AM968" i="1"/>
  <c r="AN968" i="1"/>
  <c r="AO968" i="1"/>
  <c r="AP968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D969" i="1"/>
  <c r="AE969" i="1"/>
  <c r="AF969" i="1"/>
  <c r="AG969" i="1"/>
  <c r="AH969" i="1"/>
  <c r="AI969" i="1"/>
  <c r="AJ969" i="1"/>
  <c r="AK969" i="1"/>
  <c r="AL969" i="1"/>
  <c r="AM969" i="1"/>
  <c r="AN969" i="1"/>
  <c r="AO969" i="1"/>
  <c r="AP969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D970" i="1"/>
  <c r="AE970" i="1"/>
  <c r="AF970" i="1"/>
  <c r="AG970" i="1"/>
  <c r="AH970" i="1"/>
  <c r="AI970" i="1"/>
  <c r="AJ970" i="1"/>
  <c r="AK970" i="1"/>
  <c r="AL970" i="1"/>
  <c r="AM970" i="1"/>
  <c r="AN970" i="1"/>
  <c r="AO970" i="1"/>
  <c r="AP970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D971" i="1"/>
  <c r="AE971" i="1"/>
  <c r="AF971" i="1"/>
  <c r="AG971" i="1"/>
  <c r="AH971" i="1"/>
  <c r="AI971" i="1"/>
  <c r="AJ971" i="1"/>
  <c r="AK971" i="1"/>
  <c r="AL971" i="1"/>
  <c r="AM971" i="1"/>
  <c r="AN971" i="1"/>
  <c r="AO971" i="1"/>
  <c r="AP971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D972" i="1"/>
  <c r="AE972" i="1"/>
  <c r="AF972" i="1"/>
  <c r="AG972" i="1"/>
  <c r="AH972" i="1"/>
  <c r="AI972" i="1"/>
  <c r="AJ972" i="1"/>
  <c r="AK972" i="1"/>
  <c r="AL972" i="1"/>
  <c r="AM972" i="1"/>
  <c r="AN972" i="1"/>
  <c r="AO972" i="1"/>
  <c r="AP972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D973" i="1"/>
  <c r="AE973" i="1"/>
  <c r="AF973" i="1"/>
  <c r="AG973" i="1"/>
  <c r="AH973" i="1"/>
  <c r="AI973" i="1"/>
  <c r="AJ973" i="1"/>
  <c r="AK973" i="1"/>
  <c r="AL973" i="1"/>
  <c r="AM973" i="1"/>
  <c r="AN973" i="1"/>
  <c r="AO973" i="1"/>
  <c r="AP973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D974" i="1"/>
  <c r="AE974" i="1"/>
  <c r="AF974" i="1"/>
  <c r="AG974" i="1"/>
  <c r="AH974" i="1"/>
  <c r="AI974" i="1"/>
  <c r="AJ974" i="1"/>
  <c r="AK974" i="1"/>
  <c r="AL974" i="1"/>
  <c r="AM974" i="1"/>
  <c r="AN974" i="1"/>
  <c r="AO974" i="1"/>
  <c r="AP974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D975" i="1"/>
  <c r="AE975" i="1"/>
  <c r="AF975" i="1"/>
  <c r="AG975" i="1"/>
  <c r="AH975" i="1"/>
  <c r="AI975" i="1"/>
  <c r="AJ975" i="1"/>
  <c r="AK975" i="1"/>
  <c r="AL975" i="1"/>
  <c r="AM975" i="1"/>
  <c r="AN975" i="1"/>
  <c r="AO975" i="1"/>
  <c r="AP975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D976" i="1"/>
  <c r="AE976" i="1"/>
  <c r="AF976" i="1"/>
  <c r="AG976" i="1"/>
  <c r="AH976" i="1"/>
  <c r="AI976" i="1"/>
  <c r="AJ976" i="1"/>
  <c r="AK976" i="1"/>
  <c r="AL976" i="1"/>
  <c r="AM976" i="1"/>
  <c r="AN976" i="1"/>
  <c r="AO976" i="1"/>
  <c r="AP976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D977" i="1"/>
  <c r="AE977" i="1"/>
  <c r="AF977" i="1"/>
  <c r="AG977" i="1"/>
  <c r="AH977" i="1"/>
  <c r="AI977" i="1"/>
  <c r="AJ977" i="1"/>
  <c r="AK977" i="1"/>
  <c r="AL977" i="1"/>
  <c r="AM977" i="1"/>
  <c r="AN977" i="1"/>
  <c r="AO977" i="1"/>
  <c r="AP977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D978" i="1"/>
  <c r="AE978" i="1"/>
  <c r="AF978" i="1"/>
  <c r="AG978" i="1"/>
  <c r="AH978" i="1"/>
  <c r="AI978" i="1"/>
  <c r="AJ978" i="1"/>
  <c r="AK978" i="1"/>
  <c r="AL978" i="1"/>
  <c r="AM978" i="1"/>
  <c r="AN978" i="1"/>
  <c r="AO978" i="1"/>
  <c r="AP978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D979" i="1"/>
  <c r="AE979" i="1"/>
  <c r="AF979" i="1"/>
  <c r="AG979" i="1"/>
  <c r="AH979" i="1"/>
  <c r="AI979" i="1"/>
  <c r="AJ979" i="1"/>
  <c r="AK979" i="1"/>
  <c r="AL979" i="1"/>
  <c r="AM979" i="1"/>
  <c r="AN979" i="1"/>
  <c r="AO979" i="1"/>
  <c r="AP979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D980" i="1"/>
  <c r="AE980" i="1"/>
  <c r="AF980" i="1"/>
  <c r="AG980" i="1"/>
  <c r="AH980" i="1"/>
  <c r="AI980" i="1"/>
  <c r="AJ980" i="1"/>
  <c r="AK980" i="1"/>
  <c r="AL980" i="1"/>
  <c r="AM980" i="1"/>
  <c r="AN980" i="1"/>
  <c r="AO980" i="1"/>
  <c r="AP980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D981" i="1"/>
  <c r="AE981" i="1"/>
  <c r="AF981" i="1"/>
  <c r="AG981" i="1"/>
  <c r="AH981" i="1"/>
  <c r="AI981" i="1"/>
  <c r="AJ981" i="1"/>
  <c r="AK981" i="1"/>
  <c r="AL981" i="1"/>
  <c r="AM981" i="1"/>
  <c r="AN981" i="1"/>
  <c r="AO981" i="1"/>
  <c r="AP981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D982" i="1"/>
  <c r="AE982" i="1"/>
  <c r="AF982" i="1"/>
  <c r="AG982" i="1"/>
  <c r="AH982" i="1"/>
  <c r="AI982" i="1"/>
  <c r="AJ982" i="1"/>
  <c r="AK982" i="1"/>
  <c r="AL982" i="1"/>
  <c r="AM982" i="1"/>
  <c r="AN982" i="1"/>
  <c r="AO982" i="1"/>
  <c r="AP982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D983" i="1"/>
  <c r="AE983" i="1"/>
  <c r="AF983" i="1"/>
  <c r="AG983" i="1"/>
  <c r="AH983" i="1"/>
  <c r="AI983" i="1"/>
  <c r="AJ983" i="1"/>
  <c r="AK983" i="1"/>
  <c r="AL983" i="1"/>
  <c r="AM983" i="1"/>
  <c r="AN983" i="1"/>
  <c r="AO983" i="1"/>
  <c r="AP983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D984" i="1"/>
  <c r="AE984" i="1"/>
  <c r="AF984" i="1"/>
  <c r="AG984" i="1"/>
  <c r="AH984" i="1"/>
  <c r="AI984" i="1"/>
  <c r="AJ984" i="1"/>
  <c r="AK984" i="1"/>
  <c r="AL984" i="1"/>
  <c r="AM984" i="1"/>
  <c r="AN984" i="1"/>
  <c r="AO984" i="1"/>
  <c r="AP984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D985" i="1"/>
  <c r="AE985" i="1"/>
  <c r="AF985" i="1"/>
  <c r="AG985" i="1"/>
  <c r="AH985" i="1"/>
  <c r="AI985" i="1"/>
  <c r="AJ985" i="1"/>
  <c r="AK985" i="1"/>
  <c r="AL985" i="1"/>
  <c r="AM985" i="1"/>
  <c r="AN985" i="1"/>
  <c r="AO985" i="1"/>
  <c r="AP985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D986" i="1"/>
  <c r="AE986" i="1"/>
  <c r="AF986" i="1"/>
  <c r="AG986" i="1"/>
  <c r="AH986" i="1"/>
  <c r="AI986" i="1"/>
  <c r="AJ986" i="1"/>
  <c r="AK986" i="1"/>
  <c r="AL986" i="1"/>
  <c r="AM986" i="1"/>
  <c r="AN986" i="1"/>
  <c r="AO986" i="1"/>
  <c r="AP986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D987" i="1"/>
  <c r="AE987" i="1"/>
  <c r="AF987" i="1"/>
  <c r="AG987" i="1"/>
  <c r="AH987" i="1"/>
  <c r="AI987" i="1"/>
  <c r="AJ987" i="1"/>
  <c r="AK987" i="1"/>
  <c r="AL987" i="1"/>
  <c r="AM987" i="1"/>
  <c r="AN987" i="1"/>
  <c r="AO987" i="1"/>
  <c r="AP987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D988" i="1"/>
  <c r="AE988" i="1"/>
  <c r="AF988" i="1"/>
  <c r="AG988" i="1"/>
  <c r="AH988" i="1"/>
  <c r="AI988" i="1"/>
  <c r="AJ988" i="1"/>
  <c r="AK988" i="1"/>
  <c r="AL988" i="1"/>
  <c r="AM988" i="1"/>
  <c r="AN988" i="1"/>
  <c r="AO988" i="1"/>
  <c r="AP988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D989" i="1"/>
  <c r="AE989" i="1"/>
  <c r="AF989" i="1"/>
  <c r="AG989" i="1"/>
  <c r="AH989" i="1"/>
  <c r="AI989" i="1"/>
  <c r="AJ989" i="1"/>
  <c r="AK989" i="1"/>
  <c r="AL989" i="1"/>
  <c r="AM989" i="1"/>
  <c r="AN989" i="1"/>
  <c r="AO989" i="1"/>
  <c r="AP989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D990" i="1"/>
  <c r="AE990" i="1"/>
  <c r="AF990" i="1"/>
  <c r="AG990" i="1"/>
  <c r="AH990" i="1"/>
  <c r="AI990" i="1"/>
  <c r="AJ990" i="1"/>
  <c r="AK990" i="1"/>
  <c r="AL990" i="1"/>
  <c r="AM990" i="1"/>
  <c r="AN990" i="1"/>
  <c r="AO990" i="1"/>
  <c r="AP990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D991" i="1"/>
  <c r="AE991" i="1"/>
  <c r="AF991" i="1"/>
  <c r="AG991" i="1"/>
  <c r="AH991" i="1"/>
  <c r="AI991" i="1"/>
  <c r="AJ991" i="1"/>
  <c r="AK991" i="1"/>
  <c r="AL991" i="1"/>
  <c r="AM991" i="1"/>
  <c r="AN991" i="1"/>
  <c r="AO991" i="1"/>
  <c r="AP991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D992" i="1"/>
  <c r="AE992" i="1"/>
  <c r="AF992" i="1"/>
  <c r="AG992" i="1"/>
  <c r="AH992" i="1"/>
  <c r="AI992" i="1"/>
  <c r="AJ992" i="1"/>
  <c r="AK992" i="1"/>
  <c r="AL992" i="1"/>
  <c r="AM992" i="1"/>
  <c r="AN992" i="1"/>
  <c r="AO992" i="1"/>
  <c r="AP992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D993" i="1"/>
  <c r="AE993" i="1"/>
  <c r="AF993" i="1"/>
  <c r="AG993" i="1"/>
  <c r="AH993" i="1"/>
  <c r="AI993" i="1"/>
  <c r="AJ993" i="1"/>
  <c r="AK993" i="1"/>
  <c r="AL993" i="1"/>
  <c r="AM993" i="1"/>
  <c r="AN993" i="1"/>
  <c r="AO993" i="1"/>
  <c r="AP993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D994" i="1"/>
  <c r="AE994" i="1"/>
  <c r="AF994" i="1"/>
  <c r="AG994" i="1"/>
  <c r="AH994" i="1"/>
  <c r="AI994" i="1"/>
  <c r="AJ994" i="1"/>
  <c r="AK994" i="1"/>
  <c r="AL994" i="1"/>
  <c r="AM994" i="1"/>
  <c r="AN994" i="1"/>
  <c r="AO994" i="1"/>
  <c r="AP994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D995" i="1"/>
  <c r="AE995" i="1"/>
  <c r="AF995" i="1"/>
  <c r="AG995" i="1"/>
  <c r="AH995" i="1"/>
  <c r="AI995" i="1"/>
  <c r="AJ995" i="1"/>
  <c r="AK995" i="1"/>
  <c r="AL995" i="1"/>
  <c r="AM995" i="1"/>
  <c r="AN995" i="1"/>
  <c r="AO995" i="1"/>
  <c r="AP995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D996" i="1"/>
  <c r="AE996" i="1"/>
  <c r="AF996" i="1"/>
  <c r="AG996" i="1"/>
  <c r="AH996" i="1"/>
  <c r="AI996" i="1"/>
  <c r="AJ996" i="1"/>
  <c r="AK996" i="1"/>
  <c r="AL996" i="1"/>
  <c r="AM996" i="1"/>
  <c r="AN996" i="1"/>
  <c r="AO996" i="1"/>
  <c r="AP996" i="1"/>
  <c r="C997" i="1"/>
  <c r="P997" i="1"/>
  <c r="AC997" i="1"/>
  <c r="AP997" i="1" s="1"/>
  <c r="P998" i="1"/>
  <c r="AC998" i="1"/>
  <c r="AC1000" i="1" s="1"/>
  <c r="P999" i="1"/>
  <c r="P1000" i="1" s="1"/>
  <c r="AC999" i="1"/>
  <c r="D998" i="1" l="1"/>
  <c r="E998" i="1"/>
  <c r="F998" i="1"/>
  <c r="F999" i="1"/>
  <c r="G998" i="1"/>
  <c r="G999" i="1"/>
  <c r="H998" i="1"/>
  <c r="I998" i="1"/>
  <c r="J998" i="1"/>
  <c r="J999" i="1"/>
  <c r="K998" i="1"/>
  <c r="L998" i="1"/>
  <c r="L999" i="1"/>
  <c r="M998" i="1"/>
  <c r="M999" i="1"/>
  <c r="N998" i="1"/>
  <c r="O998" i="1"/>
  <c r="Q998" i="1"/>
  <c r="R998" i="1"/>
  <c r="S998" i="1"/>
  <c r="S999" i="1"/>
  <c r="T998" i="1"/>
  <c r="U998" i="1"/>
  <c r="U999" i="1"/>
  <c r="V998" i="1"/>
  <c r="W998" i="1"/>
  <c r="W999" i="1"/>
  <c r="X998" i="1"/>
  <c r="Y998" i="1"/>
  <c r="Y999" i="1"/>
  <c r="Z998" i="1"/>
  <c r="AA998" i="1"/>
  <c r="AB998" i="1"/>
  <c r="AB999" i="1"/>
  <c r="AQ997" i="1"/>
  <c r="AD998" i="1"/>
  <c r="AD999" i="1" s="1"/>
  <c r="AR997" i="1"/>
  <c r="AE998" i="1"/>
  <c r="AE999" i="1" s="1"/>
  <c r="AF998" i="1"/>
  <c r="AF999" i="1" s="1"/>
  <c r="AS999" i="1" s="1"/>
  <c r="AS1000" i="1" s="1"/>
  <c r="AS997" i="1"/>
  <c r="AG998" i="1"/>
  <c r="AG999" i="1"/>
  <c r="AT997" i="1"/>
  <c r="AH998" i="1"/>
  <c r="AH999" i="1" s="1"/>
  <c r="AU997" i="1"/>
  <c r="AI998" i="1"/>
  <c r="AI999" i="1"/>
  <c r="AV997" i="1"/>
  <c r="AJ998" i="1"/>
  <c r="AJ999" i="1" s="1"/>
  <c r="AW999" i="1" s="1"/>
  <c r="AW1000" i="1" s="1"/>
  <c r="AW997" i="1"/>
  <c r="AK998" i="1"/>
  <c r="AK999" i="1" s="1"/>
  <c r="AX997" i="1"/>
  <c r="AY997" i="1"/>
  <c r="AL998" i="1"/>
  <c r="AL999" i="1" s="1"/>
  <c r="AY999" i="1" s="1"/>
  <c r="AY1000" i="1" s="1"/>
  <c r="AM998" i="1"/>
  <c r="AM999" i="1"/>
  <c r="AZ997" i="1"/>
  <c r="BA997" i="1"/>
  <c r="AN998" i="1"/>
  <c r="AN999" i="1"/>
  <c r="BB997" i="1"/>
  <c r="AO998" i="1"/>
  <c r="AO999" i="1" s="1"/>
  <c r="C998" i="1"/>
  <c r="AP998" i="1" s="1"/>
  <c r="C999" i="1"/>
  <c r="AQ998" i="1" l="1"/>
  <c r="AR998" i="1"/>
  <c r="AS998" i="1"/>
  <c r="AT998" i="1"/>
  <c r="AU998" i="1"/>
  <c r="AV998" i="1"/>
  <c r="AW998" i="1"/>
  <c r="AX998" i="1"/>
  <c r="AY998" i="1"/>
  <c r="AZ998" i="1"/>
  <c r="BA998" i="1"/>
  <c r="BB998" i="1"/>
  <c r="C1000" i="1"/>
  <c r="AP999" i="1"/>
  <c r="AP1000" i="1" s="1"/>
  <c r="D999" i="1"/>
  <c r="E999" i="1"/>
  <c r="H999" i="1"/>
  <c r="AU999" i="1" s="1"/>
  <c r="AU1000" i="1" s="1"/>
  <c r="I999" i="1"/>
  <c r="K999" i="1"/>
  <c r="N999" i="1"/>
  <c r="O999" i="1"/>
  <c r="BB999" i="1" s="1"/>
  <c r="BB1000" i="1" s="1"/>
  <c r="Q999" i="1"/>
  <c r="AQ999" i="1" s="1"/>
  <c r="AQ1000" i="1" s="1"/>
  <c r="R999" i="1"/>
  <c r="AR999" i="1" s="1"/>
  <c r="AR1000" i="1" s="1"/>
  <c r="T999" i="1"/>
  <c r="AT999" i="1" s="1"/>
  <c r="AT1000" i="1" s="1"/>
  <c r="V999" i="1"/>
  <c r="AV999" i="1" s="1"/>
  <c r="AV1000" i="1" s="1"/>
  <c r="X999" i="1"/>
  <c r="AX999" i="1" s="1"/>
  <c r="AX1000" i="1" s="1"/>
  <c r="Z999" i="1"/>
  <c r="AZ999" i="1" s="1"/>
  <c r="AZ1000" i="1" s="1"/>
  <c r="AA999" i="1"/>
  <c r="BA999" i="1" s="1"/>
  <c r="BA1000" i="1" s="1"/>
</calcChain>
</file>

<file path=xl/sharedStrings.xml><?xml version="1.0" encoding="utf-8"?>
<sst xmlns="http://schemas.openxmlformats.org/spreadsheetml/2006/main" count="1062" uniqueCount="1011">
  <si>
    <t>HFA-HENRIQUE, FERNANDO &amp; ALVES, S.A.</t>
  </si>
  <si>
    <t>CONECTRONICS GMBH</t>
  </si>
  <si>
    <t>ELECTROSON GALICIA, S.A.</t>
  </si>
  <si>
    <t>ELECTROSONI, S.L.</t>
  </si>
  <si>
    <t>I3TE I MAS D MAS I, S.L</t>
  </si>
  <si>
    <t>LAELECTRICAALVAREZSIRGO,S.A.</t>
  </si>
  <si>
    <t>ELECTROSON CASTILLA, S.A.</t>
  </si>
  <si>
    <t>DISEÑOS Y APLICACIONES NR ELECTRONICA, S</t>
  </si>
  <si>
    <t>O.M. VENDING, S.L.</t>
  </si>
  <si>
    <t>UNIVERSIDAD DE OVIEDO</t>
  </si>
  <si>
    <t>FAGOR ELECTRONICA, S.COOP.</t>
  </si>
  <si>
    <t>BILBOMATICA, S.A.</t>
  </si>
  <si>
    <t>COMPONENTES AGRICOLAS GENERAL, S.L.</t>
  </si>
  <si>
    <t>INDUSTRIAL DE ELEVACIÓN, S.A.</t>
  </si>
  <si>
    <t>CISA ELECTRIC, S.A.</t>
  </si>
  <si>
    <t>ELECTRONICA ARA, S.L.</t>
  </si>
  <si>
    <t>KEPAR ELECTRONICA, S.L.</t>
  </si>
  <si>
    <t xml:space="preserve"> TELNET REDES INTELIGENTES S.A.</t>
  </si>
  <si>
    <t>AESA-ARAGONESA DE EQUIPAMIENTO(DUPLICADO</t>
  </si>
  <si>
    <t>KINTECH INGENIERIA, S.L.</t>
  </si>
  <si>
    <t>MONDOIBERICA,S.A.U.</t>
  </si>
  <si>
    <t>ADALID INNOTEC, S.L.</t>
  </si>
  <si>
    <t>TORYTRANS, S.L.</t>
  </si>
  <si>
    <t>DENSO TEN ESPAÑA, S.A.</t>
  </si>
  <si>
    <t>NORATEL SPAIN, S.L.</t>
  </si>
  <si>
    <t>INSTALACIONES INABENSA, S.A.U.</t>
  </si>
  <si>
    <t>GECIESPAÑOLA,S.A.</t>
  </si>
  <si>
    <t>S.A.SISTEL</t>
  </si>
  <si>
    <t>SERVEIS PER A LA INDUSTRIA</t>
  </si>
  <si>
    <t>BASMEL,S.L.</t>
  </si>
  <si>
    <t>JCM TECHNOLOGIES, S.A.</t>
  </si>
  <si>
    <t>FQ INGENIERIA ELECTRONICA, SA</t>
  </si>
  <si>
    <t>SENSOTEC INSTRUMENTS, S.A.</t>
  </si>
  <si>
    <t>MONOLITIC, S.A.</t>
  </si>
  <si>
    <t>ONDA RADIO, S.A.</t>
  </si>
  <si>
    <t>CABLETRES COMERCIAL, SL</t>
  </si>
  <si>
    <t>FAST COMPONENTES EUROPE, S.L.</t>
  </si>
  <si>
    <t>CUSTOM SOFTWARE &amp; ELECTRONICS SL</t>
  </si>
  <si>
    <t>VIA CONTROL ELECTRONICA,S.L.</t>
  </si>
  <si>
    <t>ENSELEC, S.L.</t>
  </si>
  <si>
    <t>CISA-CEDACERIA INDUSTRIAL S.L.</t>
  </si>
  <si>
    <t>CIRPROTEC, S.L.</t>
  </si>
  <si>
    <t>APARELLAJE INDUSTRIAL GAS Y</t>
  </si>
  <si>
    <t>MANUEL BAENA GOMEZ</t>
  </si>
  <si>
    <t>ELECTRONICS INTELLIGENT CONTROLS, S.L.</t>
  </si>
  <si>
    <t>ROSS ESTETICA, S.L.</t>
  </si>
  <si>
    <t>EMOPAR CABLEADOS, S.L</t>
  </si>
  <si>
    <t>NOVATECH VILANOVA, S.L.</t>
  </si>
  <si>
    <t>FRANCISCO JAVIER SABATÉ ARIAS</t>
  </si>
  <si>
    <t>CABLEADOS JM FYG CARO VELEZ,SL</t>
  </si>
  <si>
    <t>ASCELL SENSOR, S.L.</t>
  </si>
  <si>
    <t xml:space="preserve"> UNIVERSAL DE DESARROLLOS ELECTRONIC</t>
  </si>
  <si>
    <t>TECNOLOGIAS ADE, S.L</t>
  </si>
  <si>
    <t>JAIME TONA SERRA</t>
  </si>
  <si>
    <t>C.C.M.ELECTRONIC, S.L.</t>
  </si>
  <si>
    <t>RC MICROELECTRONICA, S.L.</t>
  </si>
  <si>
    <t>SERV.AUX.DE ELECTROMONTAJES SL</t>
  </si>
  <si>
    <t>TEMPEL, S.A.</t>
  </si>
  <si>
    <t>ISAE ELECTRONICA, S.L.</t>
  </si>
  <si>
    <t>ELECTRONICA SIPEL,S.L.</t>
  </si>
  <si>
    <t>APEL ELECTRONICA , S.L.</t>
  </si>
  <si>
    <t>CONEXIONES CONDAL, S.L.</t>
  </si>
  <si>
    <t>EGARA ELECTRONICA, S.L.</t>
  </si>
  <si>
    <t>SAUTEL, S.L.</t>
  </si>
  <si>
    <t>SALICRU, S.A.</t>
  </si>
  <si>
    <t>CATEL, S.A.</t>
  </si>
  <si>
    <t>DAVID RAMIREZ TRANCOSO</t>
  </si>
  <si>
    <t>MEIG, S.L.</t>
  </si>
  <si>
    <t>INSERCAD ELECTRONICA S.L.</t>
  </si>
  <si>
    <t>ECOYMA, S.A.</t>
  </si>
  <si>
    <t>CLAUTRONIC, S.L.</t>
  </si>
  <si>
    <t>CST DEL CABLEADO, S.L.</t>
  </si>
  <si>
    <t>SACOEL, S.A.</t>
  </si>
  <si>
    <t>KOBOLD MESURA, S.L.U.</t>
  </si>
  <si>
    <t>SABER, S.L.</t>
  </si>
  <si>
    <t>FADIVEN, S.L.</t>
  </si>
  <si>
    <t>TECSA</t>
  </si>
  <si>
    <t>INTERCONECTOR, S.L.</t>
  </si>
  <si>
    <t>IXPEBE, S.L.</t>
  </si>
  <si>
    <t>GESCASER, S.A.</t>
  </si>
  <si>
    <t>DICOEL, S.L.</t>
  </si>
  <si>
    <t>INSTR.INDUSTRIAL ZURC,SAU</t>
  </si>
  <si>
    <t>HOHNER AUTOMATICOS, S.L.</t>
  </si>
  <si>
    <t>AITOR ORMAZABAL GOGORZA</t>
  </si>
  <si>
    <t>VICTOR MANUEL RODRIGO SUAREZ</t>
  </si>
  <si>
    <t>PANAGOPOULOS DIMITRIOS</t>
  </si>
  <si>
    <t>KAYRO TECHNOLOGY SL</t>
  </si>
  <si>
    <t xml:space="preserve">LI2GO ENERGY SOLUTIONS, S.L. </t>
  </si>
  <si>
    <t>ALMACENES ELÉCTRICOS RAMÍREZ, S.L.U.</t>
  </si>
  <si>
    <t>COMPONENTS ELÈCTRICS GRANOLLERS SL</t>
  </si>
  <si>
    <t>PROACTIVE RESEARCH AND DEVELOPMENT S.L</t>
  </si>
  <si>
    <t>ASCABLE-RECAEL, S.A.</t>
  </si>
  <si>
    <t>GASN2 S.L</t>
  </si>
  <si>
    <t>SETELSA SECURITY, S.L.</t>
  </si>
  <si>
    <t>TACOTAX CENTER 2010, S.L.</t>
  </si>
  <si>
    <t>ELECTOMONTAJES GOHITA, S.L.</t>
  </si>
  <si>
    <t>TATA ADVANCED SYSTEMS LIMITED</t>
  </si>
  <si>
    <t>SMART-WAVES TECHNOLOGIES PVT LTD</t>
  </si>
  <si>
    <t>DINAT 2006 SLU</t>
  </si>
  <si>
    <t>TERCER MILENIO INFORMÁTICA, S.L.</t>
  </si>
  <si>
    <t>HICOTRONICS DEVICES PVT LTD</t>
  </si>
  <si>
    <t>HIDROPAMER S.L.</t>
  </si>
  <si>
    <t>TORIVAC, S.L.U.</t>
  </si>
  <si>
    <t>WESTCONTROL AS</t>
  </si>
  <si>
    <t>COMPEX SOLUTION</t>
  </si>
  <si>
    <t>VISHESH INNOVATIVE TECHNOLOGIES PRIVATE</t>
  </si>
  <si>
    <t>SHANGHAI FAN XIN ELECTROMECHANICAL EQUIP</t>
  </si>
  <si>
    <t>NEW TECHNOLOGIES GLOBAL SYSTEMS, SL</t>
  </si>
  <si>
    <t>UNIVERSITAT INTERNACIONAL DE CATALUNYA</t>
  </si>
  <si>
    <t>MATEIN,S.A.</t>
  </si>
  <si>
    <t>YUDIGAR CANARIAS,S.L.</t>
  </si>
  <si>
    <t>RICARDO VELA, C.B.</t>
  </si>
  <si>
    <t>MIGUEL ANGEL GOMEZ MERINO</t>
  </si>
  <si>
    <t>INSER SERVICIO INFORMÁTICO PROFESIONAL</t>
  </si>
  <si>
    <t>INDIC EMS ELECTRONICS PVT LTD</t>
  </si>
  <si>
    <t xml:space="preserve">RODIN S.A.U   </t>
  </si>
  <si>
    <t>DISIBEINT ELECTRONIC SL</t>
  </si>
  <si>
    <t>SVI SLOVAKIA S.R.O.</t>
  </si>
  <si>
    <t>DOISTUA, S.A.</t>
  </si>
  <si>
    <t>LINDA GUTIERREZ ROMERO</t>
  </si>
  <si>
    <t>VIHORSETRONICA S.L</t>
  </si>
  <si>
    <t>STERNA INNOVATIONS PROJECTS, S.L</t>
  </si>
  <si>
    <t>LEAPWAVE TECHNOLOGIES S.L.</t>
  </si>
  <si>
    <t>INGENIERIA DE PROCESOS Y PRODUCTOS I-MAS</t>
  </si>
  <si>
    <t>HYDAC TECHNOLOGY,SL</t>
  </si>
  <si>
    <t>PERE MARGALEF I CAÑELLES</t>
  </si>
  <si>
    <t>OMEGA PERIPHERALS S.L.</t>
  </si>
  <si>
    <t>INGENIERIA DE PROYECTOS Y PRODUCTOS</t>
  </si>
  <si>
    <t>LABORATORIOS LECA, S.L.</t>
  </si>
  <si>
    <t>ANTONIO MADRID CARVAJAL</t>
  </si>
  <si>
    <t>KLK ELECTROMATERIALES, S.L.</t>
  </si>
  <si>
    <t>JUÁREZ Y MILLAS, S.A.</t>
  </si>
  <si>
    <t>JAVIER CHARLES PÉREZ</t>
  </si>
  <si>
    <t>NORATEL INTERNATIONAL (PVT) LTD</t>
  </si>
  <si>
    <t>AFFINITY ELECTRONICS S.L.</t>
  </si>
  <si>
    <t>PROCIRCUITS, S.L.</t>
  </si>
  <si>
    <t>INSTA-REC 2010, SL</t>
  </si>
  <si>
    <t>ESTANFLUX, S.A.</t>
  </si>
  <si>
    <t>UARTRÓNICA ELECTRÓNICA, LDA.</t>
  </si>
  <si>
    <t>COMERCIO Y SERVICIOS DE MANTENIMIENTO BI</t>
  </si>
  <si>
    <t xml:space="preserve">PALMIRABUGA, S.L. </t>
  </si>
  <si>
    <t>E2 INGENIERIA E INSTALACIONES, S.L</t>
  </si>
  <si>
    <t>INFOYMA, S.L.</t>
  </si>
  <si>
    <t>ITALFARMACO, S.A.</t>
  </si>
  <si>
    <t>ESHIA ENERGIA, SL</t>
  </si>
  <si>
    <t xml:space="preserve">MANTENIMIENTO E INSTALACIONES </t>
  </si>
  <si>
    <t>COMERCIAL ANDORA SEMANCA,S.L.</t>
  </si>
  <si>
    <t xml:space="preserve">CARLES DRESAIRE I GAUDÍ </t>
  </si>
  <si>
    <t>DIEGO LÓPEZ SANZ</t>
  </si>
  <si>
    <t>JOSÉ DOMINGO HIGUERA PÉREZ</t>
  </si>
  <si>
    <t>CINERGIA POWER SOLUTIONS, SLU</t>
  </si>
  <si>
    <t>OX COMPAÑÍA DE TRATAMIENTO DE AGUAS SLU</t>
  </si>
  <si>
    <t>KINTECH INSTRUMENTS, S.L.U.</t>
  </si>
  <si>
    <t>OSOAK ,S.A.</t>
  </si>
  <si>
    <t xml:space="preserve">TELECOMUNICACION Y AUTOMATICA </t>
  </si>
  <si>
    <t>STRONGPOINT CASH TECH, S.L.</t>
  </si>
  <si>
    <t>WORLD INFORMATICA Y SERVICIOS, S.L.</t>
  </si>
  <si>
    <t>NOUDI - DISSENY DE PRODUCTE SL</t>
  </si>
  <si>
    <t>KONTRON PUBLIC TRANSPORT ARCE, S.A.U.</t>
  </si>
  <si>
    <t>MADERAS PACO CACHAROLO,S.L.</t>
  </si>
  <si>
    <t>LICA HOTELES, S.A.</t>
  </si>
  <si>
    <t>AEROLASER SYSTEM S.L</t>
  </si>
  <si>
    <t>CODERIAM SOLUCIONES S.L.</t>
  </si>
  <si>
    <t>FARAMAX TRAFO S.L.</t>
  </si>
  <si>
    <t>SETALDE SUMINISTROS INTEGRALES S.A.</t>
  </si>
  <si>
    <t>ROYSE ISM SERVICIOS INTEGRALES, S.L.</t>
  </si>
  <si>
    <t>SHENZHEN TOPBAND CO.,LTD</t>
  </si>
  <si>
    <t>EIMATEC, S.L.</t>
  </si>
  <si>
    <t xml:space="preserve"> V.R.S. CONEXIONES Y CABLEADOS, S.L.</t>
  </si>
  <si>
    <t>MONTAJES ELECTRICOS TRASSA, S.L.</t>
  </si>
  <si>
    <t>TEC-SOFT CONSULTING, S.L.</t>
  </si>
  <si>
    <t>ANTONIO TORRES QUESADA</t>
  </si>
  <si>
    <t>STEP LOGÍSTICA Y CONTROL, S.L.</t>
  </si>
  <si>
    <t>CAF RAIL DIGITAL SERVICES S.L</t>
  </si>
  <si>
    <t>ALEXANDER CABALLERO SALCEDO</t>
  </si>
  <si>
    <t>LABORATORIOS HIPRA, S.A.</t>
  </si>
  <si>
    <t>ENERGY ON SITE S.L.</t>
  </si>
  <si>
    <t>KORUS SUMINISTROS ELECTRICOS, S.A.</t>
  </si>
  <si>
    <t>SISTEMAS DE INTERCONEXIÓN, S.A.</t>
  </si>
  <si>
    <t>JAVIER ONDOÑO TINADONIS</t>
  </si>
  <si>
    <t>KAZINOV ELECTRICITE &amp; AUTOMATISME</t>
  </si>
  <si>
    <t>AIRBOXESP NEUMATIC, S.L.</t>
  </si>
  <si>
    <t>LITTLE ELECTRIC ENERGY, S.L.</t>
  </si>
  <si>
    <t>ELECTRIC VEHICLE POWER, S.L.</t>
  </si>
  <si>
    <t>DEUSTO SEIDOR, S.A.</t>
  </si>
  <si>
    <t>HIDRAULICA, S.L.</t>
  </si>
  <si>
    <t>Feliciano Borbolla Orfila</t>
  </si>
  <si>
    <t>TECNICAL LLEIDA. SL</t>
  </si>
  <si>
    <t>DISHECO</t>
  </si>
  <si>
    <t xml:space="preserve"> SESAELEC LLEIDA,SA</t>
  </si>
  <si>
    <t>FABRICADOS HISTRON, S.L.</t>
  </si>
  <si>
    <t>METALUX ASTURIAS, S.L.</t>
  </si>
  <si>
    <t xml:space="preserve"> CINTRATEC COMERCIAL DE SUMINISTROS,</t>
  </si>
  <si>
    <t>MAGRANA SCCL</t>
  </si>
  <si>
    <t>AWGE TECHNOLOGIES, S.L.</t>
  </si>
  <si>
    <t>KRZ,S.L.</t>
  </si>
  <si>
    <t>CM4ENGINYERIAS.A.</t>
  </si>
  <si>
    <t xml:space="preserve"> COMERCIAL DEL SUR, S.A.</t>
  </si>
  <si>
    <t xml:space="preserve"> Patrick louis Robert Duchemin</t>
  </si>
  <si>
    <t>INDUSTRIAL BARRANQUESA, S.A.</t>
  </si>
  <si>
    <t>KENTRONICTECHNOLOGY,S.L.</t>
  </si>
  <si>
    <t>SOLUCIONES CARGATUCOCHE, S.L.</t>
  </si>
  <si>
    <t>MYOQUALITY SOLUTIONS, SL</t>
  </si>
  <si>
    <t>EPOWERLABS, S.L.</t>
  </si>
  <si>
    <t>MAGAPOR, S.L.</t>
  </si>
  <si>
    <t>INNOVATIVE SUPPORT Eood</t>
  </si>
  <si>
    <t>PROYECTARENOVABLES CONTROL, S.L.U.</t>
  </si>
  <si>
    <t>DEPIMEX IBERIA SL</t>
  </si>
  <si>
    <t>LOGISVENDING, S.L.</t>
  </si>
  <si>
    <t>SCMSISTEMAS,S.L.</t>
  </si>
  <si>
    <t>LEXTERMICROELECTRONICSENGINEERING</t>
  </si>
  <si>
    <t xml:space="preserve"> MAQUINARIA INDUSTRIAL ROBOTIZADA PA</t>
  </si>
  <si>
    <t xml:space="preserve"> EXAFAN, S.A.U</t>
  </si>
  <si>
    <t xml:space="preserve"> ELEMENTAL IBERICA IMPORT EXPORT,S.L</t>
  </si>
  <si>
    <t xml:space="preserve"> SELCANSA,S.A.</t>
  </si>
  <si>
    <t>MILLENNIUM UMBRELLA TECH CONSULTING, S.L</t>
  </si>
  <si>
    <t xml:space="preserve"> ARELMEX S.A.DE CV</t>
  </si>
  <si>
    <t>COMPONOSOLLERTIA, S.A.L.</t>
  </si>
  <si>
    <t>GEMINIS LATHES, S.A.</t>
  </si>
  <si>
    <t>ESTEL, SL</t>
  </si>
  <si>
    <t>INSEYBOM,S.L.</t>
  </si>
  <si>
    <t>CONSULTORADEPROYECTOSESPECIALES</t>
  </si>
  <si>
    <t>SKINIDENT TECHNOLOGIES, S.L.</t>
  </si>
  <si>
    <t>CENTRENATIONALDELARECHERCHESCI</t>
  </si>
  <si>
    <t>ESCOSURA SERVICIOS TECNICOS,S.L.</t>
  </si>
  <si>
    <t>ADMINISTRACION GENERAL DE LA C.A.P.</t>
  </si>
  <si>
    <t>BETTAIR CITIES SL</t>
  </si>
  <si>
    <t>SOLUCIONES ELECTROMEC�ICA AVANZADA</t>
  </si>
  <si>
    <t>ARXITEC CRITICAL SYSTEMS, S.L.</t>
  </si>
  <si>
    <t>SISENOL SOLUTIONS, S.L.</t>
  </si>
  <si>
    <t xml:space="preserve"> CHARGEVITE ENERGY, S.L.U.</t>
  </si>
  <si>
    <t>WATTIUS BATTERY SOLUTIONS, S.L.</t>
  </si>
  <si>
    <t xml:space="preserve"> ACTIA DE MEXICO S.A. DE C.V.</t>
  </si>
  <si>
    <t>MORE COOL ILUMINATIONS, S.L.</t>
  </si>
  <si>
    <t>ELECTROLOMAS, S.L.U</t>
  </si>
  <si>
    <t>DIEGO RODRIGO MADRID (DUPLICADO 5538)</t>
  </si>
  <si>
    <t>SENSPAIN PRODUCTOS DE SEGURIDAD, S.L.</t>
  </si>
  <si>
    <t>INTENANCE CAPITAL, S.L.</t>
  </si>
  <si>
    <t>AIRBUS UPNEXT, S.L.</t>
  </si>
  <si>
    <t>RECUPERACIONS INDUSTRIALS URGELL, SL</t>
  </si>
  <si>
    <t>JAVIER SOLANS BADIA</t>
  </si>
  <si>
    <t>AIRGRUP S.L.</t>
  </si>
  <si>
    <t>TPC NETGRUP, S.L.</t>
  </si>
  <si>
    <t>INDUSTRIAL TERMOMETRICA SOCIEDAD DE ASTU</t>
  </si>
  <si>
    <t>AUCORE,S.L.</t>
  </si>
  <si>
    <t xml:space="preserve"> LOJACK ESPA� S.L.</t>
  </si>
  <si>
    <t>SPECIALISTCOMPUTERCENTRES,S.L.</t>
  </si>
  <si>
    <t>CORP.DE LA INGENIERA NAVAL MECANICA VIGU</t>
  </si>
  <si>
    <t>MIA SISTEMAS Y DESARROLLOS, S.L.</t>
  </si>
  <si>
    <t>ILLUSIONTEK, S.L.</t>
  </si>
  <si>
    <t xml:space="preserve"> GOIKER Electr�ica, S.L</t>
  </si>
  <si>
    <t>SECOND LIFE BATTERY, S.L.</t>
  </si>
  <si>
    <t xml:space="preserve"> OPENERS &amp; CLOSERS, S.L</t>
  </si>
  <si>
    <t>DRILCO, S.L.</t>
  </si>
  <si>
    <t>PONDUS MGL, S.L.</t>
  </si>
  <si>
    <t>VOSSMAN TECHMAKER S.L.</t>
  </si>
  <si>
    <t>FONRO 06, S.L.</t>
  </si>
  <si>
    <t>IKUSI, S.L.Unipersonal</t>
  </si>
  <si>
    <t>PROTECCIONES ELECTRICAS DE ALTA TENSION</t>
  </si>
  <si>
    <t xml:space="preserve"> HUB ELECTRONICS HARDWARE ENGINEERIN</t>
  </si>
  <si>
    <t>BAIMEN, S.A.</t>
  </si>
  <si>
    <t>VALLFIREST TECNOLOGÍAS FORESTALES, S.L.</t>
  </si>
  <si>
    <t>ENERCLIC INNOVATIO, S.L.</t>
  </si>
  <si>
    <t>PRODUCTOS DE DISEÑO E INGENIERIA, S.L.</t>
  </si>
  <si>
    <t>AKP ELECTRONIC SYSTEMS, LDA</t>
  </si>
  <si>
    <t>FEMA ELECTRONICA, S.A</t>
  </si>
  <si>
    <t>OVERTURE LIFE, S.L.</t>
  </si>
  <si>
    <t>OMNIALECTRONICS</t>
  </si>
  <si>
    <t>GEODESIC INNOVATIONS, S.L.</t>
  </si>
  <si>
    <t>PRODUCT LIFT, S.L.</t>
  </si>
  <si>
    <t>TALLERES AGA, S.A.</t>
  </si>
  <si>
    <t>AH DOC ELECTRONIC S.L.</t>
  </si>
  <si>
    <t>ROTUPLAST,S.A.</t>
  </si>
  <si>
    <t>GEOTAB GMBH SUCURSAL EN ESPAÑA</t>
  </si>
  <si>
    <t>GLOBAL cABTOR, S.L.</t>
  </si>
  <si>
    <t xml:space="preserve"> ORTRONIC GLOBAL,S.L.</t>
  </si>
  <si>
    <t>ADRIAN SALGADO MAGRO</t>
  </si>
  <si>
    <t>COUTH INDUSTRIAL MARKING SYSTEMS, S.L.U.</t>
  </si>
  <si>
    <t>PRILUX ILUMINACION I MAS D, S.L.U.</t>
  </si>
  <si>
    <t>PINANSON, S.L.</t>
  </si>
  <si>
    <t>QILIMANJARO QUANTUM TECH</t>
  </si>
  <si>
    <t>VIASAT SERVICIOS TELEMATICOS, S.L.U.</t>
  </si>
  <si>
    <t>RAFAEL GOMEZ CARBONERO</t>
  </si>
  <si>
    <t>EFFINERGY SYSTEM, S.L.</t>
  </si>
  <si>
    <t>SUNPRO REDES Y SISTEMAS, S.L.</t>
  </si>
  <si>
    <t>WORLD WIDE MOBILITY, S.L.</t>
  </si>
  <si>
    <t>INBROOLL INDUSTRIES, S.L.</t>
  </si>
  <si>
    <t>MEDHA SERVO DRIVES PvT.Ltd</t>
  </si>
  <si>
    <t>GLOBAL SUPPORT SUPPLIER, S.L.</t>
  </si>
  <si>
    <t>SAMPOL INGENIERÍA Y OBRAS, S.A.</t>
  </si>
  <si>
    <t xml:space="preserve"> ELECTRIFICACIONES ARALAR,S.A.L.</t>
  </si>
  <si>
    <t xml:space="preserve"> PANGEA PROJECTOS Y OBRAS,S.L.</t>
  </si>
  <si>
    <t>PILAS AUDIOVISUAL MARGON, S.L.</t>
  </si>
  <si>
    <t>YELCO TECHNOLOGIES, L.D.A.</t>
  </si>
  <si>
    <t>MEISO SOLUCIONS, S.L.U</t>
  </si>
  <si>
    <t>DELCOS DECOR S.L.</t>
  </si>
  <si>
    <t>BTESA - Broad Telecom S.A.</t>
  </si>
  <si>
    <t>SUMELEC NAVARRA,S.L.</t>
  </si>
  <si>
    <t>ABC MOLLERUSA, S.L.</t>
  </si>
  <si>
    <t>ADEALÓXICA INGENIERÍA, S.L.</t>
  </si>
  <si>
    <t>ACCESS TO QUALITY, S.L.U.</t>
  </si>
  <si>
    <t>TESEL - Servicios Electrónicos Avanzados</t>
  </si>
  <si>
    <t>Kanma23 S.L.</t>
  </si>
  <si>
    <t>SINAS RADIONAVEGACION, S.L.</t>
  </si>
  <si>
    <t>ZENTRUM SERVICIOS INTEGRALES  S.L.</t>
  </si>
  <si>
    <t>TECFLUID, S.A.</t>
  </si>
  <si>
    <t>CONSORCIOESSBILBAO</t>
  </si>
  <si>
    <t>MCFLY TECHNOLOGIES,S.L.</t>
  </si>
  <si>
    <t>CREO MEDICAL,S.L.</t>
  </si>
  <si>
    <t>NEURONAL INNOVATION CONTROL S.L.</t>
  </si>
  <si>
    <t>DINFER ELECTRONICA, S.L.</t>
  </si>
  <si>
    <t>SONEPAR CESKÁ REPUBLIKA SPOL,S.R.O</t>
  </si>
  <si>
    <t>VISAN ELECTROVENDING, SL</t>
  </si>
  <si>
    <t>FOURPRO,SL</t>
  </si>
  <si>
    <t>MACROSISTEMAS, S.A.</t>
  </si>
  <si>
    <t>ELECTROZEMPER,S.A.</t>
  </si>
  <si>
    <t>ABMEDICAGROUP,S.A.</t>
  </si>
  <si>
    <t>FERRIMAX,S.A.</t>
  </si>
  <si>
    <t>CIRCUTOR, S.A.</t>
  </si>
  <si>
    <t>EVERSENS,S.L.</t>
  </si>
  <si>
    <t>TECNICAS DE AUTOMATIZACION ELECTRONICA,</t>
  </si>
  <si>
    <t>ELECTRONICA SANRIO, S.L.</t>
  </si>
  <si>
    <t>UNIVERSITAT DE BARCELONA</t>
  </si>
  <si>
    <t>FERRETERIA LA CADENA, S.L.</t>
  </si>
  <si>
    <t>TASHIA, S.L.</t>
  </si>
  <si>
    <t>BATLLE ARNAU S.L.</t>
  </si>
  <si>
    <t>VENTAYEXPLOTACIONDEMATERIALIND</t>
  </si>
  <si>
    <t>TECNOLOGIAS, SERVICIOS TELEMATICOS Y SIS</t>
  </si>
  <si>
    <t>JJP HOSPITALARIA SL</t>
  </si>
  <si>
    <t>AMOJE IMPORTAçAO E EXPORTAçAO LDA.</t>
  </si>
  <si>
    <t xml:space="preserve"> ZIV AUTOMATION INDIA PRIVATE LIMITE</t>
  </si>
  <si>
    <t>TECNOCRIMP, LDA</t>
  </si>
  <si>
    <t>RETROCABLES, S.L.</t>
  </si>
  <si>
    <t>QUALITYFRY, S.L.</t>
  </si>
  <si>
    <t xml:space="preserve"> SUMINISTROS ELECTRICOS HUESCA, S.L.</t>
  </si>
  <si>
    <t>BC APLICACIONES ANALITICAS, S.L.</t>
  </si>
  <si>
    <t>MARKIBAR INNOVACION, S.L.</t>
  </si>
  <si>
    <t>INGOEL, S.C.</t>
  </si>
  <si>
    <t>WEAS, Unipessoal Lda.</t>
  </si>
  <si>
    <t>ASTER ELETTRONICA SRL</t>
  </si>
  <si>
    <t>FUNDACION UNIVERSIDAD DE OVIEDO</t>
  </si>
  <si>
    <t>OCTÉ ELECTRIC, S.A.U</t>
  </si>
  <si>
    <t>IPTESPAIN,S.L.U.</t>
  </si>
  <si>
    <t>GRUPO PRILUX ILUMINACIÓN SLU</t>
  </si>
  <si>
    <t>STB MARCADORES BARCELONA, S.L.</t>
  </si>
  <si>
    <t>CAYATA, S.L.</t>
  </si>
  <si>
    <t>IMPORTACIONES INDUSTRIALES, S.A.</t>
  </si>
  <si>
    <t>HUMITAT-STOP, S.L.</t>
  </si>
  <si>
    <t>BLUNIK CHRONO SYSTEM, S.L.</t>
  </si>
  <si>
    <t>STRELIAELECTROTECNIAS.COOP.GALEGA</t>
  </si>
  <si>
    <t>CENTREDESALUTBERGUEDA</t>
  </si>
  <si>
    <t xml:space="preserve"> AUDIOBUS, S.L.</t>
  </si>
  <si>
    <t>COMPONENTES ARES, S.L.</t>
  </si>
  <si>
    <t>JESUS MANUEL CONEJO SARABIA</t>
  </si>
  <si>
    <t>SETTING COST, S.L.</t>
  </si>
  <si>
    <t>CORPORACIÓN ALIMENTARIA GUISSONA, S.A.</t>
  </si>
  <si>
    <t>EDI ELECTRONICA SOCIETAT LIMITADA</t>
  </si>
  <si>
    <t xml:space="preserve"> JUAN ROS FLORENZA</t>
  </si>
  <si>
    <t>NOVATION IT SYSTEMS, S.L.</t>
  </si>
  <si>
    <t xml:space="preserve"> MONTAJES MEDYP,SL</t>
  </si>
  <si>
    <t>ACM LiGHTING TECHNOLOGY S.L.</t>
  </si>
  <si>
    <t>DAVOS LAB, S.L.</t>
  </si>
  <si>
    <t>SELBA SOLUTIONS, S.L.U.</t>
  </si>
  <si>
    <t>LACROIX CITY MADRID, S.A.U.</t>
  </si>
  <si>
    <t>JOSE MANUEL RUEDA MARTÍN</t>
  </si>
  <si>
    <t>Circuitos Impresos Paredes, S.L.</t>
  </si>
  <si>
    <t>IronTech Solutions, S.L.</t>
  </si>
  <si>
    <t>NOVATION SECURITY SYSTEMS, S.L.</t>
  </si>
  <si>
    <t>CLAITEC</t>
  </si>
  <si>
    <t>SISTEMAS DE DOSIFICACIÓN Y MEDICION, DOS</t>
  </si>
  <si>
    <t>INNOWATER, S.L.</t>
  </si>
  <si>
    <t>METROHM DROPSENS,S.L.</t>
  </si>
  <si>
    <t>MONTAGEN &amp; KABELTECHNIK, S.L.</t>
  </si>
  <si>
    <t>ACE BUSINESS GROUP INTERNATIONAL, S.A.</t>
  </si>
  <si>
    <t>UNION TECNÓLOGICA NOXIUM, S.L.</t>
  </si>
  <si>
    <t>ANGLES TEXTIL, S.A.</t>
  </si>
  <si>
    <t>GENERAL ELEVADORES XXI, S.L.</t>
  </si>
  <si>
    <t>JOSE LUIS BRAVO JIMÉNEZ</t>
  </si>
  <si>
    <t>TELEDYNE INNOVACIONES MICROLECTRÓNICAS,</t>
  </si>
  <si>
    <t>JOAO R.MATOS, S.A.</t>
  </si>
  <si>
    <t>FASECOL,S.A.S</t>
  </si>
  <si>
    <t>Zollner Electronic Taicang Co., Ltd.</t>
  </si>
  <si>
    <t>CONECTORIZACIONES DE FIBRA OPTICA, S.A.</t>
  </si>
  <si>
    <t>DUPLEX ELEVACION, S.L.</t>
  </si>
  <si>
    <t>CAPENERGY MEDICAL, S.L.</t>
  </si>
  <si>
    <t>SONIGATE, LDA</t>
  </si>
  <si>
    <t>AR ELECTRONICS SOLUTIONS SL</t>
  </si>
  <si>
    <t>CUADROS MANIOBRAS Y AUTOMATISMOS S.L.</t>
  </si>
  <si>
    <t>ESTHER GARCÍA CASTELLÁ</t>
  </si>
  <si>
    <t>UNILED ILUMINACION ,S.L.</t>
  </si>
  <si>
    <t xml:space="preserve"> AESA - ARAGONESA DE EQUIPAMIENTO, S</t>
  </si>
  <si>
    <t>EMULTRON, S.L.</t>
  </si>
  <si>
    <t>COMPAÑIA ESPAÑOLA DE INSTRUMENTOS ELECTR</t>
  </si>
  <si>
    <t>ALMISALA, S.L.</t>
  </si>
  <si>
    <t>INTERMEDIC ARFRAN S.A.</t>
  </si>
  <si>
    <t>ORBITALSISTEMASAEROESPACIALES,S.</t>
  </si>
  <si>
    <t>EGASA DISTRIBUCION. S.L.</t>
  </si>
  <si>
    <t>QUADTEL MONTAGENS ELÉCTRICAS LDA.</t>
  </si>
  <si>
    <t>SEPSA - ALBATROS North America</t>
  </si>
  <si>
    <t>WADAX, S.A.</t>
  </si>
  <si>
    <t>ATLANTIS GLOBAL SYSTEM, S.L.U.</t>
  </si>
  <si>
    <t xml:space="preserve"> Flextronics Electronics Technology(</t>
  </si>
  <si>
    <t xml:space="preserve"> INGEN10 INGENIERIA, S.L.</t>
  </si>
  <si>
    <t>FIDES ELECTRONICA, S.L.</t>
  </si>
  <si>
    <t>ZENNIO AVANCE Y TECNOLOGIA,S.L</t>
  </si>
  <si>
    <t>BOBINADOS OSES, S.L.</t>
  </si>
  <si>
    <t>RAY INGENIERIA ELECTRONICA  S.L.</t>
  </si>
  <si>
    <t>LAFCARR PROJECT &amp; DESIGN, S.L.</t>
  </si>
  <si>
    <t>XP 27, S.L.</t>
  </si>
  <si>
    <t>RICARDO ALONSO HERNANDEZ</t>
  </si>
  <si>
    <t>AEC, S.A.</t>
  </si>
  <si>
    <t xml:space="preserve"> COMERCIAL COCAMATIC, S.A.</t>
  </si>
  <si>
    <t>NITAX, S.A.</t>
  </si>
  <si>
    <t>DETNOV SECURITY, S.L.</t>
  </si>
  <si>
    <t>CAME PARKARE GROUP, S.L.</t>
  </si>
  <si>
    <t>CONNECTA, S.L.</t>
  </si>
  <si>
    <t>MONTAJES ELECTRONICOS ALCAVI,S.L.</t>
  </si>
  <si>
    <t>EQUINSA PARKING, S.L.</t>
  </si>
  <si>
    <t>TCX MICRO, S.L.</t>
  </si>
  <si>
    <t>ELECTRONICA MOLGAR,S.A.</t>
  </si>
  <si>
    <t>AMMI TECHNOLOGIES, S.L.</t>
  </si>
  <si>
    <t>EMAYOR SYNERSIGHT TECHNOLOGIES, S.L.U.</t>
  </si>
  <si>
    <t>VICTOR GARCIA JIMENEZ</t>
  </si>
  <si>
    <t>DAVID ALOY LLEONART</t>
  </si>
  <si>
    <t>INGENIERIA Y SIST.DE ENSAYOS NO DESTRUCT</t>
  </si>
  <si>
    <t>TRACCION Y MINERIA,S.A.</t>
  </si>
  <si>
    <t>CLOMATE,S.L.</t>
  </si>
  <si>
    <t>OMAC Sales Ltd.</t>
  </si>
  <si>
    <t>PROJECT QUALITY CONTROL, S.L.</t>
  </si>
  <si>
    <t>CERC INGENIERIA,S.L.</t>
  </si>
  <si>
    <t>SOB Schurter OKW DO BRASIL LTDA</t>
  </si>
  <si>
    <t>JVV GRUP, MONTAJE Y DESARROLLO</t>
  </si>
  <si>
    <t>XILEK, S.L.L.</t>
  </si>
  <si>
    <t>EPICOM,S.A.</t>
  </si>
  <si>
    <t>MONTAJES Y CABLEADOS CASTILLA, S.L.</t>
  </si>
  <si>
    <t>INGENIERIA Y CONSULTORIA PARA EL</t>
  </si>
  <si>
    <t>INSYTE POWER SYSTEMS, S.A.</t>
  </si>
  <si>
    <t>TECNOLOGIA Y TRADUCCION, S.L.</t>
  </si>
  <si>
    <t>MEGACAL INSTRUMENTS IBERICA,SL</t>
  </si>
  <si>
    <t>SATEL SPAIN, S.L.</t>
  </si>
  <si>
    <t xml:space="preserve"> LUMENARA SIC, S.L.</t>
  </si>
  <si>
    <t>ALWAYS ON ELECTRONICA APLICADA, S.L.</t>
  </si>
  <si>
    <t>ALBALA INGENIEROS, S.A.L.</t>
  </si>
  <si>
    <t>AUTOMATISMOS ALPE, S.L.</t>
  </si>
  <si>
    <t>AUTEL SISTEMS, S.L.</t>
  </si>
  <si>
    <t>PROCESS INTEGRAL DEVELOPMENT</t>
  </si>
  <si>
    <t>SAC MAKER, S.A.U.</t>
  </si>
  <si>
    <t>TECNOLOGIASERVICIOSYSOLUCIONEST</t>
  </si>
  <si>
    <t>APLICACIONES Y MONTAJES DE</t>
  </si>
  <si>
    <t>ISDE</t>
  </si>
  <si>
    <t>EMPLEADOS</t>
  </si>
  <si>
    <t>FRANCISCO MANGAS ZARDAIN</t>
  </si>
  <si>
    <t>CIAL.ELECTR.TRES CANTOS S.A.</t>
  </si>
  <si>
    <t>CABLEADOS INDUSTRIALES MADRILEÑOS,S.L.</t>
  </si>
  <si>
    <t>CABLEADOS Y CONEXIONES, S.L.</t>
  </si>
  <si>
    <t>BEN-RI ELECTRONICA, S.A.</t>
  </si>
  <si>
    <t>EQUIPOS INDUSTRIALES DE MANUTENCION S.A.</t>
  </si>
  <si>
    <t>SAPEC, S.A.</t>
  </si>
  <si>
    <t>COMERCIAL ELECTRO INDUSTRIAL S.A.</t>
  </si>
  <si>
    <t>EGALSA, S.A.</t>
  </si>
  <si>
    <t>GAMBOA FIRMWARE, S.L.</t>
  </si>
  <si>
    <t>ELAX,S.L.</t>
  </si>
  <si>
    <t>RCM SUMINISTROS ELECTRICOS, S.L.</t>
  </si>
  <si>
    <t>SCP, S.A.</t>
  </si>
  <si>
    <t>MICROTEST, S.A.</t>
  </si>
  <si>
    <t>MADRITONIC, S.L.</t>
  </si>
  <si>
    <t>SISTEMAS Y MONTAJES INDUSTRIALES, S.A.</t>
  </si>
  <si>
    <t>ALGORITMOS PROCESOS Y DISEÑOS, S.A.</t>
  </si>
  <si>
    <t>SISTENA, S.A.</t>
  </si>
  <si>
    <t>ALSSON INGENIERIA, S.L.</t>
  </si>
  <si>
    <t>EXPAL SYSTEMS, S.A.</t>
  </si>
  <si>
    <t>SA DE CONSTRUCCIONES INDUSTRIALES</t>
  </si>
  <si>
    <t>SEAC</t>
  </si>
  <si>
    <t>ADASOL ELECTRONICA,S.L.</t>
  </si>
  <si>
    <t>INVELCO, S.A.</t>
  </si>
  <si>
    <t xml:space="preserve"> COELSA ELECTRONICA, S.A.</t>
  </si>
  <si>
    <t>LUJISA, S.A.</t>
  </si>
  <si>
    <t>COMERCIAL VDR, S.L.</t>
  </si>
  <si>
    <t>COMP.ELECTR.POSAN, S.L.</t>
  </si>
  <si>
    <t>MCN ELEA SOLUCIONES, S.L.</t>
  </si>
  <si>
    <t>DISEÑO E INGENIERIA DE PROYECTOS ELECTR.</t>
  </si>
  <si>
    <t>ENAIRE</t>
  </si>
  <si>
    <t>TECNOLOGIA GPS,S.A.</t>
  </si>
  <si>
    <t>ETRALUX, S.A.</t>
  </si>
  <si>
    <t>ALMACENES ELECTR.MADRILEÑOS,SA</t>
  </si>
  <si>
    <t>DATAPROF ESPAÑA, S.A.</t>
  </si>
  <si>
    <t>DISELEC ELECTRONICA,S.L.</t>
  </si>
  <si>
    <t>SUMINISTROS ANTONIO LUNA E HIJOS, S.L.</t>
  </si>
  <si>
    <t>GMV INNOVATING SOLUTIONS, S.L.</t>
  </si>
  <si>
    <t>SUMINISTROS, FRESADOS Y GRABADOS, S.L.</t>
  </si>
  <si>
    <t>SEDECAL MOLECULAR IMAGING, S.L.U.</t>
  </si>
  <si>
    <t>MONTECIR, S.A.</t>
  </si>
  <si>
    <t>TOFICONI, S.L.</t>
  </si>
  <si>
    <t>SUMINISTROS INDUSTRIALES AEROPOLIS S.L.</t>
  </si>
  <si>
    <t>TIERRA TECH, S.L.</t>
  </si>
  <si>
    <t>SIRTRONIC 2000, S.L.</t>
  </si>
  <si>
    <t>ELECTRONIC TRAFIC, S.A.</t>
  </si>
  <si>
    <t>ENESO TECNOLOGÍA DE ADAPTACIÓN S.L.</t>
  </si>
  <si>
    <t>FULLSTEPNETWORKS,S.A.</t>
  </si>
  <si>
    <t>ELECTRÓNICA EUTIMIO, SL</t>
  </si>
  <si>
    <t>ELECNAVAR, S.L.</t>
  </si>
  <si>
    <t>CORPORACION EMPRESARIAL ALTRA, S.L.</t>
  </si>
  <si>
    <t>CARTTEC</t>
  </si>
  <si>
    <t>LUCMA METALISTERÍA SL</t>
  </si>
  <si>
    <t>BILANAGRICOLA S.L</t>
  </si>
  <si>
    <t>DESARROLLO E INTEGRACION DE SISTEMAS DE</t>
  </si>
  <si>
    <t>EVER SMART TECHNOLOGIES, S.L.</t>
  </si>
  <si>
    <t>TÉCNICAS DE FIJACIÓN MECÁNICA, S.A.</t>
  </si>
  <si>
    <t>BY TECHDESING,S.L.</t>
  </si>
  <si>
    <t>G.T.G. INGENIEROS, S.L.</t>
  </si>
  <si>
    <t>ON DEMAND FACILITIES, S.L. ODF ENERGIA</t>
  </si>
  <si>
    <t>JOSALPE SL</t>
  </si>
  <si>
    <t>S.A.E. IBERTEST, S.A.</t>
  </si>
  <si>
    <t>ELECON MONTAJES ELECTRÓNICOS, S.L.</t>
  </si>
  <si>
    <t>SURINFO CADIZ S.L.</t>
  </si>
  <si>
    <t>CONEXIONES Y MONTAJES, S.L.</t>
  </si>
  <si>
    <t>IVAN DIAZ PEREZ</t>
  </si>
  <si>
    <t xml:space="preserve"> AWEN ENGINEERING SERVICES, S.L.</t>
  </si>
  <si>
    <t>BOMBEATEC SL</t>
  </si>
  <si>
    <t>EASYCOM SISTEMI SRL</t>
  </si>
  <si>
    <t>SPARKS, CIRCUITS AND ROBOTICS, S.L.</t>
  </si>
  <si>
    <t>NEVATEC INNOVATION TECHNOLOGIES, S.L.</t>
  </si>
  <si>
    <t>NOEL BOUZO DOMINGUEZ</t>
  </si>
  <si>
    <t>DR REPRESENTACIONES, S.L.</t>
  </si>
  <si>
    <t>STAR ELECTRONICA, S.L.</t>
  </si>
  <si>
    <t>NEXTFOR, S.A.</t>
  </si>
  <si>
    <t>TTI NORTE SL.</t>
  </si>
  <si>
    <t>ELSON ELECTRONICA, S.A.</t>
  </si>
  <si>
    <t>IND.DE APLICACION DE PINTURAS,S.A.</t>
  </si>
  <si>
    <t>ANTONIO ARNAIZ LAGO</t>
  </si>
  <si>
    <t>ASON ELECTRONICA AERONAUTICA, S.A.</t>
  </si>
  <si>
    <t>SERIGRAFIAS ALSAN, S.L.</t>
  </si>
  <si>
    <t>UARX SPACE, SL</t>
  </si>
  <si>
    <t>INSTITUTRADIOASTRONOMIEMILLIMETR</t>
  </si>
  <si>
    <t>INTEGRATED ELECTRONICS DEVELOPMENT SLU</t>
  </si>
  <si>
    <t>FRANCISCO LORIENTE BELTRAN</t>
  </si>
  <si>
    <t>INGENIERIA INFORMATICA Y</t>
  </si>
  <si>
    <t>SOVEMATIC, S.L.</t>
  </si>
  <si>
    <t>INSTALACIONES Y ARTÍCULOS PARA EL TIRO,</t>
  </si>
  <si>
    <t>DISCOEL, S.L.</t>
  </si>
  <si>
    <t>TECYGES, S.L.</t>
  </si>
  <si>
    <t>GRAN TELESCOPIO DE CANARIAS, S.A.</t>
  </si>
  <si>
    <t>CENTRO DE ENSAYOS Y ANALISIS CETEST, S.L</t>
  </si>
  <si>
    <t>CONECTROL, S.A.</t>
  </si>
  <si>
    <t>ELECTRONIC SUMINISTROS ELÉCTRICOS S.L.</t>
  </si>
  <si>
    <t>ELECTRONICA Y COMUNICACIONES DEL NOROEST</t>
  </si>
  <si>
    <t>NOVELEC MADRID INDUSTRIA Y TECNOLOGIA, S</t>
  </si>
  <si>
    <t>METÁLICAS LÓPEZ RENDO S.L.</t>
  </si>
  <si>
    <t>RADE TECNOLOGIAS, S.L.</t>
  </si>
  <si>
    <t>FAVRAM, S.L.</t>
  </si>
  <si>
    <t>AGPM COMPUTERS TRES CANTOS, S.L.</t>
  </si>
  <si>
    <t>INDUSTRIA DE TURBO PROPULSORES S.A.</t>
  </si>
  <si>
    <t>SISMO SOLUCIONES, S.L.</t>
  </si>
  <si>
    <t>TROVAN IBÉRICA, S.L.</t>
  </si>
  <si>
    <t>ELEKOTECNOLOGIA E INNOVACION,S.L.</t>
  </si>
  <si>
    <t>C.ESPECIAL EMPLEO APTA, S.L.</t>
  </si>
  <si>
    <t>PENTAMATIK SCP</t>
  </si>
  <si>
    <t>RECREATIVOS FRANCO, S.A.U.</t>
  </si>
  <si>
    <t>CONTELEC ALCALA, S.L.</t>
  </si>
  <si>
    <t>GEDLUX SISTEMAS DE CONTROL, S.L.</t>
  </si>
  <si>
    <t>MECANIZADOS IMATEC, S.L.</t>
  </si>
  <si>
    <t>AGROCONECTA S.L.</t>
  </si>
  <si>
    <t>SONEPAR IBERICA SPAIN, S.A.U</t>
  </si>
  <si>
    <t>SKIDATA IBERICA, S.A.</t>
  </si>
  <si>
    <t>FUNDACION IDONIAL</t>
  </si>
  <si>
    <t xml:space="preserve"> JUAN GONZALEZ TUREGANO</t>
  </si>
  <si>
    <t>BEPE POPU</t>
  </si>
  <si>
    <t>SONIEM, S.L.</t>
  </si>
  <si>
    <t>VAZQUEZ Y TORRES INGENIERIA SL</t>
  </si>
  <si>
    <t>SYSTEMILEC WEALTH, S.L.U</t>
  </si>
  <si>
    <t>EKIDE S.L</t>
  </si>
  <si>
    <t>JOSE MANUEL LOPEZ GIL</t>
  </si>
  <si>
    <t>DESARROLLOS METÁLICOS MAGAAL</t>
  </si>
  <si>
    <t>ELDISA, S.L.</t>
  </si>
  <si>
    <t>TECNICAS DE SOFT, S.A.</t>
  </si>
  <si>
    <t>RIOMANZANAS S.L.</t>
  </si>
  <si>
    <t>ANTA NORTE, S.L.</t>
  </si>
  <si>
    <t>ELGAMA DE MECANIZADOS, S.A.U.</t>
  </si>
  <si>
    <t>SARVER, S.L.</t>
  </si>
  <si>
    <t>MASDEDIAGRAM, S.L.</t>
  </si>
  <si>
    <t>MARIA DOLORES BOHORQUEZ VEGA  (TECNOWELL</t>
  </si>
  <si>
    <t>CAF SIGNALLING, S.L.</t>
  </si>
  <si>
    <t>A.S.P.ELECTRONIC INSTRUMENTACION, S.L.</t>
  </si>
  <si>
    <t>TELECONTRON, S.L.</t>
  </si>
  <si>
    <t>ELEC.INTEGRAL DE SONIDO, S.A.</t>
  </si>
  <si>
    <t>INSTITUTO DE ASTROFISICA DE CANARIAS</t>
  </si>
  <si>
    <t>SYSPRO AUTOMATION S.L.U.</t>
  </si>
  <si>
    <t>FACTRON, S.A.</t>
  </si>
  <si>
    <t>INSTER TECNOLOGIA Y COMUNICACIONES, S.A.</t>
  </si>
  <si>
    <t>ARATECK ELECTRONICS</t>
  </si>
  <si>
    <t>AF ELECTRONICA,S.L.</t>
  </si>
  <si>
    <t>DISEÑOS ELECTRÓNICOS E INFORMATICOS</t>
  </si>
  <si>
    <t>MUNIELLO ELECTRICIDAD S.A.</t>
  </si>
  <si>
    <t>INICIA TECNOLOGIA, S.L.U.</t>
  </si>
  <si>
    <t>ADARCE GESTIÓN DE ACTIVOS Y CONSULT. S.L</t>
  </si>
  <si>
    <t>INICIATIVAS ENERGETICAS DEL SUR SL</t>
  </si>
  <si>
    <t>MULTI-INFORMATICA PRINCIPADO,S.L.</t>
  </si>
  <si>
    <t>PROYECTOS INTEGRALES DE BALIZAMIENTO SL</t>
  </si>
  <si>
    <t>NORPOO,S.L.</t>
  </si>
  <si>
    <t>GREENFRIO SISTEMAS DE REFRIGERACION, S.L</t>
  </si>
  <si>
    <t>MHP SERVICIOS DE CONTROL, S.L.</t>
  </si>
  <si>
    <t>MEDLUMICS</t>
  </si>
  <si>
    <t>SINATEC ELECTRONICS, S.L.</t>
  </si>
  <si>
    <t>TECNOLOGIAS PARA SANEAMIENTO SL</t>
  </si>
  <si>
    <t>DAVI INGENIERIA Y PROYECTOS, S.L.</t>
  </si>
  <si>
    <t>TECNOLOGÍA Y SOLUCIONES DE INSTRU. S.L.</t>
  </si>
  <si>
    <t>GRUPO QUERO JC-ELECTRONICS SPAIN, S.L.</t>
  </si>
  <si>
    <t>QPLOX ENGINEERING</t>
  </si>
  <si>
    <t>VIRTUS INSTALACIONES, S.L.U.</t>
  </si>
  <si>
    <t>APUS GLOBAL, S.L.</t>
  </si>
  <si>
    <t>SINSES TECHNOLOGY S.L</t>
  </si>
  <si>
    <t>BPI Batteries, S.L.</t>
  </si>
  <si>
    <t>GRP ILUMINACION, S.A.</t>
  </si>
  <si>
    <t>ADVANCED RADAR TECHNOLOGIES, S.A.</t>
  </si>
  <si>
    <t>COMPONENTES Y ALMACÉN ELECTRÓNICO S.L.</t>
  </si>
  <si>
    <t>APLICACIONES ELECTRONICAS Y DE</t>
  </si>
  <si>
    <t>DIRECCIÓN GENERAL DEL INST.GEOGRÁFICO NA</t>
  </si>
  <si>
    <t>XIP SOLUCIONS, S.L.U.</t>
  </si>
  <si>
    <t>GRUPO ELECTRO STOCKS, S.L.U.</t>
  </si>
  <si>
    <t>ENGLOBE TECHNOLOGIES &amp;SYSTEMS S.L.</t>
  </si>
  <si>
    <t>MADRID AVANCED TESTING TECHNOLOGIES S.L.</t>
  </si>
  <si>
    <t>MIGUEL ALBERTO PÉREZ PÉREZ</t>
  </si>
  <si>
    <t>CONSEJO SUPERIOR DE INVESTIGACIONES CIEN</t>
  </si>
  <si>
    <t>ELIOS TEC, S.L.</t>
  </si>
  <si>
    <t>CORESYS HEALTH, S.L.</t>
  </si>
  <si>
    <t>ENCORE REAL TIME ESPAÑA, S.A.</t>
  </si>
  <si>
    <t>CONATEC, S.A.L.</t>
  </si>
  <si>
    <t>ATISOLUCIONES DISEÑO DE SISTEMAS S.L.</t>
  </si>
  <si>
    <t>SERCOBA BATERIAS, S.L.</t>
  </si>
  <si>
    <t>CANARIAS TABACO VENDING,S.L.</t>
  </si>
  <si>
    <t>ROSETTA TECHNOLOGY SOLUTIONS, S.L.</t>
  </si>
  <si>
    <t>ANTENNA SYSTEMS SOLUTIONS, S.L. (ASYSOL)</t>
  </si>
  <si>
    <t>DINAMI-K INGENIERIA, S.L.</t>
  </si>
  <si>
    <t>TEYDE 2010 S.L.U.</t>
  </si>
  <si>
    <t>GITEC-CONTROL, S.L.</t>
  </si>
  <si>
    <t>CUSTOS MOBILE, S.L.</t>
  </si>
  <si>
    <t>SISTEMAS DE IDENTIFICACION Y MECANISMOS,</t>
  </si>
  <si>
    <t>EUROSEQUITUR, S.L.</t>
  </si>
  <si>
    <t>RECTICUR, S.L.</t>
  </si>
  <si>
    <t>JUMO CONTROL, S.A</t>
  </si>
  <si>
    <t>EGATEL, S.L.</t>
  </si>
  <si>
    <t>SISTIAGA LASA VENDING GROUP,S.L.</t>
  </si>
  <si>
    <t>INGENIERIA DE CONTROL Y ELECTRICIDAD, S.</t>
  </si>
  <si>
    <t>SISTEMAS AUDIOVISUALES ITELSIS SL</t>
  </si>
  <si>
    <t>RGB MEDICAL DEVICES, S.A.</t>
  </si>
  <si>
    <t>BILBAO ELECTRONICA, S.A.</t>
  </si>
  <si>
    <t>MONOCROM, S.L.</t>
  </si>
  <si>
    <t>VERTIV SPAIN, S.A.</t>
  </si>
  <si>
    <t>ZONYX TECH S.L.U</t>
  </si>
  <si>
    <t>VENTIJET HEALTH TECHNOLOGY, S.L.</t>
  </si>
  <si>
    <t>AZKOGAMES, S.L.</t>
  </si>
  <si>
    <t>POWER2U-ENERGY S.L</t>
  </si>
  <si>
    <t>OBSERVATORIO DE ESTUDIOS GLOBALES</t>
  </si>
  <si>
    <t>GONVARRI SOLAR STEEL, S.L.U.</t>
  </si>
  <si>
    <t>SETA PH TECHNOLOGY, S.L.</t>
  </si>
  <si>
    <t>TAMEPA, S.A.</t>
  </si>
  <si>
    <t>JOAQUÍN MARTÍNEZ, S.L.</t>
  </si>
  <si>
    <t>DELTA DISCOM, S.L.</t>
  </si>
  <si>
    <t>OSATU, S.COOP.</t>
  </si>
  <si>
    <t>INTIMUS CASH AND PAYMENT SOLUTIONS,S.L.U</t>
  </si>
  <si>
    <t>ICON INGENIEROS, S.L.</t>
  </si>
  <si>
    <t>NORTRAFIC. S.L.</t>
  </si>
  <si>
    <t>EASYPOINT-ENGINEERING AND INNOVATION, LD</t>
  </si>
  <si>
    <t>FUND.PARA LA PROMOC.DE LA INNOVACION,INV</t>
  </si>
  <si>
    <t>ROHDE &amp; SCHWARZ Colombia, S.A.S.</t>
  </si>
  <si>
    <t>MARCAJES GALAN, S.L</t>
  </si>
  <si>
    <t>GENERATION RFID, S.L.</t>
  </si>
  <si>
    <t>AERONAUTICA,INGENIERIA,E.RENOVABLES</t>
  </si>
  <si>
    <t>MICELECT, S.L.</t>
  </si>
  <si>
    <t>PROMAEL SUMINISTROS ELÉCTRICOS S.L.</t>
  </si>
  <si>
    <t>MEJORAS ENERGETICAS DE</t>
  </si>
  <si>
    <t>PROTELECT TRANSFORMADOS SAL</t>
  </si>
  <si>
    <t>ELECTRONICA EMBAJADORES, S.L.</t>
  </si>
  <si>
    <t>SERVINTEG ELECTRONICA, S.L.</t>
  </si>
  <si>
    <t>NARRANZ SOLUCIONES, S.L.</t>
  </si>
  <si>
    <t>EUREKA SOLUCIONES S.L.</t>
  </si>
  <si>
    <t>EMA ESTETICA PROFESIONAL, S.L.</t>
  </si>
  <si>
    <t>MASTRAFO, S.L.</t>
  </si>
  <si>
    <t>SAINSEL SISTEMAS NAVALES,S.A.U, S.M</t>
  </si>
  <si>
    <t>COMERCIAL SINSES AUTO, S.L.</t>
  </si>
  <si>
    <t>X.B. COMPONENTES, S.A.</t>
  </si>
  <si>
    <t>EMS SLU</t>
  </si>
  <si>
    <t xml:space="preserve">ASTURIANA DE DESARROLLOS INFORMÁTICOS Y </t>
  </si>
  <si>
    <t>IDEIAS CONTÍGUAS LDA</t>
  </si>
  <si>
    <t>WAVECONTROL, S.L</t>
  </si>
  <si>
    <t>VIGOTEC, S.L.</t>
  </si>
  <si>
    <t>MATRIZ ACTIVA-SOLUÇOES MULTIMEDIA, LDA.</t>
  </si>
  <si>
    <t>R-COL DIGITAL DEVELOPMENT, S.L.</t>
  </si>
  <si>
    <t>GLACERA, S.L.</t>
  </si>
  <si>
    <t>ICFO-INSTITU DE CIÉNCIES FOTÓNIQUES</t>
  </si>
  <si>
    <t>IRVIA MANTENIMIENTO FERROVIARIO, S.A.</t>
  </si>
  <si>
    <t>PROTOINSA SERVICIOS INTEGRALES, S.A.</t>
  </si>
  <si>
    <t>AGUILERA EXTINCION, S.L.</t>
  </si>
  <si>
    <t>PATENTES TALGO, S.L.U.</t>
  </si>
  <si>
    <t>EURO SMC, S.A.</t>
  </si>
  <si>
    <t>CONEXIONADOS Y MONTAJES</t>
  </si>
  <si>
    <t>ELECTRONICA LOSDEL, S.L.</t>
  </si>
  <si>
    <t>ARCO ELECTRONICA, S.A.</t>
  </si>
  <si>
    <t>MONDESGAR, S.L.</t>
  </si>
  <si>
    <t>COMPUTADORES MODULARES, S.A.</t>
  </si>
  <si>
    <t>AIRTIFICIAL AEROSPACE &amp; DEFENSE ENGINEER</t>
  </si>
  <si>
    <t>ISEMAREN E&amp;GR S.L.U</t>
  </si>
  <si>
    <t xml:space="preserve">OMMATIDA LIDAR SL </t>
  </si>
  <si>
    <t>SABO MADRID MACHINERY, SRL</t>
  </si>
  <si>
    <t>FUNDACION CENTRO DE TECNOLOGIA DE I</t>
  </si>
  <si>
    <t>AMPACIMON, S.L.U.</t>
  </si>
  <si>
    <t>TECHNICA ELECTRONICS BARCELONA,SL</t>
  </si>
  <si>
    <t>CRISTAL AQUA, DESINFECCION Y</t>
  </si>
  <si>
    <t>SEPSAMEDHA, S.L.U.</t>
  </si>
  <si>
    <t>ARAGON PHOTONICS LABS S.L.U.</t>
  </si>
  <si>
    <t>DOSIFICACION Y SISTEMAS ELECTRONICOS,S.L</t>
  </si>
  <si>
    <t>TECAI INNOVA, S.L.</t>
  </si>
  <si>
    <t>BORGWARNER EMISSIONS SYSTEMS SPAIN, S.L.</t>
  </si>
  <si>
    <t>JOVITRONICA, LDA</t>
  </si>
  <si>
    <t>COGES S.A.P</t>
  </si>
  <si>
    <t>CABLEADOS CECOIN, S.L.</t>
  </si>
  <si>
    <t>FITTINGS, S.R.L</t>
  </si>
  <si>
    <t>TK ELEVADORES ESPAÑA, S.L.U.</t>
  </si>
  <si>
    <t>SOLUCIONES Y SERVICIOS, S.L.</t>
  </si>
  <si>
    <t>MONTERO MORON, S.L.U.</t>
  </si>
  <si>
    <t>INDECHAPA, S.A.</t>
  </si>
  <si>
    <t>INTERNET PROTOCOLO LOGICA, S.L.</t>
  </si>
  <si>
    <t>OPTOMIC ESPANA.S.A.</t>
  </si>
  <si>
    <t>COMPAÑIA DE INSTRUMENTACION Y CONTROL, S</t>
  </si>
  <si>
    <t>TRIOP ELECTRONICA, S.L.</t>
  </si>
  <si>
    <t>SISTEMAS MECANICOS PARA</t>
  </si>
  <si>
    <t>ORTRAT, S.L.</t>
  </si>
  <si>
    <t>ALSTOM MOVILIDAD, S.L.</t>
  </si>
  <si>
    <t>MARINE INSTRUMENTS, S.A.</t>
  </si>
  <si>
    <t>ONA ELECTROEROSION, S.A.</t>
  </si>
  <si>
    <t>SEA AND AIR TECHNOLOGY, S.L.</t>
  </si>
  <si>
    <t>ON TESTING, SL</t>
  </si>
  <si>
    <t>AIRPES SIST.INT.MAN.Y PESAJE</t>
  </si>
  <si>
    <t>TEKNIATEST SOLUTIONS, S.A.</t>
  </si>
  <si>
    <t>SACOPA, S.A.U.</t>
  </si>
  <si>
    <t>INPRO RESEARCH AND DEVELOPMENT, S.L.</t>
  </si>
  <si>
    <t>NAMROL MEDICAL, S.L.</t>
  </si>
  <si>
    <t>DASEL, S.L.</t>
  </si>
  <si>
    <t>CENTRO DE LÁSERES PULSADOS</t>
  </si>
  <si>
    <t>PLASTECH</t>
  </si>
  <si>
    <t>ANPASA SOLUCIONES TECNOLOG.  Y ELEC. SLU</t>
  </si>
  <si>
    <t>PIERBURG, S.A.</t>
  </si>
  <si>
    <t>ELECTRIFICACIONES LUMEN, S.A.</t>
  </si>
  <si>
    <t>HIDRAL S.A.</t>
  </si>
  <si>
    <t>PROMAX TEST &amp; MEASUREMENT, S.L.U.</t>
  </si>
  <si>
    <t>ICOMPPLUS ELECTRONICS,S.L.</t>
  </si>
  <si>
    <t>MECANIZADOS FELPER, S.L.</t>
  </si>
  <si>
    <t>NEED TECHNOLOGY, S.L.</t>
  </si>
  <si>
    <t>SANUBA MEDICAL TECHNOLOGIES, S.L.</t>
  </si>
  <si>
    <t>IMPETUX OPTICS, S.L.</t>
  </si>
  <si>
    <t>REVENGA INGENIEROS, S.A.</t>
  </si>
  <si>
    <t>GMV SOLUCIONES GLOBALES INTERNET S.A.</t>
  </si>
  <si>
    <t>CENTRO INVESTIGACION ENERGETICO MEDIO AM</t>
  </si>
  <si>
    <t>NEXCON TELECOMUNICACIONES, S.L</t>
  </si>
  <si>
    <t>IC NEURONIC S.L.</t>
  </si>
  <si>
    <t>TECNICA 6000, S.L.</t>
  </si>
  <si>
    <t>ADVANCED TELECOMUNICATIONS LAMBDA,S.A.</t>
  </si>
  <si>
    <t>TELLINK SISTEMAS DE COMUNICACION, S.L.</t>
  </si>
  <si>
    <t>ZIV APLICACIONES Y TECNOLOGIA, S.L.</t>
  </si>
  <si>
    <t>ELECTRONICA MERCHAN,S.L.</t>
  </si>
  <si>
    <t>JADEPARK SISTEMAS, S.L.</t>
  </si>
  <si>
    <t>INDRA ESPACIO, S.L.U.</t>
  </si>
  <si>
    <t>GRI TOWERS SEVILLA, S.L.</t>
  </si>
  <si>
    <t>EASY DETECT, S.L.</t>
  </si>
  <si>
    <t>EQUIPOS EUROPEOS ELECTRONICOS, S.A.</t>
  </si>
  <si>
    <t>TRANSPORTES URBANOS DE SEVILLA SA M (TUS</t>
  </si>
  <si>
    <t>INSTITUTO TECNOLOGICO DE CANARIAS</t>
  </si>
  <si>
    <t>HISPANICA DEL LED, S.L.</t>
  </si>
  <si>
    <t>CIRCUITOS IMPRESOS, S.A.</t>
  </si>
  <si>
    <t>ALBENTIA SYSTEMS, S.A.</t>
  </si>
  <si>
    <t>MERYTRONIC 2012, S.L.</t>
  </si>
  <si>
    <t>V2V FACTORY, S.L.</t>
  </si>
  <si>
    <t>ELEKTRA, S.A.</t>
  </si>
  <si>
    <t>NOU ELECTRONIC COMPONENTS BARNA , S.L.</t>
  </si>
  <si>
    <t>RAVENTOS Y BERNARD COMPONENTS, S.L.</t>
  </si>
  <si>
    <t>IKB DESARROLLOS INDUSTRIALES, S.L.</t>
  </si>
  <si>
    <t>ISIS INGENIERIA Y SISTEMAS, S.L.</t>
  </si>
  <si>
    <t>EGARATELEK, S.L.</t>
  </si>
  <si>
    <t>HERSILL, S.L.</t>
  </si>
  <si>
    <t>PROTOTIPOS INDUSTRIALES, S.A.</t>
  </si>
  <si>
    <t>PROYECTOS ELECTRONICOS DIAZ, S.A.</t>
  </si>
  <si>
    <t>ROBERT BOSCH ESPAÑA</t>
  </si>
  <si>
    <t>METRO DE MADRID, S.A.</t>
  </si>
  <si>
    <t>TELDAT, S.A.</t>
  </si>
  <si>
    <t>DISTRONICA, S.A.</t>
  </si>
  <si>
    <t>COMERCIAL ELECTRONICA LEGANES,S.L.</t>
  </si>
  <si>
    <t>INTEGRACION INDUSTRIAL ELEKTRONIKA, S.L.</t>
  </si>
  <si>
    <t>SERVOSIS</t>
  </si>
  <si>
    <t>INDIBA, S.A.</t>
  </si>
  <si>
    <t>ELECTRONICA J.GRANADO, S.L.</t>
  </si>
  <si>
    <t>SISTEMAS INTEGRADOS DE SERVICIOS TELECON</t>
  </si>
  <si>
    <t>JEMA ENERGY, S.A.</t>
  </si>
  <si>
    <t>EGI, S.A.</t>
  </si>
  <si>
    <t>EASYCONTROL, S.L.</t>
  </si>
  <si>
    <t>FUNDACIÓN ANDALUZA PARA EL DESARROLLO</t>
  </si>
  <si>
    <t>INNOVA POS , S.L.</t>
  </si>
  <si>
    <t>ERREKA SMART FASTENING</t>
  </si>
  <si>
    <t>ARANCALO, S.L.</t>
  </si>
  <si>
    <t>ARVIMARINE CONTROL SYSTEMS, S.L.</t>
  </si>
  <si>
    <t>SUPSONIK, S.L.</t>
  </si>
  <si>
    <t>KAB CONNECT UNIPESSOAL, Lda.</t>
  </si>
  <si>
    <t>SUFEIN, S.L.</t>
  </si>
  <si>
    <t>ALMACENES ELÉCTRICOS VASCONGADOS, S.A.</t>
  </si>
  <si>
    <t>DESARROLLO DE SISTEMAS DE CONTROL, S.L.</t>
  </si>
  <si>
    <t>NTL LANBASE, S.L.U.</t>
  </si>
  <si>
    <t>AL-FABRICA DE MATERIAL ELÉCTRICO, S.A.</t>
  </si>
  <si>
    <t>IBERNEX INGENIERIA, S.L.</t>
  </si>
  <si>
    <t>SOLUCIONES TÉCNICAS MTECH S.L.</t>
  </si>
  <si>
    <t>ELECTRONIC PRODUCT INTERNATIONAL REPRESE</t>
  </si>
  <si>
    <t>MARCOA, S.L.</t>
  </si>
  <si>
    <t>MECO, S.L.</t>
  </si>
  <si>
    <t>ARAGONESA DE CABLEADO</t>
  </si>
  <si>
    <t>MECANIZADOS Y TÉCNICAS DE CABLEADO J.L.L</t>
  </si>
  <si>
    <t>SIADDE SOLUCIONES, S.A.</t>
  </si>
  <si>
    <t>SOIMER TELECOMUNICACIONES, S.L.</t>
  </si>
  <si>
    <t>F. BOCOS, S.A.</t>
  </si>
  <si>
    <t>TESLA SPAIN SLU</t>
  </si>
  <si>
    <t>CABLEADOS Y MONTAJES BANYOLES, S.L.U</t>
  </si>
  <si>
    <t>SISTEMAS DE COMUNICACION Y SONIDO,S.A.L.</t>
  </si>
  <si>
    <t>CHEMIK TARAZONA, S.L.</t>
  </si>
  <si>
    <t>AUTOMATISMOS Y CONTROLES CON VERTA, S.L</t>
  </si>
  <si>
    <t>SOMELECT, S.L.</t>
  </si>
  <si>
    <t>ENA TECNOLOGIA, S.L.</t>
  </si>
  <si>
    <t>INGENIERIA Y SISTEMAS DEL CABLE, S.L.</t>
  </si>
  <si>
    <t>DIOTRONIC, S.A.</t>
  </si>
  <si>
    <t>FAYME2, S.L.</t>
  </si>
  <si>
    <t>INSTALACIONES CABLEADOS Y</t>
  </si>
  <si>
    <t>AVALON INFORMÁTICA Y SERVICIOS, S.L.U.</t>
  </si>
  <si>
    <t>ELECTRONICA MELGUI, S.L.</t>
  </si>
  <si>
    <t>PROYECTOS INSTALACIONES Y</t>
  </si>
  <si>
    <t>ELECTRONICA KELD, S.L.</t>
  </si>
  <si>
    <t>DIGIPROCES, S.A.</t>
  </si>
  <si>
    <t>HMS INDUSTRIAL NETWORKS SLU</t>
  </si>
  <si>
    <t>MANUFACTURAS ELECTRICAS Y CABLEADOS MEC,</t>
  </si>
  <si>
    <t>INVENCIONA SOLUCIONES ELECTRONICAS, S.L.</t>
  </si>
  <si>
    <t>ARRAY ELECTRONICA PROFESIONAL, S.A.</t>
  </si>
  <si>
    <t>VALDEPINTO, S.L.</t>
  </si>
  <si>
    <t>INGETEAM POWER TECHNOLOGY, S.A.</t>
  </si>
  <si>
    <t>TELEVES, S.A.U.</t>
  </si>
  <si>
    <t>FINANCIERA MADERERA, S.A.</t>
  </si>
  <si>
    <t>ARGAPER,S.L.</t>
  </si>
  <si>
    <t>GOMETRICS, S.L.</t>
  </si>
  <si>
    <t>NEXT GENERATION RAIL TECHNOLOGIES S.L.</t>
  </si>
  <si>
    <t>AERTEC SOLUTIONS, S.L.</t>
  </si>
  <si>
    <t>WALLBOX CHARGERS, S.L.</t>
  </si>
  <si>
    <t>SIEMENS HEALTHINEERS AG</t>
  </si>
  <si>
    <t>UPTECH SENSING, S.L.U.</t>
  </si>
  <si>
    <t>ENKOA SYSTEM, S.L.</t>
  </si>
  <si>
    <t>IKOR SISTEMAS ELECTRONICOS, S.L.</t>
  </si>
  <si>
    <t>2io Ingeniería Avanzada, S.L.</t>
  </si>
  <si>
    <t>GLOBAL DESIGN TECHNOLOGIES, S.L.</t>
  </si>
  <si>
    <t>SOMELSA METÁLICA Y ELECTR.,SL</t>
  </si>
  <si>
    <t>CONSUEGRA S.COOP.LTDA.</t>
  </si>
  <si>
    <t>BIODATA DEVICES, S.L.</t>
  </si>
  <si>
    <t>PRODETEL SISTEMAS DE TELECOMUNICACI</t>
  </si>
  <si>
    <t>CA INFRAESTRUCTURAS T&amp;I S.L.U</t>
  </si>
  <si>
    <t>PREFIMETAL, S.A.</t>
  </si>
  <si>
    <t>MONTRONIC VIC, S.L.</t>
  </si>
  <si>
    <t>BASQUECCAM</t>
  </si>
  <si>
    <t>MODEMSYS, S.L.</t>
  </si>
  <si>
    <t>CASTLES TECHNOLOGY SPAIN, S.L.</t>
  </si>
  <si>
    <t>LEXEL FABRIKA LTD.</t>
  </si>
  <si>
    <t>GTS THAUMAT XXI S.A.</t>
  </si>
  <si>
    <t>M2A FABRICACIONES ELECTRICAS, S.L.</t>
  </si>
  <si>
    <t>INDUSTRIAS ARIBELL, S.A.</t>
  </si>
  <si>
    <t>DURAN ELECTRONICA, S.L.</t>
  </si>
  <si>
    <t>CHINAKOR ELECTRONIC SYSTEMS(SUZHOU) Co.,</t>
  </si>
  <si>
    <t>WEMOB, S.L.L.</t>
  </si>
  <si>
    <t>INFOPYME COMUNICACIONES, S.L.</t>
  </si>
  <si>
    <t>OPTIMUS, S.A.</t>
  </si>
  <si>
    <t>EPIDOR, S.A.U.</t>
  </si>
  <si>
    <t>TRANSFORMACIONES METALICAS TESEMA, S.L.</t>
  </si>
  <si>
    <t>JOYFE, S.L.</t>
  </si>
  <si>
    <t>NAVARCABLE, S.L.</t>
  </si>
  <si>
    <t>AMPER SISTEMAS, S.A.</t>
  </si>
  <si>
    <t>RBZ ROBOT DESIGN, S.L.</t>
  </si>
  <si>
    <t>CIRCONTROL, S.A</t>
  </si>
  <si>
    <t>NOVOMATIC GAMING SPAIN, S.A.</t>
  </si>
  <si>
    <t>ELEKTRA CATALUNYA XXI, S.L.</t>
  </si>
  <si>
    <t>PROSUTEL SISTEMAS, S.L.</t>
  </si>
  <si>
    <t>EUFRET CONTROL, S.L.</t>
  </si>
  <si>
    <t>EMPRESA ESPAÑOLA ELECTRONICA S.A.</t>
  </si>
  <si>
    <t xml:space="preserve">TECNICAS DE ELECTRONICA Y </t>
  </si>
  <si>
    <t>ASOCIACIÓN DE INVESTIGACIÓN METALÚRGICA</t>
  </si>
  <si>
    <t>MONEL-SIA, S.L.</t>
  </si>
  <si>
    <t>TELKRON, S.A.</t>
  </si>
  <si>
    <t>AICOX SOLUCIONES,S.A.</t>
  </si>
  <si>
    <t>CSC ELECTRONIK, S.L.</t>
  </si>
  <si>
    <t>NABLA DESIGNS S.L.</t>
  </si>
  <si>
    <t>ORBIS-TECNOLOGIA ELECTRICA, S.A.</t>
  </si>
  <si>
    <t>SURTEL ELECTRONICA, S.L.</t>
  </si>
  <si>
    <t>INDUSTRIAS ZELU,S.L.</t>
  </si>
  <si>
    <t>TECNATOM, S.A.</t>
  </si>
  <si>
    <t>DINACELL ELECTRONICA, S.L.</t>
  </si>
  <si>
    <t>PROCESAMIENTO DIGITAL</t>
  </si>
  <si>
    <t>HV SISTEMAS, S.L.</t>
  </si>
  <si>
    <t>SELT-INTEGRATED ASSEMBLING SOLUTIONS</t>
  </si>
  <si>
    <t>TECNOLOGIA ELECTRONICA Y DESARROLLO INDU</t>
  </si>
  <si>
    <t>GRUPO EPELSA, S.L.</t>
  </si>
  <si>
    <t>CABLING SYSTEM VALLADOLID S.L.</t>
  </si>
  <si>
    <t>CABLEADOS ASJE, S.L.U.</t>
  </si>
  <si>
    <t>S.M. DEZAC, S.A.</t>
  </si>
  <si>
    <t>SERVITRON, S.A.</t>
  </si>
  <si>
    <t>STARTIUN, S.L.</t>
  </si>
  <si>
    <t>SITERJA-COMÉRCIO E INDUSTRIA DE EQUIPAME</t>
  </si>
  <si>
    <t>TEKA INDUSTRIAL,S.A.</t>
  </si>
  <si>
    <t>DISEÑOS METALICOS RAMSA, S.L.</t>
  </si>
  <si>
    <t>PROYECMATICA, S.L.</t>
  </si>
  <si>
    <t>TECNOBIT, S.L.U.</t>
  </si>
  <si>
    <t>QINERA BJ, S.C.C.L.</t>
  </si>
  <si>
    <t>EDGEDX, S.A.</t>
  </si>
  <si>
    <t>INGENIERIA INISIS, S.L.</t>
  </si>
  <si>
    <t>INSERCIONES ELECTRONICAS INDUSTRIALES SL</t>
  </si>
  <si>
    <t>TEF MONTAJES Y SERVICIOS S.L.</t>
  </si>
  <si>
    <t>CLEMSA,S.A.</t>
  </si>
  <si>
    <t>PREMIUM, S.A.</t>
  </si>
  <si>
    <t>ADELSYS ENDLESS POSSIBILITIES, S.L.</t>
  </si>
  <si>
    <t>INSYTE ELECTRONICS, S.A.</t>
  </si>
  <si>
    <t>FUNDACION LANTEGI BATUAK</t>
  </si>
  <si>
    <t>BARBERÁN S.A</t>
  </si>
  <si>
    <t>INDUSTRIAS BALMES, S.A.</t>
  </si>
  <si>
    <t>FABELEC, S.L.</t>
  </si>
  <si>
    <t>SENER AEROESPACIAL, S.A.</t>
  </si>
  <si>
    <t>GMV AEROSPACE AND DEFENCE S.A.U</t>
  </si>
  <si>
    <t>KNORR-BREMSE ESPAÑA S.A.</t>
  </si>
  <si>
    <t>INGENIERIA VIESCA, S.L.</t>
  </si>
  <si>
    <t>ELECTRONICA SELCO, S.L.</t>
  </si>
  <si>
    <t>CONSORCIO PARA LA CONSTRUCCIÓN, EQUIPAMI</t>
  </si>
  <si>
    <t>LEONELLI, S.A.</t>
  </si>
  <si>
    <t>ROMPAL INGENIEROS, S.A.</t>
  </si>
  <si>
    <t>MAHLE ELECTRONICS, S.L.U.</t>
  </si>
  <si>
    <t>SAE-SISTEMAS DE AUTOMAçAO E ENERGIA, LTD</t>
  </si>
  <si>
    <t>AGUILERA ELECTRONICA, S.L.U.</t>
  </si>
  <si>
    <t>LDA AUDIOTECH, S.L.</t>
  </si>
  <si>
    <t>ELATE,S.A</t>
  </si>
  <si>
    <t>ZETES MULTICOM, S.A.</t>
  </si>
  <si>
    <t>COXPACE, ENGINEERING &amp; MANUFACTURING</t>
  </si>
  <si>
    <t>THALES ALENIA SPACE ESPAÑA,S.A</t>
  </si>
  <si>
    <t>HUMICONTROL, SL</t>
  </si>
  <si>
    <t>ELAUSA ELECTRONICS, S.L</t>
  </si>
  <si>
    <t>MIZAR HEALTH, S.L.</t>
  </si>
  <si>
    <t>COLWAY 08 INDUSTRIAL, S.L.</t>
  </si>
  <si>
    <t>MICROELECTRONICA MASER, S.L.</t>
  </si>
  <si>
    <t>FIBERNET, S.L.</t>
  </si>
  <si>
    <t>STEVEN JOHN NEAGAL</t>
  </si>
  <si>
    <t>ELECTRONICA CERLER, S.A.</t>
  </si>
  <si>
    <t>IBYS TECNOLOGIES, S.A.</t>
  </si>
  <si>
    <t>SEDECAL, S.A.</t>
  </si>
  <si>
    <t>ESCRIBANO MECHANICAL &amp; ENGINEERING, S.L.</t>
  </si>
  <si>
    <t>GRUPO SALLEN TECH, S.L.U</t>
  </si>
  <si>
    <t>ALCOELECTRO,S.L.</t>
  </si>
  <si>
    <t>SDAD.IBERICA DE CONSTRUCCIONES</t>
  </si>
  <si>
    <t>CLOUD VENDING S.L</t>
  </si>
  <si>
    <t>JOFEMAR, S.A.</t>
  </si>
  <si>
    <t>ALSTOM TRANSPORTE, S.A.U.</t>
  </si>
  <si>
    <t>APL. ELECTR. QUASAR, S.A.</t>
  </si>
  <si>
    <t>ACTIA SYSTEMS, S.A.U.</t>
  </si>
  <si>
    <t>GLOBAL ZALMU, S.L.</t>
  </si>
  <si>
    <t>DAYCOM 2000, S.L.</t>
  </si>
  <si>
    <t>TK ELEVATOR MANUFACTURING SPAIN SLU</t>
  </si>
  <si>
    <t>AZKOYEN, S.A.</t>
  </si>
  <si>
    <t>TELTRONIC, S.A.</t>
  </si>
  <si>
    <t>CEBB CABLEADOS,S.L.</t>
  </si>
  <si>
    <t>INETUM ESPAÑA, S.A.U.</t>
  </si>
  <si>
    <t>3 BOBINADOS Y MONTAJES ELECTRONICA, S.A.</t>
  </si>
  <si>
    <t>GUINAZ ELECTRONICA,S.L.</t>
  </si>
  <si>
    <t>SETI ELECTRONICA, S.L.</t>
  </si>
  <si>
    <t>INSELET, S.A.</t>
  </si>
  <si>
    <t>ESCRIBANO MECHANICAL &amp; ENGINEERING,</t>
  </si>
  <si>
    <t>EIIT, S.A.</t>
  </si>
  <si>
    <t>ARTEIXO TELECOM,S.A.</t>
  </si>
  <si>
    <t>ZEITER MICROTECHNOLOGY, S.L.U.</t>
  </si>
  <si>
    <t>SATRONICS IBERIA, S.L.</t>
  </si>
  <si>
    <t>INGENIERIA Y CONTROL FERROVIARIO,S.A.</t>
  </si>
  <si>
    <t>ENCLAVAMIENTOS SENALIZACION FERROVIARIA</t>
  </si>
  <si>
    <t>GMV SISTEMAS, S.A.U.</t>
  </si>
  <si>
    <t>BIZINTEK INGENIERIA Y DISEÑO DE PRODUCTO</t>
  </si>
  <si>
    <t>INELCOM TECHNOLOGY, S.L.</t>
  </si>
  <si>
    <t>ROHDE &amp; SCHWARZ ESPANA, S.A.</t>
  </si>
  <si>
    <t>PURGADORES DE CONDENSADO, S.L.</t>
  </si>
  <si>
    <t>P4Q ELECTRONICS, S.L.</t>
  </si>
  <si>
    <t>KOLBI ELECTRONICA, S.A.</t>
  </si>
  <si>
    <t>PRODUCTOS INDUSTRIALES VAF S.L.</t>
  </si>
  <si>
    <t>AUXITEL, S.L.</t>
  </si>
  <si>
    <t>NAVANTIA S.A.,S.M.E.</t>
  </si>
  <si>
    <t>MALAGA AEROSPACE, DEFENCE &amp; ELECTRONICS</t>
  </si>
  <si>
    <t>INTEGRAL DE CONEXIÓN Y MONTAJES, S.L.</t>
  </si>
  <si>
    <t>INDRA SISTEMAS, S.A.</t>
  </si>
  <si>
    <t>SIEMENS RAIL AUTOMATION S.A.U.</t>
  </si>
  <si>
    <t>ELECTRONICA FALCON, S.A.U.</t>
  </si>
  <si>
    <t>LOGISTICA Y TELECOMUNICACION, S.L.</t>
  </si>
  <si>
    <t>CYME,S.L.</t>
  </si>
  <si>
    <t>dic</t>
  </si>
  <si>
    <t>nov</t>
  </si>
  <si>
    <t>oct</t>
  </si>
  <si>
    <t>sep</t>
  </si>
  <si>
    <t>ago</t>
  </si>
  <si>
    <t>jul</t>
  </si>
  <si>
    <t>jun</t>
  </si>
  <si>
    <t>may</t>
  </si>
  <si>
    <t>abr</t>
  </si>
  <si>
    <t>mar</t>
  </si>
  <si>
    <t>feb</t>
  </si>
  <si>
    <t>ene</t>
  </si>
  <si>
    <t>total</t>
  </si>
  <si>
    <t>Total</t>
  </si>
  <si>
    <t>informatica</t>
  </si>
  <si>
    <t>conectores</t>
  </si>
  <si>
    <t>sismecanic</t>
  </si>
  <si>
    <t>cliente</t>
  </si>
  <si>
    <t>codcliente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</si>
</sst>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0.0%"/>
    <numFmt numFmtId="166" formatCode="_-* #,##0_-;\-* #,##0_-;_-* &quot;-&quot;??_-;_-@_-"/>
  </numFmts>
  <fonts count="2" x14ac:knownFonts="1">
    <font>
      <sz val="11"/>
      <color theme="1"/>
      <name val="Aptos Narrow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Border="0" applyAlignment="0" applyProtection="0"/>
    <xf numFmtId="9" fontId="1" fillId="0" borderId="0" applyBorder="0" applyAlignment="0" applyProtection="0"/>
  </cellStyleXfs>
  <cellXfs count="11">
    <xf numFmtId="0" fontId="0" fillId="0" borderId="0" xfId="0"/>
    <xf numFmtId="164" fontId="1" fillId="0" borderId="0" xfId="1" applyNumberFormat="1"/>
    <xf numFmtId="9" fontId="1" fillId="0" borderId="0" xfId="2"/>
    <xf numFmtId="165" fontId="1" fillId="0" borderId="1" xfId="2" applyNumberFormat="1" applyBorder="1"/>
    <xf numFmtId="165" fontId="1" fillId="0" borderId="0" xfId="2" applyNumberFormat="1"/>
    <xf numFmtId="166" fontId="1" fillId="0" borderId="1" xfId="1" applyNumberFormat="1" applyBorder="1"/>
    <xf numFmtId="166" fontId="0" fillId="0" borderId="0" xfId="0" applyNumberFormat="1"/>
    <xf numFmtId="43" fontId="1" fillId="0" borderId="0" xfId="1"/>
    <xf numFmtId="0" fontId="0" fillId="0" borderId="1" xfId="0" applyBorder="1"/>
    <xf numFmtId="164" fontId="1" fillId="0" borderId="1" xfId="1" applyNumberFormat="1" applyBorder="1"/>
    <xf numFmtId="43" fontId="1" fillId="0" borderId="1" xfId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9FB7D-82C3-43F8-BE35-9A87B1F6CE91}">
  <dimension ref="A1:BO1000"/>
  <sheetViews>
    <sheetView tabSelected="1" workbookViewId="0">
      <selection activeCell="Q998" sqref="Q998"/>
    </sheetView>
  </sheetViews>
  <sheetFormatPr baseColWidth="10" defaultRowHeight="15" x14ac:dyDescent="0.25"/>
  <cols>
    <col min="2" max="2" width="43.7109375" customWidth="1"/>
    <col min="3" max="3" width="14" customWidth="1"/>
    <col min="4" max="15" width="11.7109375" customWidth="1"/>
    <col min="16" max="16" width="13" bestFit="1" customWidth="1"/>
    <col min="17" max="28" width="13" customWidth="1"/>
    <col min="29" max="41" width="12.7109375" customWidth="1"/>
    <col min="43" max="43" width="14" style="1" customWidth="1"/>
    <col min="44" max="44" width="13.140625" customWidth="1"/>
    <col min="45" max="45" width="13.7109375" customWidth="1"/>
    <col min="46" max="46" width="12.7109375" customWidth="1"/>
    <col min="47" max="47" width="13.42578125" customWidth="1"/>
    <col min="48" max="48" width="12.140625" customWidth="1"/>
    <col min="51" max="51" width="16.7109375" customWidth="1"/>
    <col min="255" max="255" width="43.7109375" customWidth="1"/>
    <col min="256" max="258" width="0" hidden="1" customWidth="1"/>
    <col min="259" max="271" width="11.7109375" customWidth="1"/>
    <col min="272" max="272" width="13" bestFit="1" customWidth="1"/>
    <col min="273" max="284" width="13" customWidth="1"/>
    <col min="285" max="297" width="12.7109375" customWidth="1"/>
    <col min="299" max="299" width="14" customWidth="1"/>
    <col min="300" max="300" width="13.140625" customWidth="1"/>
    <col min="301" max="301" width="13.7109375" customWidth="1"/>
    <col min="302" max="302" width="12.7109375" customWidth="1"/>
    <col min="303" max="303" width="13.42578125" customWidth="1"/>
    <col min="511" max="511" width="43.7109375" customWidth="1"/>
    <col min="512" max="514" width="0" hidden="1" customWidth="1"/>
    <col min="515" max="527" width="11.7109375" customWidth="1"/>
    <col min="528" max="528" width="13" bestFit="1" customWidth="1"/>
    <col min="529" max="540" width="13" customWidth="1"/>
    <col min="541" max="553" width="12.7109375" customWidth="1"/>
    <col min="555" max="555" width="14" customWidth="1"/>
    <col min="556" max="556" width="13.140625" customWidth="1"/>
    <col min="557" max="557" width="13.7109375" customWidth="1"/>
    <col min="558" max="558" width="12.7109375" customWidth="1"/>
    <col min="559" max="559" width="13.42578125" customWidth="1"/>
    <col min="767" max="767" width="43.7109375" customWidth="1"/>
    <col min="768" max="770" width="0" hidden="1" customWidth="1"/>
    <col min="771" max="783" width="11.7109375" customWidth="1"/>
    <col min="784" max="784" width="13" bestFit="1" customWidth="1"/>
    <col min="785" max="796" width="13" customWidth="1"/>
    <col min="797" max="809" width="12.7109375" customWidth="1"/>
    <col min="811" max="811" width="14" customWidth="1"/>
    <col min="812" max="812" width="13.140625" customWidth="1"/>
    <col min="813" max="813" width="13.7109375" customWidth="1"/>
    <col min="814" max="814" width="12.7109375" customWidth="1"/>
    <col min="815" max="815" width="13.42578125" customWidth="1"/>
    <col min="1023" max="1023" width="43.7109375" customWidth="1"/>
    <col min="1024" max="1026" width="0" hidden="1" customWidth="1"/>
    <col min="1027" max="1039" width="11.7109375" customWidth="1"/>
    <col min="1040" max="1040" width="13" bestFit="1" customWidth="1"/>
    <col min="1041" max="1052" width="13" customWidth="1"/>
    <col min="1053" max="1065" width="12.7109375" customWidth="1"/>
    <col min="1067" max="1067" width="14" customWidth="1"/>
    <col min="1068" max="1068" width="13.140625" customWidth="1"/>
    <col min="1069" max="1069" width="13.7109375" customWidth="1"/>
    <col min="1070" max="1070" width="12.7109375" customWidth="1"/>
    <col min="1071" max="1071" width="13.42578125" customWidth="1"/>
    <col min="1279" max="1279" width="43.7109375" customWidth="1"/>
    <col min="1280" max="1282" width="0" hidden="1" customWidth="1"/>
    <col min="1283" max="1295" width="11.7109375" customWidth="1"/>
    <col min="1296" max="1296" width="13" bestFit="1" customWidth="1"/>
    <col min="1297" max="1308" width="13" customWidth="1"/>
    <col min="1309" max="1321" width="12.7109375" customWidth="1"/>
    <col min="1323" max="1323" width="14" customWidth="1"/>
    <col min="1324" max="1324" width="13.140625" customWidth="1"/>
    <col min="1325" max="1325" width="13.7109375" customWidth="1"/>
    <col min="1326" max="1326" width="12.7109375" customWidth="1"/>
    <col min="1327" max="1327" width="13.42578125" customWidth="1"/>
    <col min="1535" max="1535" width="43.7109375" customWidth="1"/>
    <col min="1536" max="1538" width="0" hidden="1" customWidth="1"/>
    <col min="1539" max="1551" width="11.7109375" customWidth="1"/>
    <col min="1552" max="1552" width="13" bestFit="1" customWidth="1"/>
    <col min="1553" max="1564" width="13" customWidth="1"/>
    <col min="1565" max="1577" width="12.7109375" customWidth="1"/>
    <col min="1579" max="1579" width="14" customWidth="1"/>
    <col min="1580" max="1580" width="13.140625" customWidth="1"/>
    <col min="1581" max="1581" width="13.7109375" customWidth="1"/>
    <col min="1582" max="1582" width="12.7109375" customWidth="1"/>
    <col min="1583" max="1583" width="13.42578125" customWidth="1"/>
    <col min="1791" max="1791" width="43.7109375" customWidth="1"/>
    <col min="1792" max="1794" width="0" hidden="1" customWidth="1"/>
    <col min="1795" max="1807" width="11.7109375" customWidth="1"/>
    <col min="1808" max="1808" width="13" bestFit="1" customWidth="1"/>
    <col min="1809" max="1820" width="13" customWidth="1"/>
    <col min="1821" max="1833" width="12.7109375" customWidth="1"/>
    <col min="1835" max="1835" width="14" customWidth="1"/>
    <col min="1836" max="1836" width="13.140625" customWidth="1"/>
    <col min="1837" max="1837" width="13.7109375" customWidth="1"/>
    <col min="1838" max="1838" width="12.7109375" customWidth="1"/>
    <col min="1839" max="1839" width="13.42578125" customWidth="1"/>
    <col min="2047" max="2047" width="43.7109375" customWidth="1"/>
    <col min="2048" max="2050" width="0" hidden="1" customWidth="1"/>
    <col min="2051" max="2063" width="11.7109375" customWidth="1"/>
    <col min="2064" max="2064" width="13" bestFit="1" customWidth="1"/>
    <col min="2065" max="2076" width="13" customWidth="1"/>
    <col min="2077" max="2089" width="12.7109375" customWidth="1"/>
    <col min="2091" max="2091" width="14" customWidth="1"/>
    <col min="2092" max="2092" width="13.140625" customWidth="1"/>
    <col min="2093" max="2093" width="13.7109375" customWidth="1"/>
    <col min="2094" max="2094" width="12.7109375" customWidth="1"/>
    <col min="2095" max="2095" width="13.42578125" customWidth="1"/>
    <col min="2303" max="2303" width="43.7109375" customWidth="1"/>
    <col min="2304" max="2306" width="0" hidden="1" customWidth="1"/>
    <col min="2307" max="2319" width="11.7109375" customWidth="1"/>
    <col min="2320" max="2320" width="13" bestFit="1" customWidth="1"/>
    <col min="2321" max="2332" width="13" customWidth="1"/>
    <col min="2333" max="2345" width="12.7109375" customWidth="1"/>
    <col min="2347" max="2347" width="14" customWidth="1"/>
    <col min="2348" max="2348" width="13.140625" customWidth="1"/>
    <col min="2349" max="2349" width="13.7109375" customWidth="1"/>
    <col min="2350" max="2350" width="12.7109375" customWidth="1"/>
    <col min="2351" max="2351" width="13.42578125" customWidth="1"/>
    <col min="2559" max="2559" width="43.7109375" customWidth="1"/>
    <col min="2560" max="2562" width="0" hidden="1" customWidth="1"/>
    <col min="2563" max="2575" width="11.7109375" customWidth="1"/>
    <col min="2576" max="2576" width="13" bestFit="1" customWidth="1"/>
    <col min="2577" max="2588" width="13" customWidth="1"/>
    <col min="2589" max="2601" width="12.7109375" customWidth="1"/>
    <col min="2603" max="2603" width="14" customWidth="1"/>
    <col min="2604" max="2604" width="13.140625" customWidth="1"/>
    <col min="2605" max="2605" width="13.7109375" customWidth="1"/>
    <col min="2606" max="2606" width="12.7109375" customWidth="1"/>
    <col min="2607" max="2607" width="13.42578125" customWidth="1"/>
    <col min="2815" max="2815" width="43.7109375" customWidth="1"/>
    <col min="2816" max="2818" width="0" hidden="1" customWidth="1"/>
    <col min="2819" max="2831" width="11.7109375" customWidth="1"/>
    <col min="2832" max="2832" width="13" bestFit="1" customWidth="1"/>
    <col min="2833" max="2844" width="13" customWidth="1"/>
    <col min="2845" max="2857" width="12.7109375" customWidth="1"/>
    <col min="2859" max="2859" width="14" customWidth="1"/>
    <col min="2860" max="2860" width="13.140625" customWidth="1"/>
    <col min="2861" max="2861" width="13.7109375" customWidth="1"/>
    <col min="2862" max="2862" width="12.7109375" customWidth="1"/>
    <col min="2863" max="2863" width="13.42578125" customWidth="1"/>
    <col min="3071" max="3071" width="43.7109375" customWidth="1"/>
    <col min="3072" max="3074" width="0" hidden="1" customWidth="1"/>
    <col min="3075" max="3087" width="11.7109375" customWidth="1"/>
    <col min="3088" max="3088" width="13" bestFit="1" customWidth="1"/>
    <col min="3089" max="3100" width="13" customWidth="1"/>
    <col min="3101" max="3113" width="12.7109375" customWidth="1"/>
    <col min="3115" max="3115" width="14" customWidth="1"/>
    <col min="3116" max="3116" width="13.140625" customWidth="1"/>
    <col min="3117" max="3117" width="13.7109375" customWidth="1"/>
    <col min="3118" max="3118" width="12.7109375" customWidth="1"/>
    <col min="3119" max="3119" width="13.42578125" customWidth="1"/>
    <col min="3327" max="3327" width="43.7109375" customWidth="1"/>
    <col min="3328" max="3330" width="0" hidden="1" customWidth="1"/>
    <col min="3331" max="3343" width="11.7109375" customWidth="1"/>
    <col min="3344" max="3344" width="13" bestFit="1" customWidth="1"/>
    <col min="3345" max="3356" width="13" customWidth="1"/>
    <col min="3357" max="3369" width="12.7109375" customWidth="1"/>
    <col min="3371" max="3371" width="14" customWidth="1"/>
    <col min="3372" max="3372" width="13.140625" customWidth="1"/>
    <col min="3373" max="3373" width="13.7109375" customWidth="1"/>
    <col min="3374" max="3374" width="12.7109375" customWidth="1"/>
    <col min="3375" max="3375" width="13.42578125" customWidth="1"/>
    <col min="3583" max="3583" width="43.7109375" customWidth="1"/>
    <col min="3584" max="3586" width="0" hidden="1" customWidth="1"/>
    <col min="3587" max="3599" width="11.7109375" customWidth="1"/>
    <col min="3600" max="3600" width="13" bestFit="1" customWidth="1"/>
    <col min="3601" max="3612" width="13" customWidth="1"/>
    <col min="3613" max="3625" width="12.7109375" customWidth="1"/>
    <col min="3627" max="3627" width="14" customWidth="1"/>
    <col min="3628" max="3628" width="13.140625" customWidth="1"/>
    <col min="3629" max="3629" width="13.7109375" customWidth="1"/>
    <col min="3630" max="3630" width="12.7109375" customWidth="1"/>
    <col min="3631" max="3631" width="13.42578125" customWidth="1"/>
    <col min="3839" max="3839" width="43.7109375" customWidth="1"/>
    <col min="3840" max="3842" width="0" hidden="1" customWidth="1"/>
    <col min="3843" max="3855" width="11.7109375" customWidth="1"/>
    <col min="3856" max="3856" width="13" bestFit="1" customWidth="1"/>
    <col min="3857" max="3868" width="13" customWidth="1"/>
    <col min="3869" max="3881" width="12.7109375" customWidth="1"/>
    <col min="3883" max="3883" width="14" customWidth="1"/>
    <col min="3884" max="3884" width="13.140625" customWidth="1"/>
    <col min="3885" max="3885" width="13.7109375" customWidth="1"/>
    <col min="3886" max="3886" width="12.7109375" customWidth="1"/>
    <col min="3887" max="3887" width="13.42578125" customWidth="1"/>
    <col min="4095" max="4095" width="43.7109375" customWidth="1"/>
    <col min="4096" max="4098" width="0" hidden="1" customWidth="1"/>
    <col min="4099" max="4111" width="11.7109375" customWidth="1"/>
    <col min="4112" max="4112" width="13" bestFit="1" customWidth="1"/>
    <col min="4113" max="4124" width="13" customWidth="1"/>
    <col min="4125" max="4137" width="12.7109375" customWidth="1"/>
    <col min="4139" max="4139" width="14" customWidth="1"/>
    <col min="4140" max="4140" width="13.140625" customWidth="1"/>
    <col min="4141" max="4141" width="13.7109375" customWidth="1"/>
    <col min="4142" max="4142" width="12.7109375" customWidth="1"/>
    <col min="4143" max="4143" width="13.42578125" customWidth="1"/>
    <col min="4351" max="4351" width="43.7109375" customWidth="1"/>
    <col min="4352" max="4354" width="0" hidden="1" customWidth="1"/>
    <col min="4355" max="4367" width="11.7109375" customWidth="1"/>
    <col min="4368" max="4368" width="13" bestFit="1" customWidth="1"/>
    <col min="4369" max="4380" width="13" customWidth="1"/>
    <col min="4381" max="4393" width="12.7109375" customWidth="1"/>
    <col min="4395" max="4395" width="14" customWidth="1"/>
    <col min="4396" max="4396" width="13.140625" customWidth="1"/>
    <col min="4397" max="4397" width="13.7109375" customWidth="1"/>
    <col min="4398" max="4398" width="12.7109375" customWidth="1"/>
    <col min="4399" max="4399" width="13.42578125" customWidth="1"/>
    <col min="4607" max="4607" width="43.7109375" customWidth="1"/>
    <col min="4608" max="4610" width="0" hidden="1" customWidth="1"/>
    <col min="4611" max="4623" width="11.7109375" customWidth="1"/>
    <col min="4624" max="4624" width="13" bestFit="1" customWidth="1"/>
    <col min="4625" max="4636" width="13" customWidth="1"/>
    <col min="4637" max="4649" width="12.7109375" customWidth="1"/>
    <col min="4651" max="4651" width="14" customWidth="1"/>
    <col min="4652" max="4652" width="13.140625" customWidth="1"/>
    <col min="4653" max="4653" width="13.7109375" customWidth="1"/>
    <col min="4654" max="4654" width="12.7109375" customWidth="1"/>
    <col min="4655" max="4655" width="13.42578125" customWidth="1"/>
    <col min="4863" max="4863" width="43.7109375" customWidth="1"/>
    <col min="4864" max="4866" width="0" hidden="1" customWidth="1"/>
    <col min="4867" max="4879" width="11.7109375" customWidth="1"/>
    <col min="4880" max="4880" width="13" bestFit="1" customWidth="1"/>
    <col min="4881" max="4892" width="13" customWidth="1"/>
    <col min="4893" max="4905" width="12.7109375" customWidth="1"/>
    <col min="4907" max="4907" width="14" customWidth="1"/>
    <col min="4908" max="4908" width="13.140625" customWidth="1"/>
    <col min="4909" max="4909" width="13.7109375" customWidth="1"/>
    <col min="4910" max="4910" width="12.7109375" customWidth="1"/>
    <col min="4911" max="4911" width="13.42578125" customWidth="1"/>
    <col min="5119" max="5119" width="43.7109375" customWidth="1"/>
    <col min="5120" max="5122" width="0" hidden="1" customWidth="1"/>
    <col min="5123" max="5135" width="11.7109375" customWidth="1"/>
    <col min="5136" max="5136" width="13" bestFit="1" customWidth="1"/>
    <col min="5137" max="5148" width="13" customWidth="1"/>
    <col min="5149" max="5161" width="12.7109375" customWidth="1"/>
    <col min="5163" max="5163" width="14" customWidth="1"/>
    <col min="5164" max="5164" width="13.140625" customWidth="1"/>
    <col min="5165" max="5165" width="13.7109375" customWidth="1"/>
    <col min="5166" max="5166" width="12.7109375" customWidth="1"/>
    <col min="5167" max="5167" width="13.42578125" customWidth="1"/>
    <col min="5375" max="5375" width="43.7109375" customWidth="1"/>
    <col min="5376" max="5378" width="0" hidden="1" customWidth="1"/>
    <col min="5379" max="5391" width="11.7109375" customWidth="1"/>
    <col min="5392" max="5392" width="13" bestFit="1" customWidth="1"/>
    <col min="5393" max="5404" width="13" customWidth="1"/>
    <col min="5405" max="5417" width="12.7109375" customWidth="1"/>
    <col min="5419" max="5419" width="14" customWidth="1"/>
    <col min="5420" max="5420" width="13.140625" customWidth="1"/>
    <col min="5421" max="5421" width="13.7109375" customWidth="1"/>
    <col min="5422" max="5422" width="12.7109375" customWidth="1"/>
    <col min="5423" max="5423" width="13.42578125" customWidth="1"/>
    <col min="5631" max="5631" width="43.7109375" customWidth="1"/>
    <col min="5632" max="5634" width="0" hidden="1" customWidth="1"/>
    <col min="5635" max="5647" width="11.7109375" customWidth="1"/>
    <col min="5648" max="5648" width="13" bestFit="1" customWidth="1"/>
    <col min="5649" max="5660" width="13" customWidth="1"/>
    <col min="5661" max="5673" width="12.7109375" customWidth="1"/>
    <col min="5675" max="5675" width="14" customWidth="1"/>
    <col min="5676" max="5676" width="13.140625" customWidth="1"/>
    <col min="5677" max="5677" width="13.7109375" customWidth="1"/>
    <col min="5678" max="5678" width="12.7109375" customWidth="1"/>
    <col min="5679" max="5679" width="13.42578125" customWidth="1"/>
    <col min="5887" max="5887" width="43.7109375" customWidth="1"/>
    <col min="5888" max="5890" width="0" hidden="1" customWidth="1"/>
    <col min="5891" max="5903" width="11.7109375" customWidth="1"/>
    <col min="5904" max="5904" width="13" bestFit="1" customWidth="1"/>
    <col min="5905" max="5916" width="13" customWidth="1"/>
    <col min="5917" max="5929" width="12.7109375" customWidth="1"/>
    <col min="5931" max="5931" width="14" customWidth="1"/>
    <col min="5932" max="5932" width="13.140625" customWidth="1"/>
    <col min="5933" max="5933" width="13.7109375" customWidth="1"/>
    <col min="5934" max="5934" width="12.7109375" customWidth="1"/>
    <col min="5935" max="5935" width="13.42578125" customWidth="1"/>
    <col min="6143" max="6143" width="43.7109375" customWidth="1"/>
    <col min="6144" max="6146" width="0" hidden="1" customWidth="1"/>
    <col min="6147" max="6159" width="11.7109375" customWidth="1"/>
    <col min="6160" max="6160" width="13" bestFit="1" customWidth="1"/>
    <col min="6161" max="6172" width="13" customWidth="1"/>
    <col min="6173" max="6185" width="12.7109375" customWidth="1"/>
    <col min="6187" max="6187" width="14" customWidth="1"/>
    <col min="6188" max="6188" width="13.140625" customWidth="1"/>
    <col min="6189" max="6189" width="13.7109375" customWidth="1"/>
    <col min="6190" max="6190" width="12.7109375" customWidth="1"/>
    <col min="6191" max="6191" width="13.42578125" customWidth="1"/>
    <col min="6399" max="6399" width="43.7109375" customWidth="1"/>
    <col min="6400" max="6402" width="0" hidden="1" customWidth="1"/>
    <col min="6403" max="6415" width="11.7109375" customWidth="1"/>
    <col min="6416" max="6416" width="13" bestFit="1" customWidth="1"/>
    <col min="6417" max="6428" width="13" customWidth="1"/>
    <col min="6429" max="6441" width="12.7109375" customWidth="1"/>
    <col min="6443" max="6443" width="14" customWidth="1"/>
    <col min="6444" max="6444" width="13.140625" customWidth="1"/>
    <col min="6445" max="6445" width="13.7109375" customWidth="1"/>
    <col min="6446" max="6446" width="12.7109375" customWidth="1"/>
    <col min="6447" max="6447" width="13.42578125" customWidth="1"/>
    <col min="6655" max="6655" width="43.7109375" customWidth="1"/>
    <col min="6656" max="6658" width="0" hidden="1" customWidth="1"/>
    <col min="6659" max="6671" width="11.7109375" customWidth="1"/>
    <col min="6672" max="6672" width="13" bestFit="1" customWidth="1"/>
    <col min="6673" max="6684" width="13" customWidth="1"/>
    <col min="6685" max="6697" width="12.7109375" customWidth="1"/>
    <col min="6699" max="6699" width="14" customWidth="1"/>
    <col min="6700" max="6700" width="13.140625" customWidth="1"/>
    <col min="6701" max="6701" width="13.7109375" customWidth="1"/>
    <col min="6702" max="6702" width="12.7109375" customWidth="1"/>
    <col min="6703" max="6703" width="13.42578125" customWidth="1"/>
    <col min="6911" max="6911" width="43.7109375" customWidth="1"/>
    <col min="6912" max="6914" width="0" hidden="1" customWidth="1"/>
    <col min="6915" max="6927" width="11.7109375" customWidth="1"/>
    <col min="6928" max="6928" width="13" bestFit="1" customWidth="1"/>
    <col min="6929" max="6940" width="13" customWidth="1"/>
    <col min="6941" max="6953" width="12.7109375" customWidth="1"/>
    <col min="6955" max="6955" width="14" customWidth="1"/>
    <col min="6956" max="6956" width="13.140625" customWidth="1"/>
    <col min="6957" max="6957" width="13.7109375" customWidth="1"/>
    <col min="6958" max="6958" width="12.7109375" customWidth="1"/>
    <col min="6959" max="6959" width="13.42578125" customWidth="1"/>
    <col min="7167" max="7167" width="43.7109375" customWidth="1"/>
    <col min="7168" max="7170" width="0" hidden="1" customWidth="1"/>
    <col min="7171" max="7183" width="11.7109375" customWidth="1"/>
    <col min="7184" max="7184" width="13" bestFit="1" customWidth="1"/>
    <col min="7185" max="7196" width="13" customWidth="1"/>
    <col min="7197" max="7209" width="12.7109375" customWidth="1"/>
    <col min="7211" max="7211" width="14" customWidth="1"/>
    <col min="7212" max="7212" width="13.140625" customWidth="1"/>
    <col min="7213" max="7213" width="13.7109375" customWidth="1"/>
    <col min="7214" max="7214" width="12.7109375" customWidth="1"/>
    <col min="7215" max="7215" width="13.42578125" customWidth="1"/>
    <col min="7423" max="7423" width="43.7109375" customWidth="1"/>
    <col min="7424" max="7426" width="0" hidden="1" customWidth="1"/>
    <col min="7427" max="7439" width="11.7109375" customWidth="1"/>
    <col min="7440" max="7440" width="13" bestFit="1" customWidth="1"/>
    <col min="7441" max="7452" width="13" customWidth="1"/>
    <col min="7453" max="7465" width="12.7109375" customWidth="1"/>
    <col min="7467" max="7467" width="14" customWidth="1"/>
    <col min="7468" max="7468" width="13.140625" customWidth="1"/>
    <col min="7469" max="7469" width="13.7109375" customWidth="1"/>
    <col min="7470" max="7470" width="12.7109375" customWidth="1"/>
    <col min="7471" max="7471" width="13.42578125" customWidth="1"/>
    <col min="7679" max="7679" width="43.7109375" customWidth="1"/>
    <col min="7680" max="7682" width="0" hidden="1" customWidth="1"/>
    <col min="7683" max="7695" width="11.7109375" customWidth="1"/>
    <col min="7696" max="7696" width="13" bestFit="1" customWidth="1"/>
    <col min="7697" max="7708" width="13" customWidth="1"/>
    <col min="7709" max="7721" width="12.7109375" customWidth="1"/>
    <col min="7723" max="7723" width="14" customWidth="1"/>
    <col min="7724" max="7724" width="13.140625" customWidth="1"/>
    <col min="7725" max="7725" width="13.7109375" customWidth="1"/>
    <col min="7726" max="7726" width="12.7109375" customWidth="1"/>
    <col min="7727" max="7727" width="13.42578125" customWidth="1"/>
    <col min="7935" max="7935" width="43.7109375" customWidth="1"/>
    <col min="7936" max="7938" width="0" hidden="1" customWidth="1"/>
    <col min="7939" max="7951" width="11.7109375" customWidth="1"/>
    <col min="7952" max="7952" width="13" bestFit="1" customWidth="1"/>
    <col min="7953" max="7964" width="13" customWidth="1"/>
    <col min="7965" max="7977" width="12.7109375" customWidth="1"/>
    <col min="7979" max="7979" width="14" customWidth="1"/>
    <col min="7980" max="7980" width="13.140625" customWidth="1"/>
    <col min="7981" max="7981" width="13.7109375" customWidth="1"/>
    <col min="7982" max="7982" width="12.7109375" customWidth="1"/>
    <col min="7983" max="7983" width="13.42578125" customWidth="1"/>
    <col min="8191" max="8191" width="43.7109375" customWidth="1"/>
    <col min="8192" max="8194" width="0" hidden="1" customWidth="1"/>
    <col min="8195" max="8207" width="11.7109375" customWidth="1"/>
    <col min="8208" max="8208" width="13" bestFit="1" customWidth="1"/>
    <col min="8209" max="8220" width="13" customWidth="1"/>
    <col min="8221" max="8233" width="12.7109375" customWidth="1"/>
    <col min="8235" max="8235" width="14" customWidth="1"/>
    <col min="8236" max="8236" width="13.140625" customWidth="1"/>
    <col min="8237" max="8237" width="13.7109375" customWidth="1"/>
    <col min="8238" max="8238" width="12.7109375" customWidth="1"/>
    <col min="8239" max="8239" width="13.42578125" customWidth="1"/>
    <col min="8447" max="8447" width="43.7109375" customWidth="1"/>
    <col min="8448" max="8450" width="0" hidden="1" customWidth="1"/>
    <col min="8451" max="8463" width="11.7109375" customWidth="1"/>
    <col min="8464" max="8464" width="13" bestFit="1" customWidth="1"/>
    <col min="8465" max="8476" width="13" customWidth="1"/>
    <col min="8477" max="8489" width="12.7109375" customWidth="1"/>
    <col min="8491" max="8491" width="14" customWidth="1"/>
    <col min="8492" max="8492" width="13.140625" customWidth="1"/>
    <col min="8493" max="8493" width="13.7109375" customWidth="1"/>
    <col min="8494" max="8494" width="12.7109375" customWidth="1"/>
    <col min="8495" max="8495" width="13.42578125" customWidth="1"/>
    <col min="8703" max="8703" width="43.7109375" customWidth="1"/>
    <col min="8704" max="8706" width="0" hidden="1" customWidth="1"/>
    <col min="8707" max="8719" width="11.7109375" customWidth="1"/>
    <col min="8720" max="8720" width="13" bestFit="1" customWidth="1"/>
    <col min="8721" max="8732" width="13" customWidth="1"/>
    <col min="8733" max="8745" width="12.7109375" customWidth="1"/>
    <col min="8747" max="8747" width="14" customWidth="1"/>
    <col min="8748" max="8748" width="13.140625" customWidth="1"/>
    <col min="8749" max="8749" width="13.7109375" customWidth="1"/>
    <col min="8750" max="8750" width="12.7109375" customWidth="1"/>
    <col min="8751" max="8751" width="13.42578125" customWidth="1"/>
    <col min="8959" max="8959" width="43.7109375" customWidth="1"/>
    <col min="8960" max="8962" width="0" hidden="1" customWidth="1"/>
    <col min="8963" max="8975" width="11.7109375" customWidth="1"/>
    <col min="8976" max="8976" width="13" bestFit="1" customWidth="1"/>
    <col min="8977" max="8988" width="13" customWidth="1"/>
    <col min="8989" max="9001" width="12.7109375" customWidth="1"/>
    <col min="9003" max="9003" width="14" customWidth="1"/>
    <col min="9004" max="9004" width="13.140625" customWidth="1"/>
    <col min="9005" max="9005" width="13.7109375" customWidth="1"/>
    <col min="9006" max="9006" width="12.7109375" customWidth="1"/>
    <col min="9007" max="9007" width="13.42578125" customWidth="1"/>
    <col min="9215" max="9215" width="43.7109375" customWidth="1"/>
    <col min="9216" max="9218" width="0" hidden="1" customWidth="1"/>
    <col min="9219" max="9231" width="11.7109375" customWidth="1"/>
    <col min="9232" max="9232" width="13" bestFit="1" customWidth="1"/>
    <col min="9233" max="9244" width="13" customWidth="1"/>
    <col min="9245" max="9257" width="12.7109375" customWidth="1"/>
    <col min="9259" max="9259" width="14" customWidth="1"/>
    <col min="9260" max="9260" width="13.140625" customWidth="1"/>
    <col min="9261" max="9261" width="13.7109375" customWidth="1"/>
    <col min="9262" max="9262" width="12.7109375" customWidth="1"/>
    <col min="9263" max="9263" width="13.42578125" customWidth="1"/>
    <col min="9471" max="9471" width="43.7109375" customWidth="1"/>
    <col min="9472" max="9474" width="0" hidden="1" customWidth="1"/>
    <col min="9475" max="9487" width="11.7109375" customWidth="1"/>
    <col min="9488" max="9488" width="13" bestFit="1" customWidth="1"/>
    <col min="9489" max="9500" width="13" customWidth="1"/>
    <col min="9501" max="9513" width="12.7109375" customWidth="1"/>
    <col min="9515" max="9515" width="14" customWidth="1"/>
    <col min="9516" max="9516" width="13.140625" customWidth="1"/>
    <col min="9517" max="9517" width="13.7109375" customWidth="1"/>
    <col min="9518" max="9518" width="12.7109375" customWidth="1"/>
    <col min="9519" max="9519" width="13.42578125" customWidth="1"/>
    <col min="9727" max="9727" width="43.7109375" customWidth="1"/>
    <col min="9728" max="9730" width="0" hidden="1" customWidth="1"/>
    <col min="9731" max="9743" width="11.7109375" customWidth="1"/>
    <col min="9744" max="9744" width="13" bestFit="1" customWidth="1"/>
    <col min="9745" max="9756" width="13" customWidth="1"/>
    <col min="9757" max="9769" width="12.7109375" customWidth="1"/>
    <col min="9771" max="9771" width="14" customWidth="1"/>
    <col min="9772" max="9772" width="13.140625" customWidth="1"/>
    <col min="9773" max="9773" width="13.7109375" customWidth="1"/>
    <col min="9774" max="9774" width="12.7109375" customWidth="1"/>
    <col min="9775" max="9775" width="13.42578125" customWidth="1"/>
    <col min="9983" max="9983" width="43.7109375" customWidth="1"/>
    <col min="9984" max="9986" width="0" hidden="1" customWidth="1"/>
    <col min="9987" max="9999" width="11.7109375" customWidth="1"/>
    <col min="10000" max="10000" width="13" bestFit="1" customWidth="1"/>
    <col min="10001" max="10012" width="13" customWidth="1"/>
    <col min="10013" max="10025" width="12.7109375" customWidth="1"/>
    <col min="10027" max="10027" width="14" customWidth="1"/>
    <col min="10028" max="10028" width="13.140625" customWidth="1"/>
    <col min="10029" max="10029" width="13.7109375" customWidth="1"/>
    <col min="10030" max="10030" width="12.7109375" customWidth="1"/>
    <col min="10031" max="10031" width="13.42578125" customWidth="1"/>
    <col min="10239" max="10239" width="43.7109375" customWidth="1"/>
    <col min="10240" max="10242" width="0" hidden="1" customWidth="1"/>
    <col min="10243" max="10255" width="11.7109375" customWidth="1"/>
    <col min="10256" max="10256" width="13" bestFit="1" customWidth="1"/>
    <col min="10257" max="10268" width="13" customWidth="1"/>
    <col min="10269" max="10281" width="12.7109375" customWidth="1"/>
    <col min="10283" max="10283" width="14" customWidth="1"/>
    <col min="10284" max="10284" width="13.140625" customWidth="1"/>
    <col min="10285" max="10285" width="13.7109375" customWidth="1"/>
    <col min="10286" max="10286" width="12.7109375" customWidth="1"/>
    <col min="10287" max="10287" width="13.42578125" customWidth="1"/>
    <col min="10495" max="10495" width="43.7109375" customWidth="1"/>
    <col min="10496" max="10498" width="0" hidden="1" customWidth="1"/>
    <col min="10499" max="10511" width="11.7109375" customWidth="1"/>
    <col min="10512" max="10512" width="13" bestFit="1" customWidth="1"/>
    <col min="10513" max="10524" width="13" customWidth="1"/>
    <col min="10525" max="10537" width="12.7109375" customWidth="1"/>
    <col min="10539" max="10539" width="14" customWidth="1"/>
    <col min="10540" max="10540" width="13.140625" customWidth="1"/>
    <col min="10541" max="10541" width="13.7109375" customWidth="1"/>
    <col min="10542" max="10542" width="12.7109375" customWidth="1"/>
    <col min="10543" max="10543" width="13.42578125" customWidth="1"/>
    <col min="10751" max="10751" width="43.7109375" customWidth="1"/>
    <col min="10752" max="10754" width="0" hidden="1" customWidth="1"/>
    <col min="10755" max="10767" width="11.7109375" customWidth="1"/>
    <col min="10768" max="10768" width="13" bestFit="1" customWidth="1"/>
    <col min="10769" max="10780" width="13" customWidth="1"/>
    <col min="10781" max="10793" width="12.7109375" customWidth="1"/>
    <col min="10795" max="10795" width="14" customWidth="1"/>
    <col min="10796" max="10796" width="13.140625" customWidth="1"/>
    <col min="10797" max="10797" width="13.7109375" customWidth="1"/>
    <col min="10798" max="10798" width="12.7109375" customWidth="1"/>
    <col min="10799" max="10799" width="13.42578125" customWidth="1"/>
    <col min="11007" max="11007" width="43.7109375" customWidth="1"/>
    <col min="11008" max="11010" width="0" hidden="1" customWidth="1"/>
    <col min="11011" max="11023" width="11.7109375" customWidth="1"/>
    <col min="11024" max="11024" width="13" bestFit="1" customWidth="1"/>
    <col min="11025" max="11036" width="13" customWidth="1"/>
    <col min="11037" max="11049" width="12.7109375" customWidth="1"/>
    <col min="11051" max="11051" width="14" customWidth="1"/>
    <col min="11052" max="11052" width="13.140625" customWidth="1"/>
    <col min="11053" max="11053" width="13.7109375" customWidth="1"/>
    <col min="11054" max="11054" width="12.7109375" customWidth="1"/>
    <col min="11055" max="11055" width="13.42578125" customWidth="1"/>
    <col min="11263" max="11263" width="43.7109375" customWidth="1"/>
    <col min="11264" max="11266" width="0" hidden="1" customWidth="1"/>
    <col min="11267" max="11279" width="11.7109375" customWidth="1"/>
    <col min="11280" max="11280" width="13" bestFit="1" customWidth="1"/>
    <col min="11281" max="11292" width="13" customWidth="1"/>
    <col min="11293" max="11305" width="12.7109375" customWidth="1"/>
    <col min="11307" max="11307" width="14" customWidth="1"/>
    <col min="11308" max="11308" width="13.140625" customWidth="1"/>
    <col min="11309" max="11309" width="13.7109375" customWidth="1"/>
    <col min="11310" max="11310" width="12.7109375" customWidth="1"/>
    <col min="11311" max="11311" width="13.42578125" customWidth="1"/>
    <col min="11519" max="11519" width="43.7109375" customWidth="1"/>
    <col min="11520" max="11522" width="0" hidden="1" customWidth="1"/>
    <col min="11523" max="11535" width="11.7109375" customWidth="1"/>
    <col min="11536" max="11536" width="13" bestFit="1" customWidth="1"/>
    <col min="11537" max="11548" width="13" customWidth="1"/>
    <col min="11549" max="11561" width="12.7109375" customWidth="1"/>
    <col min="11563" max="11563" width="14" customWidth="1"/>
    <col min="11564" max="11564" width="13.140625" customWidth="1"/>
    <col min="11565" max="11565" width="13.7109375" customWidth="1"/>
    <col min="11566" max="11566" width="12.7109375" customWidth="1"/>
    <col min="11567" max="11567" width="13.42578125" customWidth="1"/>
    <col min="11775" max="11775" width="43.7109375" customWidth="1"/>
    <col min="11776" max="11778" width="0" hidden="1" customWidth="1"/>
    <col min="11779" max="11791" width="11.7109375" customWidth="1"/>
    <col min="11792" max="11792" width="13" bestFit="1" customWidth="1"/>
    <col min="11793" max="11804" width="13" customWidth="1"/>
    <col min="11805" max="11817" width="12.7109375" customWidth="1"/>
    <col min="11819" max="11819" width="14" customWidth="1"/>
    <col min="11820" max="11820" width="13.140625" customWidth="1"/>
    <col min="11821" max="11821" width="13.7109375" customWidth="1"/>
    <col min="11822" max="11822" width="12.7109375" customWidth="1"/>
    <col min="11823" max="11823" width="13.42578125" customWidth="1"/>
    <col min="12031" max="12031" width="43.7109375" customWidth="1"/>
    <col min="12032" max="12034" width="0" hidden="1" customWidth="1"/>
    <col min="12035" max="12047" width="11.7109375" customWidth="1"/>
    <col min="12048" max="12048" width="13" bestFit="1" customWidth="1"/>
    <col min="12049" max="12060" width="13" customWidth="1"/>
    <col min="12061" max="12073" width="12.7109375" customWidth="1"/>
    <col min="12075" max="12075" width="14" customWidth="1"/>
    <col min="12076" max="12076" width="13.140625" customWidth="1"/>
    <col min="12077" max="12077" width="13.7109375" customWidth="1"/>
    <col min="12078" max="12078" width="12.7109375" customWidth="1"/>
    <col min="12079" max="12079" width="13.42578125" customWidth="1"/>
    <col min="12287" max="12287" width="43.7109375" customWidth="1"/>
    <col min="12288" max="12290" width="0" hidden="1" customWidth="1"/>
    <col min="12291" max="12303" width="11.7109375" customWidth="1"/>
    <col min="12304" max="12304" width="13" bestFit="1" customWidth="1"/>
    <col min="12305" max="12316" width="13" customWidth="1"/>
    <col min="12317" max="12329" width="12.7109375" customWidth="1"/>
    <col min="12331" max="12331" width="14" customWidth="1"/>
    <col min="12332" max="12332" width="13.140625" customWidth="1"/>
    <col min="12333" max="12333" width="13.7109375" customWidth="1"/>
    <col min="12334" max="12334" width="12.7109375" customWidth="1"/>
    <col min="12335" max="12335" width="13.42578125" customWidth="1"/>
    <col min="12543" max="12543" width="43.7109375" customWidth="1"/>
    <col min="12544" max="12546" width="0" hidden="1" customWidth="1"/>
    <col min="12547" max="12559" width="11.7109375" customWidth="1"/>
    <col min="12560" max="12560" width="13" bestFit="1" customWidth="1"/>
    <col min="12561" max="12572" width="13" customWidth="1"/>
    <col min="12573" max="12585" width="12.7109375" customWidth="1"/>
    <col min="12587" max="12587" width="14" customWidth="1"/>
    <col min="12588" max="12588" width="13.140625" customWidth="1"/>
    <col min="12589" max="12589" width="13.7109375" customWidth="1"/>
    <col min="12590" max="12590" width="12.7109375" customWidth="1"/>
    <col min="12591" max="12591" width="13.42578125" customWidth="1"/>
    <col min="12799" max="12799" width="43.7109375" customWidth="1"/>
    <col min="12800" max="12802" width="0" hidden="1" customWidth="1"/>
    <col min="12803" max="12815" width="11.7109375" customWidth="1"/>
    <col min="12816" max="12816" width="13" bestFit="1" customWidth="1"/>
    <col min="12817" max="12828" width="13" customWidth="1"/>
    <col min="12829" max="12841" width="12.7109375" customWidth="1"/>
    <col min="12843" max="12843" width="14" customWidth="1"/>
    <col min="12844" max="12844" width="13.140625" customWidth="1"/>
    <col min="12845" max="12845" width="13.7109375" customWidth="1"/>
    <col min="12846" max="12846" width="12.7109375" customWidth="1"/>
    <col min="12847" max="12847" width="13.42578125" customWidth="1"/>
    <col min="13055" max="13055" width="43.7109375" customWidth="1"/>
    <col min="13056" max="13058" width="0" hidden="1" customWidth="1"/>
    <col min="13059" max="13071" width="11.7109375" customWidth="1"/>
    <col min="13072" max="13072" width="13" bestFit="1" customWidth="1"/>
    <col min="13073" max="13084" width="13" customWidth="1"/>
    <col min="13085" max="13097" width="12.7109375" customWidth="1"/>
    <col min="13099" max="13099" width="14" customWidth="1"/>
    <col min="13100" max="13100" width="13.140625" customWidth="1"/>
    <col min="13101" max="13101" width="13.7109375" customWidth="1"/>
    <col min="13102" max="13102" width="12.7109375" customWidth="1"/>
    <col min="13103" max="13103" width="13.42578125" customWidth="1"/>
    <col min="13311" max="13311" width="43.7109375" customWidth="1"/>
    <col min="13312" max="13314" width="0" hidden="1" customWidth="1"/>
    <col min="13315" max="13327" width="11.7109375" customWidth="1"/>
    <col min="13328" max="13328" width="13" bestFit="1" customWidth="1"/>
    <col min="13329" max="13340" width="13" customWidth="1"/>
    <col min="13341" max="13353" width="12.7109375" customWidth="1"/>
    <col min="13355" max="13355" width="14" customWidth="1"/>
    <col min="13356" max="13356" width="13.140625" customWidth="1"/>
    <col min="13357" max="13357" width="13.7109375" customWidth="1"/>
    <col min="13358" max="13358" width="12.7109375" customWidth="1"/>
    <col min="13359" max="13359" width="13.42578125" customWidth="1"/>
    <col min="13567" max="13567" width="43.7109375" customWidth="1"/>
    <col min="13568" max="13570" width="0" hidden="1" customWidth="1"/>
    <col min="13571" max="13583" width="11.7109375" customWidth="1"/>
    <col min="13584" max="13584" width="13" bestFit="1" customWidth="1"/>
    <col min="13585" max="13596" width="13" customWidth="1"/>
    <col min="13597" max="13609" width="12.7109375" customWidth="1"/>
    <col min="13611" max="13611" width="14" customWidth="1"/>
    <col min="13612" max="13612" width="13.140625" customWidth="1"/>
    <col min="13613" max="13613" width="13.7109375" customWidth="1"/>
    <col min="13614" max="13614" width="12.7109375" customWidth="1"/>
    <col min="13615" max="13615" width="13.42578125" customWidth="1"/>
    <col min="13823" max="13823" width="43.7109375" customWidth="1"/>
    <col min="13824" max="13826" width="0" hidden="1" customWidth="1"/>
    <col min="13827" max="13839" width="11.7109375" customWidth="1"/>
    <col min="13840" max="13840" width="13" bestFit="1" customWidth="1"/>
    <col min="13841" max="13852" width="13" customWidth="1"/>
    <col min="13853" max="13865" width="12.7109375" customWidth="1"/>
    <col min="13867" max="13867" width="14" customWidth="1"/>
    <col min="13868" max="13868" width="13.140625" customWidth="1"/>
    <col min="13869" max="13869" width="13.7109375" customWidth="1"/>
    <col min="13870" max="13870" width="12.7109375" customWidth="1"/>
    <col min="13871" max="13871" width="13.42578125" customWidth="1"/>
    <col min="14079" max="14079" width="43.7109375" customWidth="1"/>
    <col min="14080" max="14082" width="0" hidden="1" customWidth="1"/>
    <col min="14083" max="14095" width="11.7109375" customWidth="1"/>
    <col min="14096" max="14096" width="13" bestFit="1" customWidth="1"/>
    <col min="14097" max="14108" width="13" customWidth="1"/>
    <col min="14109" max="14121" width="12.7109375" customWidth="1"/>
    <col min="14123" max="14123" width="14" customWidth="1"/>
    <col min="14124" max="14124" width="13.140625" customWidth="1"/>
    <col min="14125" max="14125" width="13.7109375" customWidth="1"/>
    <col min="14126" max="14126" width="12.7109375" customWidth="1"/>
    <col min="14127" max="14127" width="13.42578125" customWidth="1"/>
    <col min="14335" max="14335" width="43.7109375" customWidth="1"/>
    <col min="14336" max="14338" width="0" hidden="1" customWidth="1"/>
    <col min="14339" max="14351" width="11.7109375" customWidth="1"/>
    <col min="14352" max="14352" width="13" bestFit="1" customWidth="1"/>
    <col min="14353" max="14364" width="13" customWidth="1"/>
    <col min="14365" max="14377" width="12.7109375" customWidth="1"/>
    <col min="14379" max="14379" width="14" customWidth="1"/>
    <col min="14380" max="14380" width="13.140625" customWidth="1"/>
    <col min="14381" max="14381" width="13.7109375" customWidth="1"/>
    <col min="14382" max="14382" width="12.7109375" customWidth="1"/>
    <col min="14383" max="14383" width="13.42578125" customWidth="1"/>
    <col min="14591" max="14591" width="43.7109375" customWidth="1"/>
    <col min="14592" max="14594" width="0" hidden="1" customWidth="1"/>
    <col min="14595" max="14607" width="11.7109375" customWidth="1"/>
    <col min="14608" max="14608" width="13" bestFit="1" customWidth="1"/>
    <col min="14609" max="14620" width="13" customWidth="1"/>
    <col min="14621" max="14633" width="12.7109375" customWidth="1"/>
    <col min="14635" max="14635" width="14" customWidth="1"/>
    <col min="14636" max="14636" width="13.140625" customWidth="1"/>
    <col min="14637" max="14637" width="13.7109375" customWidth="1"/>
    <col min="14638" max="14638" width="12.7109375" customWidth="1"/>
    <col min="14639" max="14639" width="13.42578125" customWidth="1"/>
    <col min="14847" max="14847" width="43.7109375" customWidth="1"/>
    <col min="14848" max="14850" width="0" hidden="1" customWidth="1"/>
    <col min="14851" max="14863" width="11.7109375" customWidth="1"/>
    <col min="14864" max="14864" width="13" bestFit="1" customWidth="1"/>
    <col min="14865" max="14876" width="13" customWidth="1"/>
    <col min="14877" max="14889" width="12.7109375" customWidth="1"/>
    <col min="14891" max="14891" width="14" customWidth="1"/>
    <col min="14892" max="14892" width="13.140625" customWidth="1"/>
    <col min="14893" max="14893" width="13.7109375" customWidth="1"/>
    <col min="14894" max="14894" width="12.7109375" customWidth="1"/>
    <col min="14895" max="14895" width="13.42578125" customWidth="1"/>
    <col min="15103" max="15103" width="43.7109375" customWidth="1"/>
    <col min="15104" max="15106" width="0" hidden="1" customWidth="1"/>
    <col min="15107" max="15119" width="11.7109375" customWidth="1"/>
    <col min="15120" max="15120" width="13" bestFit="1" customWidth="1"/>
    <col min="15121" max="15132" width="13" customWidth="1"/>
    <col min="15133" max="15145" width="12.7109375" customWidth="1"/>
    <col min="15147" max="15147" width="14" customWidth="1"/>
    <col min="15148" max="15148" width="13.140625" customWidth="1"/>
    <col min="15149" max="15149" width="13.7109375" customWidth="1"/>
    <col min="15150" max="15150" width="12.7109375" customWidth="1"/>
    <col min="15151" max="15151" width="13.42578125" customWidth="1"/>
    <col min="15359" max="15359" width="43.7109375" customWidth="1"/>
    <col min="15360" max="15362" width="0" hidden="1" customWidth="1"/>
    <col min="15363" max="15375" width="11.7109375" customWidth="1"/>
    <col min="15376" max="15376" width="13" bestFit="1" customWidth="1"/>
    <col min="15377" max="15388" width="13" customWidth="1"/>
    <col min="15389" max="15401" width="12.7109375" customWidth="1"/>
    <col min="15403" max="15403" width="14" customWidth="1"/>
    <col min="15404" max="15404" width="13.140625" customWidth="1"/>
    <col min="15405" max="15405" width="13.7109375" customWidth="1"/>
    <col min="15406" max="15406" width="12.7109375" customWidth="1"/>
    <col min="15407" max="15407" width="13.42578125" customWidth="1"/>
    <col min="15615" max="15615" width="43.7109375" customWidth="1"/>
    <col min="15616" max="15618" width="0" hidden="1" customWidth="1"/>
    <col min="15619" max="15631" width="11.7109375" customWidth="1"/>
    <col min="15632" max="15632" width="13" bestFit="1" customWidth="1"/>
    <col min="15633" max="15644" width="13" customWidth="1"/>
    <col min="15645" max="15657" width="12.7109375" customWidth="1"/>
    <col min="15659" max="15659" width="14" customWidth="1"/>
    <col min="15660" max="15660" width="13.140625" customWidth="1"/>
    <col min="15661" max="15661" width="13.7109375" customWidth="1"/>
    <col min="15662" max="15662" width="12.7109375" customWidth="1"/>
    <col min="15663" max="15663" width="13.42578125" customWidth="1"/>
    <col min="15871" max="15871" width="43.7109375" customWidth="1"/>
    <col min="15872" max="15874" width="0" hidden="1" customWidth="1"/>
    <col min="15875" max="15887" width="11.7109375" customWidth="1"/>
    <col min="15888" max="15888" width="13" bestFit="1" customWidth="1"/>
    <col min="15889" max="15900" width="13" customWidth="1"/>
    <col min="15901" max="15913" width="12.7109375" customWidth="1"/>
    <col min="15915" max="15915" width="14" customWidth="1"/>
    <col min="15916" max="15916" width="13.140625" customWidth="1"/>
    <col min="15917" max="15917" width="13.7109375" customWidth="1"/>
    <col min="15918" max="15918" width="12.7109375" customWidth="1"/>
    <col min="15919" max="15919" width="13.42578125" customWidth="1"/>
    <col min="16127" max="16127" width="43.7109375" customWidth="1"/>
    <col min="16128" max="16130" width="0" hidden="1" customWidth="1"/>
    <col min="16131" max="16143" width="11.7109375" customWidth="1"/>
    <col min="16144" max="16144" width="13" bestFit="1" customWidth="1"/>
    <col min="16145" max="16156" width="13" customWidth="1"/>
    <col min="16157" max="16169" width="12.7109375" customWidth="1"/>
    <col min="16171" max="16171" width="14" customWidth="1"/>
    <col min="16172" max="16172" width="13.140625" customWidth="1"/>
    <col min="16173" max="16173" width="13.7109375" customWidth="1"/>
    <col min="16174" max="16174" width="12.7109375" customWidth="1"/>
    <col min="16175" max="16175" width="13.42578125" customWidth="1"/>
  </cols>
  <sheetData>
    <row r="1" spans="1:67" x14ac:dyDescent="0.25">
      <c r="A1" s="8" t="s">
        <v>1010</v>
      </c>
      <c r="B1" s="8" t="s">
        <v>1009</v>
      </c>
      <c r="C1" s="8" t="s">
        <v>1008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 t="s">
        <v>1007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 t="s">
        <v>1006</v>
      </c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BC1" t="s">
        <v>1004</v>
      </c>
    </row>
    <row r="2" spans="1:67" x14ac:dyDescent="0.25">
      <c r="A2" s="8"/>
      <c r="B2" s="8"/>
      <c r="C2" s="10" t="s">
        <v>1005</v>
      </c>
      <c r="D2" s="8" t="s">
        <v>1003</v>
      </c>
      <c r="E2" s="8" t="s">
        <v>1002</v>
      </c>
      <c r="F2" s="8" t="s">
        <v>1001</v>
      </c>
      <c r="G2" s="8" t="s">
        <v>1000</v>
      </c>
      <c r="H2" s="8" t="s">
        <v>999</v>
      </c>
      <c r="I2" s="8" t="s">
        <v>998</v>
      </c>
      <c r="J2" s="8" t="s">
        <v>997</v>
      </c>
      <c r="K2" s="8" t="s">
        <v>996</v>
      </c>
      <c r="L2" s="8" t="s">
        <v>995</v>
      </c>
      <c r="M2" s="8" t="s">
        <v>994</v>
      </c>
      <c r="N2" s="8" t="s">
        <v>993</v>
      </c>
      <c r="O2" s="8" t="s">
        <v>992</v>
      </c>
      <c r="P2" s="10">
        <v>0</v>
      </c>
      <c r="Q2" s="8" t="s">
        <v>1003</v>
      </c>
      <c r="R2" s="8" t="s">
        <v>1002</v>
      </c>
      <c r="S2" s="8" t="s">
        <v>1001</v>
      </c>
      <c r="T2" s="8" t="s">
        <v>1000</v>
      </c>
      <c r="U2" s="8" t="s">
        <v>999</v>
      </c>
      <c r="V2" s="8" t="s">
        <v>998</v>
      </c>
      <c r="W2" s="8" t="s">
        <v>997</v>
      </c>
      <c r="X2" s="8" t="s">
        <v>996</v>
      </c>
      <c r="Y2" s="8" t="s">
        <v>995</v>
      </c>
      <c r="Z2" s="8" t="s">
        <v>994</v>
      </c>
      <c r="AA2" s="8" t="s">
        <v>993</v>
      </c>
      <c r="AB2" s="8" t="s">
        <v>992</v>
      </c>
      <c r="AC2" s="10">
        <v>0</v>
      </c>
      <c r="AD2" s="8" t="s">
        <v>1003</v>
      </c>
      <c r="AE2" s="8" t="s">
        <v>1002</v>
      </c>
      <c r="AF2" s="8" t="s">
        <v>1001</v>
      </c>
      <c r="AG2" s="8" t="s">
        <v>1000</v>
      </c>
      <c r="AH2" s="8" t="s">
        <v>999</v>
      </c>
      <c r="AI2" s="8" t="s">
        <v>998</v>
      </c>
      <c r="AJ2" s="8" t="s">
        <v>997</v>
      </c>
      <c r="AK2" s="8" t="s">
        <v>996</v>
      </c>
      <c r="AL2" s="8" t="s">
        <v>995</v>
      </c>
      <c r="AM2" s="8" t="s">
        <v>994</v>
      </c>
      <c r="AN2" s="8" t="s">
        <v>993</v>
      </c>
      <c r="AO2" s="8" t="s">
        <v>992</v>
      </c>
      <c r="AP2" s="8" t="s">
        <v>1004</v>
      </c>
      <c r="AQ2" s="9" t="s">
        <v>1003</v>
      </c>
      <c r="AR2" s="8" t="s">
        <v>1002</v>
      </c>
      <c r="AS2" s="8" t="s">
        <v>1001</v>
      </c>
      <c r="AT2" s="8" t="s">
        <v>1000</v>
      </c>
      <c r="AU2" s="8" t="s">
        <v>999</v>
      </c>
      <c r="AV2" s="8" t="s">
        <v>998</v>
      </c>
      <c r="AW2" s="8" t="s">
        <v>997</v>
      </c>
      <c r="AX2" s="8" t="s">
        <v>996</v>
      </c>
      <c r="AY2" s="8" t="s">
        <v>995</v>
      </c>
      <c r="AZ2" s="8" t="s">
        <v>994</v>
      </c>
      <c r="BA2" s="8" t="s">
        <v>993</v>
      </c>
      <c r="BB2" s="8" t="s">
        <v>992</v>
      </c>
      <c r="BC2" s="8" t="s">
        <v>1003</v>
      </c>
      <c r="BD2" s="8" t="s">
        <v>1002</v>
      </c>
      <c r="BE2" s="8" t="s">
        <v>1001</v>
      </c>
      <c r="BF2" s="8" t="s">
        <v>1000</v>
      </c>
      <c r="BG2" s="8" t="s">
        <v>999</v>
      </c>
      <c r="BH2" s="8" t="s">
        <v>998</v>
      </c>
      <c r="BI2" s="8" t="s">
        <v>997</v>
      </c>
      <c r="BJ2" s="8" t="s">
        <v>996</v>
      </c>
      <c r="BK2" s="8" t="s">
        <v>995</v>
      </c>
      <c r="BL2" s="8" t="s">
        <v>994</v>
      </c>
      <c r="BM2" s="8" t="s">
        <v>993</v>
      </c>
      <c r="BN2" s="8" t="s">
        <v>992</v>
      </c>
    </row>
    <row r="3" spans="1:67" x14ac:dyDescent="0.25">
      <c r="A3" s="8">
        <v>25825</v>
      </c>
      <c r="B3" s="8" t="s">
        <v>991</v>
      </c>
      <c r="C3" s="5">
        <v>120000</v>
      </c>
      <c r="D3" s="5">
        <f>+$C3*BC3</f>
        <v>10701.78791384907</v>
      </c>
      <c r="E3" s="5">
        <f>+$C3*BD3</f>
        <v>12798.333460134238</v>
      </c>
      <c r="F3" s="5">
        <f>+$C3*BE3</f>
        <v>11326.618901825717</v>
      </c>
      <c r="G3" s="5">
        <f>+$C3*BF3</f>
        <v>8579.4779842260596</v>
      </c>
      <c r="H3" s="5">
        <f>+$C3*BG3</f>
        <v>12442.286172644115</v>
      </c>
      <c r="I3" s="5">
        <f>+$C3*BH3</f>
        <v>10196.439714305356</v>
      </c>
      <c r="J3" s="5">
        <f>+$C3*BI3</f>
        <v>10151.265465271525</v>
      </c>
      <c r="K3" s="5">
        <f>+$C3*BJ3</f>
        <v>6893.6526555335959</v>
      </c>
      <c r="L3" s="5">
        <f>+$C3*BK3</f>
        <v>10218.462281466896</v>
      </c>
      <c r="M3" s="5">
        <f>+$C3*BL3</f>
        <v>8898.9670695642217</v>
      </c>
      <c r="N3" s="5">
        <f>+$C3*BM3</f>
        <v>9086.1827030528602</v>
      </c>
      <c r="O3" s="5">
        <f>+$C3*BN3</f>
        <v>8874.6671238810741</v>
      </c>
      <c r="P3" s="5">
        <v>750000</v>
      </c>
      <c r="Q3" s="5">
        <f>+$P3*BC3</f>
        <v>66886.174461556686</v>
      </c>
      <c r="R3" s="5">
        <f>+$P3*BD3</f>
        <v>79989.584125838985</v>
      </c>
      <c r="S3" s="5">
        <f>+$P3*BE3</f>
        <v>70791.368136410732</v>
      </c>
      <c r="T3" s="5">
        <f>+$P3*BF3</f>
        <v>53621.737401412865</v>
      </c>
      <c r="U3" s="5">
        <f>+$P3*BG3</f>
        <v>77764.288579025728</v>
      </c>
      <c r="V3" s="5">
        <f>+$P3*BH3</f>
        <v>63727.748214408479</v>
      </c>
      <c r="W3" s="5">
        <f>+$P3*BI3</f>
        <v>63445.409157947026</v>
      </c>
      <c r="X3" s="5">
        <f>+$P3*BJ3</f>
        <v>43085.329097084978</v>
      </c>
      <c r="Y3" s="5">
        <f>+$P3*BK3</f>
        <v>63865.389259168107</v>
      </c>
      <c r="Z3" s="5">
        <f>+$P3*BL3</f>
        <v>55618.54418477638</v>
      </c>
      <c r="AA3" s="5">
        <f>+$P3*BM3</f>
        <v>56788.641894080378</v>
      </c>
      <c r="AB3" s="5">
        <f>+$P3*BN3</f>
        <v>55466.669524256715</v>
      </c>
      <c r="AC3" s="5">
        <v>100000</v>
      </c>
      <c r="AD3" s="5">
        <f>+$AC3*BC3</f>
        <v>8918.1565948742245</v>
      </c>
      <c r="AE3" s="5">
        <f>+$AC3*BD3</f>
        <v>10665.277883445198</v>
      </c>
      <c r="AF3" s="5">
        <f>+$AC3*BE3</f>
        <v>9438.8490848547644</v>
      </c>
      <c r="AG3" s="5">
        <f>+$AC3*BF3</f>
        <v>7149.564986855049</v>
      </c>
      <c r="AH3" s="5">
        <f>+$AC3*BG3</f>
        <v>10368.571810536763</v>
      </c>
      <c r="AI3" s="5">
        <f>+$AC3*BH3</f>
        <v>8497.0330952544646</v>
      </c>
      <c r="AJ3" s="5">
        <f>+$AC3*BI3</f>
        <v>8459.3878877262705</v>
      </c>
      <c r="AK3" s="5">
        <f>+$AC3*BJ3</f>
        <v>5744.7105462779964</v>
      </c>
      <c r="AL3" s="5">
        <f>+$AC3*BK3</f>
        <v>8515.385234555748</v>
      </c>
      <c r="AM3" s="5">
        <f>+$AC3*BL3</f>
        <v>7415.8058913035175</v>
      </c>
      <c r="AN3" s="5">
        <f>+$AC3*BM3</f>
        <v>7571.8189192107166</v>
      </c>
      <c r="AO3" s="5">
        <f>+$AC3*BN3</f>
        <v>7395.5559365675617</v>
      </c>
      <c r="AP3" s="5">
        <f>+AC3+P3+C3</f>
        <v>970000</v>
      </c>
      <c r="AQ3" s="1">
        <f>+AD3+Q3+D3</f>
        <v>86506.118970279975</v>
      </c>
      <c r="AR3" s="1">
        <f>+AE3+R3+E3</f>
        <v>103453.19546941842</v>
      </c>
      <c r="AS3" s="1">
        <f>+AF3+S3+F3</f>
        <v>91556.836123091212</v>
      </c>
      <c r="AT3" s="1">
        <f>+AG3+T3+G3</f>
        <v>69350.780372493973</v>
      </c>
      <c r="AU3" s="1">
        <f>+AH3+U3+H3</f>
        <v>100575.14656220662</v>
      </c>
      <c r="AV3" s="1">
        <f>+AI3+V3+I3</f>
        <v>82421.22102396829</v>
      </c>
      <c r="AW3" s="1">
        <f>+AJ3+W3+J3</f>
        <v>82056.06251094483</v>
      </c>
      <c r="AX3" s="1">
        <f>+AK3+X3+K3</f>
        <v>55723.692298896567</v>
      </c>
      <c r="AY3" s="1">
        <f>+AL3+Y3+L3</f>
        <v>82599.236775190759</v>
      </c>
      <c r="AZ3" s="1">
        <f>+AM3+Z3+M3</f>
        <v>71933.31714564412</v>
      </c>
      <c r="BA3" s="1">
        <f>+AN3+AA3+N3</f>
        <v>73446.64351634396</v>
      </c>
      <c r="BB3" s="1">
        <f>+AO3+AB3+O3</f>
        <v>71736.892584705347</v>
      </c>
      <c r="BC3" s="2">
        <v>8.9181565948742242E-2</v>
      </c>
      <c r="BD3" s="2">
        <v>0.10665277883445198</v>
      </c>
      <c r="BE3" s="2">
        <v>9.438849084854764E-2</v>
      </c>
      <c r="BF3" s="2">
        <v>7.149564986855049E-2</v>
      </c>
      <c r="BG3" s="2">
        <v>0.10368571810536763</v>
      </c>
      <c r="BH3" s="2">
        <v>8.4970330952544637E-2</v>
      </c>
      <c r="BI3" s="2">
        <v>8.4593878877262704E-2</v>
      </c>
      <c r="BJ3" s="2">
        <v>5.7447105462779965E-2</v>
      </c>
      <c r="BK3" s="2">
        <v>8.5153852345557474E-2</v>
      </c>
      <c r="BL3" s="2">
        <v>7.4158058913035174E-2</v>
      </c>
      <c r="BM3" s="2">
        <v>7.5718189192107169E-2</v>
      </c>
      <c r="BN3" s="2">
        <v>7.3955559365675619E-2</v>
      </c>
      <c r="BO3" s="4">
        <f>SUM(BC3:BN3)</f>
        <v>1.0014011787146229</v>
      </c>
    </row>
    <row r="4" spans="1:67" x14ac:dyDescent="0.25">
      <c r="A4" s="8">
        <v>2081</v>
      </c>
      <c r="B4" s="8" t="s">
        <v>990</v>
      </c>
      <c r="C4" s="5">
        <v>400000</v>
      </c>
      <c r="D4" s="5">
        <f>+$C4*BC4</f>
        <v>35672.626379496898</v>
      </c>
      <c r="E4" s="5">
        <f>+$C4*BD4</f>
        <v>42661.111533780793</v>
      </c>
      <c r="F4" s="5">
        <f>+$C4*BE4</f>
        <v>37755.396339419058</v>
      </c>
      <c r="G4" s="5">
        <f>+$C4*BF4</f>
        <v>28598.259947420196</v>
      </c>
      <c r="H4" s="5">
        <f>+$C4*BG4</f>
        <v>41474.287242147053</v>
      </c>
      <c r="I4" s="5">
        <f>+$C4*BH4</f>
        <v>33988.132381017858</v>
      </c>
      <c r="J4" s="5">
        <f>+$C4*BI4</f>
        <v>33837.551550905082</v>
      </c>
      <c r="K4" s="5">
        <f>+$C4*BJ4</f>
        <v>22978.842185111986</v>
      </c>
      <c r="L4" s="5">
        <f>+$C4*BK4</f>
        <v>34061.540938222992</v>
      </c>
      <c r="M4" s="5">
        <f>+$C4*BL4</f>
        <v>29663.22356521407</v>
      </c>
      <c r="N4" s="5">
        <f>+$C4*BM4</f>
        <v>30287.275676842866</v>
      </c>
      <c r="O4" s="5">
        <f>+$C4*BN4</f>
        <v>29582.223746270247</v>
      </c>
      <c r="P4" s="5">
        <v>2000</v>
      </c>
      <c r="Q4" s="5">
        <f>+$P4*BC4</f>
        <v>178.36313189748449</v>
      </c>
      <c r="R4" s="5">
        <f>+$P4*BD4</f>
        <v>213.30555766890396</v>
      </c>
      <c r="S4" s="5">
        <f>+$P4*BE4</f>
        <v>188.77698169709529</v>
      </c>
      <c r="T4" s="5">
        <f>+$P4*BF4</f>
        <v>142.99129973710097</v>
      </c>
      <c r="U4" s="5">
        <f>+$P4*BG4</f>
        <v>207.37143621073525</v>
      </c>
      <c r="V4" s="5">
        <f>+$P4*BH4</f>
        <v>169.94066190508929</v>
      </c>
      <c r="W4" s="5">
        <f>+$P4*BI4</f>
        <v>169.18775775452542</v>
      </c>
      <c r="X4" s="5">
        <f>+$P4*BJ4</f>
        <v>114.89421092555993</v>
      </c>
      <c r="Y4" s="5">
        <f>+$P4*BK4</f>
        <v>170.30770469111494</v>
      </c>
      <c r="Z4" s="5">
        <f>+$P4*BL4</f>
        <v>148.31611782607035</v>
      </c>
      <c r="AA4" s="5">
        <f>+$P4*BM4</f>
        <v>151.43637838421435</v>
      </c>
      <c r="AB4" s="5">
        <f>+$P4*BN4</f>
        <v>147.91111873135125</v>
      </c>
      <c r="AC4" s="5">
        <v>0</v>
      </c>
      <c r="AD4" s="5">
        <f>+$AC4*BC4</f>
        <v>0</v>
      </c>
      <c r="AE4" s="5">
        <f>+$AC4*BD4</f>
        <v>0</v>
      </c>
      <c r="AF4" s="5">
        <f>+$AC4*BE4</f>
        <v>0</v>
      </c>
      <c r="AG4" s="5">
        <f>+$AC4*BF4</f>
        <v>0</v>
      </c>
      <c r="AH4" s="5">
        <f>+$AC4*BG4</f>
        <v>0</v>
      </c>
      <c r="AI4" s="5">
        <f>+$AC4*BH4</f>
        <v>0</v>
      </c>
      <c r="AJ4" s="5">
        <f>+$AC4*BI4</f>
        <v>0</v>
      </c>
      <c r="AK4" s="5">
        <f>+$AC4*BJ4</f>
        <v>0</v>
      </c>
      <c r="AL4" s="5">
        <f>+$AC4*BK4</f>
        <v>0</v>
      </c>
      <c r="AM4" s="5">
        <f>+$AC4*BL4</f>
        <v>0</v>
      </c>
      <c r="AN4" s="5">
        <f>+$AC4*BM4</f>
        <v>0</v>
      </c>
      <c r="AO4" s="5">
        <f>+$AC4*BN4</f>
        <v>0</v>
      </c>
      <c r="AP4" s="5">
        <f>+AC4+P4+C4</f>
        <v>402000</v>
      </c>
      <c r="AQ4" s="1">
        <v>89181.565948742238</v>
      </c>
      <c r="AR4" s="1">
        <v>106652.77883445198</v>
      </c>
      <c r="AS4" s="1">
        <v>94388.490848547634</v>
      </c>
      <c r="AT4" s="1">
        <v>71495.649868550492</v>
      </c>
      <c r="AU4" s="1">
        <v>103685.71810536763</v>
      </c>
      <c r="AV4" s="1">
        <v>84970.330952544638</v>
      </c>
      <c r="AW4" s="1">
        <v>84593.878877262701</v>
      </c>
      <c r="AX4" s="1">
        <v>57447.105462779968</v>
      </c>
      <c r="AY4" s="1">
        <v>85153.852345557476</v>
      </c>
      <c r="AZ4" s="1">
        <v>74158.058913035173</v>
      </c>
      <c r="BA4" s="1">
        <v>75718.189192107166</v>
      </c>
      <c r="BB4" s="1">
        <v>73955.559365675625</v>
      </c>
      <c r="BC4" s="2">
        <v>8.9181565948742242E-2</v>
      </c>
      <c r="BD4" s="2">
        <v>0.10665277883445198</v>
      </c>
      <c r="BE4" s="2">
        <v>9.438849084854764E-2</v>
      </c>
      <c r="BF4" s="2">
        <v>7.149564986855049E-2</v>
      </c>
      <c r="BG4" s="2">
        <v>0.10368571810536763</v>
      </c>
      <c r="BH4" s="2">
        <v>8.4970330952544637E-2</v>
      </c>
      <c r="BI4" s="2">
        <v>8.4593878877262704E-2</v>
      </c>
      <c r="BJ4" s="2">
        <v>5.7447105462779965E-2</v>
      </c>
      <c r="BK4" s="2">
        <v>8.5153852345557474E-2</v>
      </c>
      <c r="BL4" s="2">
        <v>7.4158058913035174E-2</v>
      </c>
      <c r="BM4" s="2">
        <v>7.5718189192107169E-2</v>
      </c>
      <c r="BN4" s="2">
        <v>7.3955559365675619E-2</v>
      </c>
      <c r="BO4" s="2">
        <f>SUM(BC4:BN4)</f>
        <v>1.0014011787146229</v>
      </c>
    </row>
    <row r="5" spans="1:67" x14ac:dyDescent="0.25">
      <c r="A5" s="8">
        <v>31403</v>
      </c>
      <c r="B5" s="8" t="s">
        <v>989</v>
      </c>
      <c r="C5" s="5">
        <v>45000</v>
      </c>
      <c r="D5" s="5">
        <f>+$C5*BC5</f>
        <v>4013.170467693401</v>
      </c>
      <c r="E5" s="5">
        <f>+$C5*BD5</f>
        <v>4799.3750475503393</v>
      </c>
      <c r="F5" s="5">
        <f>+$C5*BE5</f>
        <v>4247.4820881846435</v>
      </c>
      <c r="G5" s="5">
        <f>+$C5*BF5</f>
        <v>3217.3042440847721</v>
      </c>
      <c r="H5" s="5">
        <f>+$C5*BG5</f>
        <v>4665.8573147415436</v>
      </c>
      <c r="I5" s="5">
        <f>+$C5*BH5</f>
        <v>3823.6648928645086</v>
      </c>
      <c r="J5" s="5">
        <f>+$C5*BI5</f>
        <v>3806.7245494768217</v>
      </c>
      <c r="K5" s="5">
        <f>+$C5*BJ5</f>
        <v>2585.1197458250986</v>
      </c>
      <c r="L5" s="5">
        <f>+$C5*BK5</f>
        <v>3831.9233555500864</v>
      </c>
      <c r="M5" s="5">
        <f>+$C5*BL5</f>
        <v>3337.1126510865829</v>
      </c>
      <c r="N5" s="5">
        <f>+$C5*BM5</f>
        <v>3407.3185136448228</v>
      </c>
      <c r="O5" s="5">
        <f>+$C5*BN5</f>
        <v>3328.0001714554028</v>
      </c>
      <c r="P5" s="5">
        <v>400000</v>
      </c>
      <c r="Q5" s="5">
        <f>+$P5*BC5</f>
        <v>35672.626379496898</v>
      </c>
      <c r="R5" s="5">
        <f>+$P5*BD5</f>
        <v>42661.111533780793</v>
      </c>
      <c r="S5" s="5">
        <f>+$P5*BE5</f>
        <v>37755.396339419058</v>
      </c>
      <c r="T5" s="5">
        <f>+$P5*BF5</f>
        <v>28598.259947420196</v>
      </c>
      <c r="U5" s="5">
        <f>+$P5*BG5</f>
        <v>41474.287242147053</v>
      </c>
      <c r="V5" s="5">
        <f>+$P5*BH5</f>
        <v>33988.132381017858</v>
      </c>
      <c r="W5" s="5">
        <f>+$P5*BI5</f>
        <v>33837.551550905082</v>
      </c>
      <c r="X5" s="5">
        <f>+$P5*BJ5</f>
        <v>22978.842185111986</v>
      </c>
      <c r="Y5" s="5">
        <f>+$P5*BK5</f>
        <v>34061.540938222992</v>
      </c>
      <c r="Z5" s="5">
        <f>+$P5*BL5</f>
        <v>29663.22356521407</v>
      </c>
      <c r="AA5" s="5">
        <f>+$P5*BM5</f>
        <v>30287.275676842866</v>
      </c>
      <c r="AB5" s="5">
        <f>+$P5*BN5</f>
        <v>29582.223746270247</v>
      </c>
      <c r="AC5" s="5">
        <v>0</v>
      </c>
      <c r="AD5" s="5">
        <f>+$AC5*BC5</f>
        <v>0</v>
      </c>
      <c r="AE5" s="5">
        <f>+$AC5*BD5</f>
        <v>0</v>
      </c>
      <c r="AF5" s="5">
        <f>+$AC5*BE5</f>
        <v>0</v>
      </c>
      <c r="AG5" s="5">
        <f>+$AC5*BF5</f>
        <v>0</v>
      </c>
      <c r="AH5" s="5">
        <f>+$AC5*BG5</f>
        <v>0</v>
      </c>
      <c r="AI5" s="5">
        <f>+$AC5*BH5</f>
        <v>0</v>
      </c>
      <c r="AJ5" s="5">
        <f>+$AC5*BI5</f>
        <v>0</v>
      </c>
      <c r="AK5" s="5">
        <f>+$AC5*BJ5</f>
        <v>0</v>
      </c>
      <c r="AL5" s="5">
        <f>+$AC5*BK5</f>
        <v>0</v>
      </c>
      <c r="AM5" s="5">
        <f>+$AC5*BL5</f>
        <v>0</v>
      </c>
      <c r="AN5" s="5">
        <f>+$AC5*BM5</f>
        <v>0</v>
      </c>
      <c r="AO5" s="5">
        <f>+$AC5*BN5</f>
        <v>0</v>
      </c>
      <c r="AP5" s="5">
        <f>+AC5+P5+C5</f>
        <v>445000</v>
      </c>
      <c r="AQ5" s="1">
        <v>40336.822278616113</v>
      </c>
      <c r="AR5" s="1">
        <v>48239.051866822629</v>
      </c>
      <c r="AS5" s="1">
        <v>42691.914410798097</v>
      </c>
      <c r="AT5" s="1">
        <v>32337.482435545386</v>
      </c>
      <c r="AU5" s="1">
        <v>46897.050299057781</v>
      </c>
      <c r="AV5" s="1">
        <v>38432.080689835937</v>
      </c>
      <c r="AW5" s="1">
        <v>38261.811416185919</v>
      </c>
      <c r="AX5" s="1">
        <v>25983.325800815379</v>
      </c>
      <c r="AY5" s="1">
        <v>38515.087415895643</v>
      </c>
      <c r="AZ5" s="1">
        <v>33541.690046365809</v>
      </c>
      <c r="BA5" s="1">
        <v>34247.33697159007</v>
      </c>
      <c r="BB5" s="1">
        <v>33450.099501095079</v>
      </c>
      <c r="BC5" s="2">
        <v>8.9181565948742242E-2</v>
      </c>
      <c r="BD5" s="2">
        <v>0.10665277883445198</v>
      </c>
      <c r="BE5" s="2">
        <v>9.438849084854764E-2</v>
      </c>
      <c r="BF5" s="2">
        <v>7.149564986855049E-2</v>
      </c>
      <c r="BG5" s="2">
        <v>0.10368571810536763</v>
      </c>
      <c r="BH5" s="2">
        <v>8.4970330952544637E-2</v>
      </c>
      <c r="BI5" s="2">
        <v>8.4593878877262704E-2</v>
      </c>
      <c r="BJ5" s="2">
        <v>5.7447105462779965E-2</v>
      </c>
      <c r="BK5" s="2">
        <v>8.5153852345557474E-2</v>
      </c>
      <c r="BL5" s="2">
        <v>7.4158058913035174E-2</v>
      </c>
      <c r="BM5" s="2">
        <v>7.5718189192107169E-2</v>
      </c>
      <c r="BN5" s="2">
        <v>7.3955559365675619E-2</v>
      </c>
      <c r="BO5" s="2">
        <f>SUM(BC5:BN5)</f>
        <v>1.0014011787146229</v>
      </c>
    </row>
    <row r="6" spans="1:67" x14ac:dyDescent="0.25">
      <c r="A6" s="8">
        <v>1422</v>
      </c>
      <c r="B6" s="8" t="s">
        <v>988</v>
      </c>
      <c r="C6" s="5">
        <v>350000</v>
      </c>
      <c r="D6" s="5">
        <f>+$C6*BC6</f>
        <v>31213.548082059784</v>
      </c>
      <c r="E6" s="5">
        <f>+$C6*BD6</f>
        <v>37328.472592058191</v>
      </c>
      <c r="F6" s="5">
        <f>+$C6*BE6</f>
        <v>33035.971796991675</v>
      </c>
      <c r="G6" s="5">
        <f>+$C6*BF6</f>
        <v>25023.477453992673</v>
      </c>
      <c r="H6" s="5">
        <f>+$C6*BG6</f>
        <v>36290.001336878668</v>
      </c>
      <c r="I6" s="5">
        <f>+$C6*BH6</f>
        <v>29739.615833390624</v>
      </c>
      <c r="J6" s="5">
        <f>+$C6*BI6</f>
        <v>29607.857607041948</v>
      </c>
      <c r="K6" s="5">
        <f>+$C6*BJ6</f>
        <v>20106.486911972988</v>
      </c>
      <c r="L6" s="5">
        <f>+$C6*BK6</f>
        <v>29803.848320945115</v>
      </c>
      <c r="M6" s="5">
        <f>+$C6*BL6</f>
        <v>25955.32061956231</v>
      </c>
      <c r="N6" s="5">
        <f>+$C6*BM6</f>
        <v>26501.366217237508</v>
      </c>
      <c r="O6" s="5">
        <f>+$C6*BN6</f>
        <v>25884.445777986468</v>
      </c>
      <c r="P6" s="5">
        <v>0</v>
      </c>
      <c r="Q6" s="5">
        <f>+$P6*BC6</f>
        <v>0</v>
      </c>
      <c r="R6" s="5">
        <f>+$P6*BD6</f>
        <v>0</v>
      </c>
      <c r="S6" s="5">
        <f>+$P6*BE6</f>
        <v>0</v>
      </c>
      <c r="T6" s="5">
        <f>+$P6*BF6</f>
        <v>0</v>
      </c>
      <c r="U6" s="5">
        <f>+$P6*BG6</f>
        <v>0</v>
      </c>
      <c r="V6" s="5">
        <f>+$P6*BH6</f>
        <v>0</v>
      </c>
      <c r="W6" s="5">
        <f>+$P6*BI6</f>
        <v>0</v>
      </c>
      <c r="X6" s="5">
        <f>+$P6*BJ6</f>
        <v>0</v>
      </c>
      <c r="Y6" s="5">
        <f>+$P6*BK6</f>
        <v>0</v>
      </c>
      <c r="Z6" s="5">
        <f>+$P6*BL6</f>
        <v>0</v>
      </c>
      <c r="AA6" s="5">
        <f>+$P6*BM6</f>
        <v>0</v>
      </c>
      <c r="AB6" s="5">
        <f>+$P6*BN6</f>
        <v>0</v>
      </c>
      <c r="AC6" s="5">
        <v>500</v>
      </c>
      <c r="AD6" s="5">
        <f>+$AC6*BC6</f>
        <v>44.590782974371123</v>
      </c>
      <c r="AE6" s="5">
        <f>+$AC6*BD6</f>
        <v>53.32638941722599</v>
      </c>
      <c r="AF6" s="5">
        <f>+$AC6*BE6</f>
        <v>47.194245424273824</v>
      </c>
      <c r="AG6" s="5">
        <f>+$AC6*BF6</f>
        <v>35.747824934275243</v>
      </c>
      <c r="AH6" s="5">
        <f>+$AC6*BG6</f>
        <v>51.842859052683814</v>
      </c>
      <c r="AI6" s="5">
        <f>+$AC6*BH6</f>
        <v>42.485165476272321</v>
      </c>
      <c r="AJ6" s="5">
        <f>+$AC6*BI6</f>
        <v>42.296939438631355</v>
      </c>
      <c r="AK6" s="5">
        <f>+$AC6*BJ6</f>
        <v>28.723552731389983</v>
      </c>
      <c r="AL6" s="5">
        <f>+$AC6*BK6</f>
        <v>42.576926172778734</v>
      </c>
      <c r="AM6" s="5">
        <f>+$AC6*BL6</f>
        <v>37.079029456517588</v>
      </c>
      <c r="AN6" s="5">
        <f>+$AC6*BM6</f>
        <v>37.859094596053588</v>
      </c>
      <c r="AO6" s="5">
        <f>+$AC6*BN6</f>
        <v>36.977779682837813</v>
      </c>
      <c r="AP6" s="5">
        <f>+AC6+P6+C6</f>
        <v>350500</v>
      </c>
      <c r="AQ6" s="1">
        <v>37902.165528215453</v>
      </c>
      <c r="AR6" s="1">
        <v>45327.431004642094</v>
      </c>
      <c r="AS6" s="1">
        <v>40115.108610632749</v>
      </c>
      <c r="AT6" s="1">
        <v>30385.65119413396</v>
      </c>
      <c r="AU6" s="1">
        <v>44066.430194781242</v>
      </c>
      <c r="AV6" s="1">
        <v>36112.39065483147</v>
      </c>
      <c r="AW6" s="1">
        <v>35952.398522836651</v>
      </c>
      <c r="AX6" s="1">
        <v>24415.019821681486</v>
      </c>
      <c r="AY6" s="1">
        <v>36190.387246861923</v>
      </c>
      <c r="AZ6" s="1">
        <v>31517.17503803995</v>
      </c>
      <c r="BA6" s="1">
        <v>32180.230406645547</v>
      </c>
      <c r="BB6" s="1">
        <v>31431.112730412136</v>
      </c>
      <c r="BC6" s="2">
        <v>8.9181565948742242E-2</v>
      </c>
      <c r="BD6" s="2">
        <v>0.10665277883445198</v>
      </c>
      <c r="BE6" s="2">
        <v>9.438849084854764E-2</v>
      </c>
      <c r="BF6" s="2">
        <v>7.149564986855049E-2</v>
      </c>
      <c r="BG6" s="2">
        <v>0.10368571810536763</v>
      </c>
      <c r="BH6" s="2">
        <v>8.4970330952544637E-2</v>
      </c>
      <c r="BI6" s="2">
        <v>8.4593878877262704E-2</v>
      </c>
      <c r="BJ6" s="2">
        <v>5.7447105462779965E-2</v>
      </c>
      <c r="BK6" s="2">
        <v>8.5153852345557474E-2</v>
      </c>
      <c r="BL6" s="2">
        <v>7.4158058913035174E-2</v>
      </c>
      <c r="BM6" s="2">
        <v>7.5718189192107169E-2</v>
      </c>
      <c r="BN6" s="2">
        <v>7.3955559365675619E-2</v>
      </c>
      <c r="BO6" s="2">
        <f>SUM(BC6:BN6)</f>
        <v>1.0014011787146229</v>
      </c>
    </row>
    <row r="7" spans="1:67" x14ac:dyDescent="0.25">
      <c r="A7" s="8">
        <v>1500</v>
      </c>
      <c r="B7" s="8" t="s">
        <v>987</v>
      </c>
      <c r="C7" s="5">
        <v>360000</v>
      </c>
      <c r="D7" s="5">
        <f>+$C7*BC7</f>
        <v>32105.363741547208</v>
      </c>
      <c r="E7" s="5">
        <f>+$C7*BD7</f>
        <v>38395.000380402715</v>
      </c>
      <c r="F7" s="5">
        <f>+$C7*BE7</f>
        <v>33979.856705477148</v>
      </c>
      <c r="G7" s="5">
        <f>+$C7*BF7</f>
        <v>25738.433952678177</v>
      </c>
      <c r="H7" s="5">
        <f>+$C7*BG7</f>
        <v>37326.858517932349</v>
      </c>
      <c r="I7" s="5">
        <f>+$C7*BH7</f>
        <v>30589.319142916069</v>
      </c>
      <c r="J7" s="5">
        <f>+$C7*BI7</f>
        <v>30453.796395814574</v>
      </c>
      <c r="K7" s="5">
        <f>+$C7*BJ7</f>
        <v>20680.957966600788</v>
      </c>
      <c r="L7" s="5">
        <f>+$C7*BK7</f>
        <v>30655.386844400691</v>
      </c>
      <c r="M7" s="5">
        <f>+$C7*BL7</f>
        <v>26696.901208692663</v>
      </c>
      <c r="N7" s="5">
        <f>+$C7*BM7</f>
        <v>27258.548109158583</v>
      </c>
      <c r="O7" s="5">
        <f>+$C7*BN7</f>
        <v>26624.001371643222</v>
      </c>
      <c r="P7" s="5">
        <v>1500</v>
      </c>
      <c r="Q7" s="5">
        <f>+$P7*BC7</f>
        <v>133.77234892311336</v>
      </c>
      <c r="R7" s="5">
        <f>+$P7*BD7</f>
        <v>159.97916825167798</v>
      </c>
      <c r="S7" s="5">
        <f>+$P7*BE7</f>
        <v>141.58273627282145</v>
      </c>
      <c r="T7" s="5">
        <f>+$P7*BF7</f>
        <v>107.24347480282573</v>
      </c>
      <c r="U7" s="5">
        <f>+$P7*BG7</f>
        <v>155.52857715805143</v>
      </c>
      <c r="V7" s="5">
        <f>+$P7*BH7</f>
        <v>127.45549642881696</v>
      </c>
      <c r="W7" s="5">
        <f>+$P7*BI7</f>
        <v>126.89081831589405</v>
      </c>
      <c r="X7" s="5">
        <f>+$P7*BJ7</f>
        <v>86.170658194169945</v>
      </c>
      <c r="Y7" s="5">
        <f>+$P7*BK7</f>
        <v>127.73077851833621</v>
      </c>
      <c r="Z7" s="5">
        <f>+$P7*BL7</f>
        <v>111.23708836955277</v>
      </c>
      <c r="AA7" s="5">
        <f>+$P7*BM7</f>
        <v>113.57728378816076</v>
      </c>
      <c r="AB7" s="5">
        <f>+$P7*BN7</f>
        <v>110.93333904851343</v>
      </c>
      <c r="AC7" s="5">
        <v>25000</v>
      </c>
      <c r="AD7" s="5">
        <f>+$AC7*BC7</f>
        <v>2229.5391487185561</v>
      </c>
      <c r="AE7" s="5">
        <f>+$AC7*BD7</f>
        <v>2666.3194708612996</v>
      </c>
      <c r="AF7" s="5">
        <f>+$AC7*BE7</f>
        <v>2359.7122712136911</v>
      </c>
      <c r="AG7" s="5">
        <f>+$AC7*BF7</f>
        <v>1787.3912467137623</v>
      </c>
      <c r="AH7" s="5">
        <f>+$AC7*BG7</f>
        <v>2592.1429526341908</v>
      </c>
      <c r="AI7" s="5">
        <f>+$AC7*BH7</f>
        <v>2124.2582738136161</v>
      </c>
      <c r="AJ7" s="5">
        <f>+$AC7*BI7</f>
        <v>2114.8469719315676</v>
      </c>
      <c r="AK7" s="5">
        <f>+$AC7*BJ7</f>
        <v>1436.1776365694991</v>
      </c>
      <c r="AL7" s="5">
        <f>+$AC7*BK7</f>
        <v>2128.846308638937</v>
      </c>
      <c r="AM7" s="5">
        <f>+$AC7*BL7</f>
        <v>1853.9514728258794</v>
      </c>
      <c r="AN7" s="5">
        <f>+$AC7*BM7</f>
        <v>1892.9547298026791</v>
      </c>
      <c r="AO7" s="5">
        <f>+$AC7*BN7</f>
        <v>1848.8889841418904</v>
      </c>
      <c r="AP7" s="5">
        <f>+AC7+P7+C7</f>
        <v>386500</v>
      </c>
      <c r="AQ7" s="1">
        <v>31303.337866288297</v>
      </c>
      <c r="AR7" s="1">
        <v>37435.852742844298</v>
      </c>
      <c r="AS7" s="1">
        <v>33131.004017347812</v>
      </c>
      <c r="AT7" s="1">
        <v>25095.460704193327</v>
      </c>
      <c r="AU7" s="1">
        <v>36394.394191581516</v>
      </c>
      <c r="AV7" s="1">
        <v>29825.165662000265</v>
      </c>
      <c r="AW7" s="1">
        <v>29693.028416173154</v>
      </c>
      <c r="AX7" s="1">
        <v>20164.325806695026</v>
      </c>
      <c r="AY7" s="1">
        <v>29889.58292256367</v>
      </c>
      <c r="AZ7" s="1">
        <v>26029.984436437135</v>
      </c>
      <c r="BA7" s="1">
        <v>26577.600804479905</v>
      </c>
      <c r="BB7" s="1">
        <v>25958.905714267017</v>
      </c>
      <c r="BC7" s="2">
        <v>8.9181565948742242E-2</v>
      </c>
      <c r="BD7" s="2">
        <v>0.10665277883445198</v>
      </c>
      <c r="BE7" s="2">
        <v>9.438849084854764E-2</v>
      </c>
      <c r="BF7" s="2">
        <v>7.149564986855049E-2</v>
      </c>
      <c r="BG7" s="2">
        <v>0.10368571810536763</v>
      </c>
      <c r="BH7" s="2">
        <v>8.4970330952544637E-2</v>
      </c>
      <c r="BI7" s="2">
        <v>8.4593878877262704E-2</v>
      </c>
      <c r="BJ7" s="2">
        <v>5.7447105462779965E-2</v>
      </c>
      <c r="BK7" s="2">
        <v>8.5153852345557474E-2</v>
      </c>
      <c r="BL7" s="2">
        <v>7.4158058913035174E-2</v>
      </c>
      <c r="BM7" s="2">
        <v>7.5718189192107169E-2</v>
      </c>
      <c r="BN7" s="2">
        <v>7.3955559365675619E-2</v>
      </c>
      <c r="BO7" s="2">
        <f>SUM(BC7:BN7)</f>
        <v>1.0014011787146229</v>
      </c>
    </row>
    <row r="8" spans="1:67" x14ac:dyDescent="0.25">
      <c r="A8" s="8">
        <v>2106</v>
      </c>
      <c r="B8" s="8" t="s">
        <v>986</v>
      </c>
      <c r="C8" s="5">
        <v>80000</v>
      </c>
      <c r="D8" s="5">
        <f>+$C8*BC8</f>
        <v>7134.5252758993793</v>
      </c>
      <c r="E8" s="5">
        <f>+$C8*BD8</f>
        <v>8532.222306756159</v>
      </c>
      <c r="F8" s="5">
        <f>+$C8*BE8</f>
        <v>7551.0792678838116</v>
      </c>
      <c r="G8" s="5">
        <f>+$C8*BF8</f>
        <v>5719.6519894840394</v>
      </c>
      <c r="H8" s="5">
        <f>+$C8*BG8</f>
        <v>8294.8574484294095</v>
      </c>
      <c r="I8" s="5">
        <f>+$C8*BH8</f>
        <v>6797.6264762035707</v>
      </c>
      <c r="J8" s="5">
        <f>+$C8*BI8</f>
        <v>6767.5103101810164</v>
      </c>
      <c r="K8" s="5">
        <f>+$C8*BJ8</f>
        <v>4595.7684370223969</v>
      </c>
      <c r="L8" s="5">
        <f>+$C8*BK8</f>
        <v>6812.3081876445976</v>
      </c>
      <c r="M8" s="5">
        <f>+$C8*BL8</f>
        <v>5932.6447130428141</v>
      </c>
      <c r="N8" s="5">
        <f>+$C8*BM8</f>
        <v>6057.4551353685738</v>
      </c>
      <c r="O8" s="5">
        <f>+$C8*BN8</f>
        <v>5916.4447492540494</v>
      </c>
      <c r="P8" s="5">
        <v>15000</v>
      </c>
      <c r="Q8" s="5">
        <f>+$P8*BC8</f>
        <v>1337.7234892311337</v>
      </c>
      <c r="R8" s="5">
        <f>+$P8*BD8</f>
        <v>1599.7916825167797</v>
      </c>
      <c r="S8" s="5">
        <f>+$P8*BE8</f>
        <v>1415.8273627282147</v>
      </c>
      <c r="T8" s="5">
        <f>+$P8*BF8</f>
        <v>1072.4347480282574</v>
      </c>
      <c r="U8" s="5">
        <f>+$P8*BG8</f>
        <v>1555.2857715805144</v>
      </c>
      <c r="V8" s="5">
        <f>+$P8*BH8</f>
        <v>1274.5549642881695</v>
      </c>
      <c r="W8" s="5">
        <f>+$P8*BI8</f>
        <v>1268.9081831589406</v>
      </c>
      <c r="X8" s="5">
        <f>+$P8*BJ8</f>
        <v>861.70658194169948</v>
      </c>
      <c r="Y8" s="5">
        <f>+$P8*BK8</f>
        <v>1277.3077851833621</v>
      </c>
      <c r="Z8" s="5">
        <f>+$P8*BL8</f>
        <v>1112.3708836955277</v>
      </c>
      <c r="AA8" s="5">
        <f>+$P8*BM8</f>
        <v>1135.7728378816075</v>
      </c>
      <c r="AB8" s="5">
        <f>+$P8*BN8</f>
        <v>1109.3333904851343</v>
      </c>
      <c r="AC8" s="5">
        <v>0</v>
      </c>
      <c r="AD8" s="5">
        <f>+$AC8*BC8</f>
        <v>0</v>
      </c>
      <c r="AE8" s="5">
        <f>+$AC8*BD8</f>
        <v>0</v>
      </c>
      <c r="AF8" s="5">
        <f>+$AC8*BE8</f>
        <v>0</v>
      </c>
      <c r="AG8" s="5">
        <f>+$AC8*BF8</f>
        <v>0</v>
      </c>
      <c r="AH8" s="5">
        <f>+$AC8*BG8</f>
        <v>0</v>
      </c>
      <c r="AI8" s="5">
        <f>+$AC8*BH8</f>
        <v>0</v>
      </c>
      <c r="AJ8" s="5">
        <f>+$AC8*BI8</f>
        <v>0</v>
      </c>
      <c r="AK8" s="5">
        <f>+$AC8*BJ8</f>
        <v>0</v>
      </c>
      <c r="AL8" s="5">
        <f>+$AC8*BK8</f>
        <v>0</v>
      </c>
      <c r="AM8" s="5">
        <f>+$AC8*BL8</f>
        <v>0</v>
      </c>
      <c r="AN8" s="5">
        <f>+$AC8*BM8</f>
        <v>0</v>
      </c>
      <c r="AO8" s="5">
        <f>+$AC8*BN8</f>
        <v>0</v>
      </c>
      <c r="AP8" s="5">
        <f>+AC8+P8+C8</f>
        <v>95000</v>
      </c>
      <c r="AQ8" s="1">
        <v>26930.911053773962</v>
      </c>
      <c r="AR8" s="1">
        <v>32206.840840620618</v>
      </c>
      <c r="AS8" s="1">
        <v>28503.290164283604</v>
      </c>
      <c r="AT8" s="1">
        <v>21590.145529047582</v>
      </c>
      <c r="AU8" s="1">
        <v>31310.852440595852</v>
      </c>
      <c r="AV8" s="1">
        <v>25659.208837036454</v>
      </c>
      <c r="AW8" s="1">
        <v>25545.528422843534</v>
      </c>
      <c r="AX8" s="1">
        <v>17347.787864636826</v>
      </c>
      <c r="AY8" s="1">
        <v>25714.628342840311</v>
      </c>
      <c r="AZ8" s="1">
        <v>22394.135685567049</v>
      </c>
      <c r="BA8" s="1">
        <v>22865.261409039274</v>
      </c>
      <c r="BB8" s="1">
        <v>22332.985186129707</v>
      </c>
      <c r="BC8" s="2">
        <v>8.9181565948742242E-2</v>
      </c>
      <c r="BD8" s="2">
        <v>0.10665277883445198</v>
      </c>
      <c r="BE8" s="2">
        <v>9.438849084854764E-2</v>
      </c>
      <c r="BF8" s="2">
        <v>7.149564986855049E-2</v>
      </c>
      <c r="BG8" s="2">
        <v>0.10368571810536763</v>
      </c>
      <c r="BH8" s="2">
        <v>8.4970330952544637E-2</v>
      </c>
      <c r="BI8" s="2">
        <v>8.4593878877262704E-2</v>
      </c>
      <c r="BJ8" s="2">
        <v>5.7447105462779965E-2</v>
      </c>
      <c r="BK8" s="2">
        <v>8.5153852345557474E-2</v>
      </c>
      <c r="BL8" s="2">
        <v>7.4158058913035174E-2</v>
      </c>
      <c r="BM8" s="2">
        <v>7.5718189192107169E-2</v>
      </c>
      <c r="BN8" s="2">
        <v>7.3955559365675619E-2</v>
      </c>
      <c r="BO8" s="2">
        <f>SUM(BC8:BN8)</f>
        <v>1.0014011787146229</v>
      </c>
    </row>
    <row r="9" spans="1:67" x14ac:dyDescent="0.25">
      <c r="A9" s="8">
        <v>22464</v>
      </c>
      <c r="B9" s="8" t="s">
        <v>985</v>
      </c>
      <c r="C9" s="5">
        <v>340150</v>
      </c>
      <c r="D9" s="5">
        <f>+$C9*BC9</f>
        <v>30335.109657464673</v>
      </c>
      <c r="E9" s="5">
        <f>+$C9*BD9</f>
        <v>36277.942720538842</v>
      </c>
      <c r="F9" s="5">
        <f>+$C9*BE9</f>
        <v>32106.24516213348</v>
      </c>
      <c r="G9" s="5">
        <f>+$C9*BF9</f>
        <v>24319.245302787451</v>
      </c>
      <c r="H9" s="5">
        <f>+$C9*BG9</f>
        <v>35268.697013540797</v>
      </c>
      <c r="I9" s="5">
        <f>+$C9*BH9</f>
        <v>28902.658073508057</v>
      </c>
      <c r="J9" s="5">
        <f>+$C9*BI9</f>
        <v>28774.607900100909</v>
      </c>
      <c r="K9" s="5">
        <f>+$C9*BJ9</f>
        <v>19540.632923164605</v>
      </c>
      <c r="L9" s="5">
        <f>+$C9*BK9</f>
        <v>28965.082875341373</v>
      </c>
      <c r="M9" s="5">
        <f>+$C9*BL9</f>
        <v>25224.863739268916</v>
      </c>
      <c r="N9" s="5">
        <f>+$C9*BM9</f>
        <v>25755.542053695255</v>
      </c>
      <c r="O9" s="5">
        <f>+$C9*BN9</f>
        <v>25155.983518234563</v>
      </c>
      <c r="P9" s="5">
        <v>5000</v>
      </c>
      <c r="Q9" s="5">
        <f>+$P9*BC9</f>
        <v>445.9078297437112</v>
      </c>
      <c r="R9" s="5">
        <f>+$P9*BD9</f>
        <v>533.26389417225994</v>
      </c>
      <c r="S9" s="5">
        <f>+$P9*BE9</f>
        <v>471.94245424273822</v>
      </c>
      <c r="T9" s="5">
        <f>+$P9*BF9</f>
        <v>357.47824934275246</v>
      </c>
      <c r="U9" s="5">
        <f>+$P9*BG9</f>
        <v>518.42859052683809</v>
      </c>
      <c r="V9" s="5">
        <f>+$P9*BH9</f>
        <v>424.85165476272317</v>
      </c>
      <c r="W9" s="5">
        <f>+$P9*BI9</f>
        <v>422.96939438631352</v>
      </c>
      <c r="X9" s="5">
        <f>+$P9*BJ9</f>
        <v>287.23552731389981</v>
      </c>
      <c r="Y9" s="5">
        <f>+$P9*BK9</f>
        <v>425.76926172778735</v>
      </c>
      <c r="Z9" s="5">
        <f>+$P9*BL9</f>
        <v>370.79029456517588</v>
      </c>
      <c r="AA9" s="5">
        <f>+$P9*BM9</f>
        <v>378.59094596053586</v>
      </c>
      <c r="AB9" s="5">
        <f>+$P9*BN9</f>
        <v>369.77779682837809</v>
      </c>
      <c r="AC9" s="5">
        <v>0</v>
      </c>
      <c r="AD9" s="5">
        <f>+$AC9*BC9</f>
        <v>0</v>
      </c>
      <c r="AE9" s="5">
        <f>+$AC9*BD9</f>
        <v>0</v>
      </c>
      <c r="AF9" s="5">
        <f>+$AC9*BE9</f>
        <v>0</v>
      </c>
      <c r="AG9" s="5">
        <f>+$AC9*BF9</f>
        <v>0</v>
      </c>
      <c r="AH9" s="5">
        <f>+$AC9*BG9</f>
        <v>0</v>
      </c>
      <c r="AI9" s="5">
        <f>+$AC9*BH9</f>
        <v>0</v>
      </c>
      <c r="AJ9" s="5">
        <f>+$AC9*BI9</f>
        <v>0</v>
      </c>
      <c r="AK9" s="5">
        <f>+$AC9*BJ9</f>
        <v>0</v>
      </c>
      <c r="AL9" s="5">
        <f>+$AC9*BK9</f>
        <v>0</v>
      </c>
      <c r="AM9" s="5">
        <f>+$AC9*BL9</f>
        <v>0</v>
      </c>
      <c r="AN9" s="5">
        <f>+$AC9*BM9</f>
        <v>0</v>
      </c>
      <c r="AO9" s="5">
        <f>+$AC9*BN9</f>
        <v>0</v>
      </c>
      <c r="AP9" s="5">
        <f>+AC9+P9+C9</f>
        <v>345150</v>
      </c>
      <c r="AQ9" s="1">
        <v>24792.475333750343</v>
      </c>
      <c r="AR9" s="1">
        <v>29649.47251597765</v>
      </c>
      <c r="AS9" s="1">
        <v>26240.000455896243</v>
      </c>
      <c r="AT9" s="1">
        <v>19875.790663457035</v>
      </c>
      <c r="AU9" s="1">
        <v>28824.629633292199</v>
      </c>
      <c r="AV9" s="1">
        <v>23621.752004807408</v>
      </c>
      <c r="AW9" s="1">
        <v>23517.098327879034</v>
      </c>
      <c r="AX9" s="1">
        <v>15970.29531865283</v>
      </c>
      <c r="AY9" s="1">
        <v>23672.770952064977</v>
      </c>
      <c r="AZ9" s="1">
        <v>20615.940377823779</v>
      </c>
      <c r="BA9" s="1">
        <v>21049.656595405791</v>
      </c>
      <c r="BB9" s="1">
        <v>20559.645503657823</v>
      </c>
      <c r="BC9" s="2">
        <v>8.9181565948742242E-2</v>
      </c>
      <c r="BD9" s="2">
        <v>0.10665277883445198</v>
      </c>
      <c r="BE9" s="2">
        <v>9.438849084854764E-2</v>
      </c>
      <c r="BF9" s="2">
        <v>7.149564986855049E-2</v>
      </c>
      <c r="BG9" s="2">
        <v>0.10368571810536763</v>
      </c>
      <c r="BH9" s="2">
        <v>8.4970330952544637E-2</v>
      </c>
      <c r="BI9" s="2">
        <v>8.4593878877262704E-2</v>
      </c>
      <c r="BJ9" s="2">
        <v>5.7447105462779965E-2</v>
      </c>
      <c r="BK9" s="2">
        <v>8.5153852345557474E-2</v>
      </c>
      <c r="BL9" s="2">
        <v>7.4158058913035174E-2</v>
      </c>
      <c r="BM9" s="2">
        <v>7.5718189192107169E-2</v>
      </c>
      <c r="BN9" s="2">
        <v>7.3955559365675619E-2</v>
      </c>
      <c r="BO9" s="2">
        <f>SUM(BC9:BN9)</f>
        <v>1.0014011787146229</v>
      </c>
    </row>
    <row r="10" spans="1:67" x14ac:dyDescent="0.25">
      <c r="A10" s="8">
        <v>22467</v>
      </c>
      <c r="B10" s="8" t="s">
        <v>984</v>
      </c>
      <c r="C10" s="5">
        <v>1300000</v>
      </c>
      <c r="D10" s="5">
        <f>+$C10*BC10</f>
        <v>115936.03573336492</v>
      </c>
      <c r="E10" s="5">
        <f>+$C10*BD10</f>
        <v>138648.61248478759</v>
      </c>
      <c r="F10" s="5">
        <f>+$C10*BE10</f>
        <v>122705.03810311193</v>
      </c>
      <c r="G10" s="5">
        <f>+$C10*BF10</f>
        <v>92944.344829115638</v>
      </c>
      <c r="H10" s="5">
        <f>+$C10*BG10</f>
        <v>134791.43353697791</v>
      </c>
      <c r="I10" s="5">
        <f>+$C10*BH10</f>
        <v>110461.43023830802</v>
      </c>
      <c r="J10" s="5">
        <f>+$C10*BI10</f>
        <v>109972.04254044151</v>
      </c>
      <c r="K10" s="5">
        <f>+$C10*BJ10</f>
        <v>74681.237101613951</v>
      </c>
      <c r="L10" s="5">
        <f>+$C10*BK10</f>
        <v>110700.00804922472</v>
      </c>
      <c r="M10" s="5">
        <f>+$C10*BL10</f>
        <v>96405.476586945733</v>
      </c>
      <c r="N10" s="5">
        <f>+$C10*BM10</f>
        <v>98433.645949739323</v>
      </c>
      <c r="O10" s="5">
        <f>+$C10*BN10</f>
        <v>96142.227175378299</v>
      </c>
      <c r="P10" s="5">
        <v>0</v>
      </c>
      <c r="Q10" s="5">
        <f>+$P10*BC10</f>
        <v>0</v>
      </c>
      <c r="R10" s="5">
        <f>+$P10*BD10</f>
        <v>0</v>
      </c>
      <c r="S10" s="5">
        <f>+$P10*BE10</f>
        <v>0</v>
      </c>
      <c r="T10" s="5">
        <f>+$P10*BF10</f>
        <v>0</v>
      </c>
      <c r="U10" s="5">
        <f>+$P10*BG10</f>
        <v>0</v>
      </c>
      <c r="V10" s="5">
        <f>+$P10*BH10</f>
        <v>0</v>
      </c>
      <c r="W10" s="5">
        <f>+$P10*BI10</f>
        <v>0</v>
      </c>
      <c r="X10" s="5">
        <f>+$P10*BJ10</f>
        <v>0</v>
      </c>
      <c r="Y10" s="5">
        <f>+$P10*BK10</f>
        <v>0</v>
      </c>
      <c r="Z10" s="5">
        <f>+$P10*BL10</f>
        <v>0</v>
      </c>
      <c r="AA10" s="5">
        <f>+$P10*BM10</f>
        <v>0</v>
      </c>
      <c r="AB10" s="5">
        <f>+$P10*BN10</f>
        <v>0</v>
      </c>
      <c r="AC10" s="5">
        <v>30000</v>
      </c>
      <c r="AD10" s="5">
        <f>+$AC10*BC10</f>
        <v>2675.4469784622675</v>
      </c>
      <c r="AE10" s="5">
        <f>+$AC10*BD10</f>
        <v>3199.5833650335594</v>
      </c>
      <c r="AF10" s="5">
        <f>+$AC10*BE10</f>
        <v>2831.6547254564293</v>
      </c>
      <c r="AG10" s="5">
        <f>+$AC10*BF10</f>
        <v>2144.8694960565149</v>
      </c>
      <c r="AH10" s="5">
        <f>+$AC10*BG10</f>
        <v>3110.5715431610288</v>
      </c>
      <c r="AI10" s="5">
        <f>+$AC10*BH10</f>
        <v>2549.1099285763389</v>
      </c>
      <c r="AJ10" s="5">
        <f>+$AC10*BI10</f>
        <v>2537.8163663178811</v>
      </c>
      <c r="AK10" s="5">
        <f>+$AC10*BJ10</f>
        <v>1723.413163883399</v>
      </c>
      <c r="AL10" s="5">
        <f>+$AC10*BK10</f>
        <v>2554.6155703667241</v>
      </c>
      <c r="AM10" s="5">
        <f>+$AC10*BL10</f>
        <v>2224.7417673910554</v>
      </c>
      <c r="AN10" s="5">
        <f>+$AC10*BM10</f>
        <v>2271.5456757632151</v>
      </c>
      <c r="AO10" s="5">
        <f>+$AC10*BN10</f>
        <v>2218.6667809702685</v>
      </c>
      <c r="AP10" s="5">
        <f>+AC10+P10+C10</f>
        <v>1330000</v>
      </c>
      <c r="AQ10" s="1">
        <v>22296.744282359436</v>
      </c>
      <c r="AR10" s="1">
        <v>26664.812524615136</v>
      </c>
      <c r="AS10" s="1">
        <v>23598.554491154591</v>
      </c>
      <c r="AT10" s="1">
        <v>17874.996984650479</v>
      </c>
      <c r="AU10" s="1">
        <v>25923.002334999848</v>
      </c>
      <c r="AV10" s="1">
        <v>21243.871653086379</v>
      </c>
      <c r="AW10" s="1">
        <v>21149.752923864366</v>
      </c>
      <c r="AX10" s="1">
        <v>14362.647780837757</v>
      </c>
      <c r="AY10" s="1">
        <v>21289.754785175599</v>
      </c>
      <c r="AZ10" s="1">
        <v>18540.639631854447</v>
      </c>
      <c r="BA10" s="1">
        <v>18930.695867238646</v>
      </c>
      <c r="BB10" s="1">
        <v>18490.011673298923</v>
      </c>
      <c r="BC10" s="2">
        <v>8.9181565948742242E-2</v>
      </c>
      <c r="BD10" s="2">
        <v>0.10665277883445198</v>
      </c>
      <c r="BE10" s="2">
        <v>9.438849084854764E-2</v>
      </c>
      <c r="BF10" s="2">
        <v>7.149564986855049E-2</v>
      </c>
      <c r="BG10" s="2">
        <v>0.10368571810536763</v>
      </c>
      <c r="BH10" s="2">
        <v>8.4970330952544637E-2</v>
      </c>
      <c r="BI10" s="2">
        <v>8.4593878877262704E-2</v>
      </c>
      <c r="BJ10" s="2">
        <v>5.7447105462779965E-2</v>
      </c>
      <c r="BK10" s="2">
        <v>8.5153852345557474E-2</v>
      </c>
      <c r="BL10" s="2">
        <v>7.4158058913035174E-2</v>
      </c>
      <c r="BM10" s="2">
        <v>7.5718189192107169E-2</v>
      </c>
      <c r="BN10" s="2">
        <v>7.3955559365675619E-2</v>
      </c>
      <c r="BO10" s="2">
        <f>SUM(BC10:BN10)</f>
        <v>1.0014011787146229</v>
      </c>
    </row>
    <row r="11" spans="1:67" x14ac:dyDescent="0.25">
      <c r="A11" s="8">
        <v>1118</v>
      </c>
      <c r="B11" s="8" t="s">
        <v>983</v>
      </c>
      <c r="C11" s="5">
        <v>250000</v>
      </c>
      <c r="D11" s="5">
        <f>+$C11*BC11</f>
        <v>22295.39148718556</v>
      </c>
      <c r="E11" s="5">
        <f>+$C11*BD11</f>
        <v>26663.194708612995</v>
      </c>
      <c r="F11" s="5">
        <f>+$C11*BE11</f>
        <v>23597.122712136908</v>
      </c>
      <c r="G11" s="5">
        <f>+$C11*BF11</f>
        <v>17873.912467137623</v>
      </c>
      <c r="H11" s="5">
        <f>+$C11*BG11</f>
        <v>25921.429526341908</v>
      </c>
      <c r="I11" s="5">
        <f>+$C11*BH11</f>
        <v>21242.58273813616</v>
      </c>
      <c r="J11" s="5">
        <f>+$C11*BI11</f>
        <v>21148.469719315675</v>
      </c>
      <c r="K11" s="5">
        <f>+$C11*BJ11</f>
        <v>14361.776365694992</v>
      </c>
      <c r="L11" s="5">
        <f>+$C11*BK11</f>
        <v>21288.463086389369</v>
      </c>
      <c r="M11" s="5">
        <f>+$C11*BL11</f>
        <v>18539.514728258793</v>
      </c>
      <c r="N11" s="5">
        <f>+$C11*BM11</f>
        <v>18929.547298026791</v>
      </c>
      <c r="O11" s="5">
        <f>+$C11*BN11</f>
        <v>18488.889841418906</v>
      </c>
      <c r="P11" s="5">
        <v>60000</v>
      </c>
      <c r="Q11" s="5">
        <f>+$P11*BC11</f>
        <v>5350.8939569245349</v>
      </c>
      <c r="R11" s="5">
        <f>+$P11*BD11</f>
        <v>6399.1667300671188</v>
      </c>
      <c r="S11" s="5">
        <f>+$P11*BE11</f>
        <v>5663.3094509128587</v>
      </c>
      <c r="T11" s="5">
        <f>+$P11*BF11</f>
        <v>4289.7389921130298</v>
      </c>
      <c r="U11" s="5">
        <f>+$P11*BG11</f>
        <v>6221.1430863220576</v>
      </c>
      <c r="V11" s="5">
        <f>+$P11*BH11</f>
        <v>5098.2198571526778</v>
      </c>
      <c r="W11" s="5">
        <f>+$P11*BI11</f>
        <v>5075.6327326357623</v>
      </c>
      <c r="X11" s="5">
        <f>+$P11*BJ11</f>
        <v>3446.8263277667979</v>
      </c>
      <c r="Y11" s="5">
        <f>+$P11*BK11</f>
        <v>5109.2311407334482</v>
      </c>
      <c r="Z11" s="5">
        <f>+$P11*BL11</f>
        <v>4449.4835347821108</v>
      </c>
      <c r="AA11" s="5">
        <f>+$P11*BM11</f>
        <v>4543.0913515264301</v>
      </c>
      <c r="AB11" s="5">
        <f>+$P11*BN11</f>
        <v>4437.333561940537</v>
      </c>
      <c r="AC11" s="5">
        <v>0</v>
      </c>
      <c r="AD11" s="5">
        <f>+$AC11*BC11</f>
        <v>0</v>
      </c>
      <c r="AE11" s="5">
        <f>+$AC11*BD11</f>
        <v>0</v>
      </c>
      <c r="AF11" s="5">
        <f>+$AC11*BE11</f>
        <v>0</v>
      </c>
      <c r="AG11" s="5">
        <f>+$AC11*BF11</f>
        <v>0</v>
      </c>
      <c r="AH11" s="5">
        <f>+$AC11*BG11</f>
        <v>0</v>
      </c>
      <c r="AI11" s="5">
        <f>+$AC11*BH11</f>
        <v>0</v>
      </c>
      <c r="AJ11" s="5">
        <f>+$AC11*BI11</f>
        <v>0</v>
      </c>
      <c r="AK11" s="5">
        <f>+$AC11*BJ11</f>
        <v>0</v>
      </c>
      <c r="AL11" s="5">
        <f>+$AC11*BK11</f>
        <v>0</v>
      </c>
      <c r="AM11" s="5">
        <f>+$AC11*BL11</f>
        <v>0</v>
      </c>
      <c r="AN11" s="5">
        <f>+$AC11*BM11</f>
        <v>0</v>
      </c>
      <c r="AO11" s="5">
        <f>+$AC11*BN11</f>
        <v>0</v>
      </c>
      <c r="AP11" s="5">
        <f>+AC11+P11+C11</f>
        <v>310000</v>
      </c>
      <c r="AQ11" s="1">
        <v>22295.39148718556</v>
      </c>
      <c r="AR11" s="1">
        <v>26663.194708612995</v>
      </c>
      <c r="AS11" s="1">
        <v>23597.122712136908</v>
      </c>
      <c r="AT11" s="1">
        <v>17873.912467137623</v>
      </c>
      <c r="AU11" s="1">
        <v>25921.429526341908</v>
      </c>
      <c r="AV11" s="1">
        <v>21242.58273813616</v>
      </c>
      <c r="AW11" s="1">
        <v>21148.469719315675</v>
      </c>
      <c r="AX11" s="1">
        <v>14361.776365694992</v>
      </c>
      <c r="AY11" s="1">
        <v>21288.463086389369</v>
      </c>
      <c r="AZ11" s="1">
        <v>18539.514728258793</v>
      </c>
      <c r="BA11" s="1">
        <v>18929.547298026791</v>
      </c>
      <c r="BB11" s="1">
        <v>18488.889841418906</v>
      </c>
      <c r="BC11" s="2">
        <v>8.9181565948742242E-2</v>
      </c>
      <c r="BD11" s="2">
        <v>0.10665277883445198</v>
      </c>
      <c r="BE11" s="2">
        <v>9.438849084854764E-2</v>
      </c>
      <c r="BF11" s="2">
        <v>7.149564986855049E-2</v>
      </c>
      <c r="BG11" s="2">
        <v>0.10368571810536763</v>
      </c>
      <c r="BH11" s="2">
        <v>8.4970330952544637E-2</v>
      </c>
      <c r="BI11" s="2">
        <v>8.4593878877262704E-2</v>
      </c>
      <c r="BJ11" s="2">
        <v>5.7447105462779965E-2</v>
      </c>
      <c r="BK11" s="2">
        <v>8.5153852345557474E-2</v>
      </c>
      <c r="BL11" s="2">
        <v>7.4158058913035174E-2</v>
      </c>
      <c r="BM11" s="2">
        <v>7.5718189192107169E-2</v>
      </c>
      <c r="BN11" s="2">
        <v>7.3955559365675619E-2</v>
      </c>
      <c r="BO11" s="2">
        <f>SUM(BC11:BN11)</f>
        <v>1.0014011787146229</v>
      </c>
    </row>
    <row r="12" spans="1:67" x14ac:dyDescent="0.25">
      <c r="A12" s="8">
        <v>2445</v>
      </c>
      <c r="B12" s="8" t="s">
        <v>982</v>
      </c>
      <c r="C12" s="5">
        <v>180000</v>
      </c>
      <c r="D12" s="5">
        <f>+$C12*BC12</f>
        <v>16052.681870773604</v>
      </c>
      <c r="E12" s="5">
        <f>+$C12*BD12</f>
        <v>19197.500190201357</v>
      </c>
      <c r="F12" s="5">
        <f>+$C12*BE12</f>
        <v>16989.928352738574</v>
      </c>
      <c r="G12" s="5">
        <f>+$C12*BF12</f>
        <v>12869.216976339088</v>
      </c>
      <c r="H12" s="5">
        <f>+$C12*BG12</f>
        <v>18663.429258966175</v>
      </c>
      <c r="I12" s="5">
        <f>+$C12*BH12</f>
        <v>15294.659571458034</v>
      </c>
      <c r="J12" s="5">
        <f>+$C12*BI12</f>
        <v>15226.898197907287</v>
      </c>
      <c r="K12" s="5">
        <f>+$C12*BJ12</f>
        <v>10340.478983300394</v>
      </c>
      <c r="L12" s="5">
        <f>+$C12*BK12</f>
        <v>15327.693422200346</v>
      </c>
      <c r="M12" s="5">
        <f>+$C12*BL12</f>
        <v>13348.450604346332</v>
      </c>
      <c r="N12" s="5">
        <f>+$C12*BM12</f>
        <v>13629.274054579291</v>
      </c>
      <c r="O12" s="5">
        <f>+$C12*BN12</f>
        <v>13312.000685821611</v>
      </c>
      <c r="P12" s="5">
        <v>2000</v>
      </c>
      <c r="Q12" s="5">
        <f>+$P12*BC12</f>
        <v>178.36313189748449</v>
      </c>
      <c r="R12" s="5">
        <f>+$P12*BD12</f>
        <v>213.30555766890396</v>
      </c>
      <c r="S12" s="5">
        <f>+$P12*BE12</f>
        <v>188.77698169709529</v>
      </c>
      <c r="T12" s="5">
        <f>+$P12*BF12</f>
        <v>142.99129973710097</v>
      </c>
      <c r="U12" s="5">
        <f>+$P12*BG12</f>
        <v>207.37143621073525</v>
      </c>
      <c r="V12" s="5">
        <f>+$P12*BH12</f>
        <v>169.94066190508929</v>
      </c>
      <c r="W12" s="5">
        <f>+$P12*BI12</f>
        <v>169.18775775452542</v>
      </c>
      <c r="X12" s="5">
        <f>+$P12*BJ12</f>
        <v>114.89421092555993</v>
      </c>
      <c r="Y12" s="5">
        <f>+$P12*BK12</f>
        <v>170.30770469111494</v>
      </c>
      <c r="Z12" s="5">
        <f>+$P12*BL12</f>
        <v>148.31611782607035</v>
      </c>
      <c r="AA12" s="5">
        <f>+$P12*BM12</f>
        <v>151.43637838421435</v>
      </c>
      <c r="AB12" s="5">
        <f>+$P12*BN12</f>
        <v>147.91111873135125</v>
      </c>
      <c r="AC12" s="5">
        <v>0</v>
      </c>
      <c r="AD12" s="5">
        <f>+$AC12*BC12</f>
        <v>0</v>
      </c>
      <c r="AE12" s="5">
        <f>+$AC12*BD12</f>
        <v>0</v>
      </c>
      <c r="AF12" s="5">
        <f>+$AC12*BE12</f>
        <v>0</v>
      </c>
      <c r="AG12" s="5">
        <f>+$AC12*BF12</f>
        <v>0</v>
      </c>
      <c r="AH12" s="5">
        <f>+$AC12*BG12</f>
        <v>0</v>
      </c>
      <c r="AI12" s="5">
        <f>+$AC12*BH12</f>
        <v>0</v>
      </c>
      <c r="AJ12" s="5">
        <f>+$AC12*BI12</f>
        <v>0</v>
      </c>
      <c r="AK12" s="5">
        <f>+$AC12*BJ12</f>
        <v>0</v>
      </c>
      <c r="AL12" s="5">
        <f>+$AC12*BK12</f>
        <v>0</v>
      </c>
      <c r="AM12" s="5">
        <f>+$AC12*BL12</f>
        <v>0</v>
      </c>
      <c r="AN12" s="5">
        <f>+$AC12*BM12</f>
        <v>0</v>
      </c>
      <c r="AO12" s="5">
        <f>+$AC12*BN12</f>
        <v>0</v>
      </c>
      <c r="AP12" s="5">
        <f>+AC12+P12+C12</f>
        <v>182000</v>
      </c>
      <c r="AQ12" s="1">
        <v>19129.445896005211</v>
      </c>
      <c r="AR12" s="1">
        <v>22877.021059989951</v>
      </c>
      <c r="AS12" s="1">
        <v>20246.331287013469</v>
      </c>
      <c r="AT12" s="1">
        <v>15335.816896804081</v>
      </c>
      <c r="AU12" s="1">
        <v>22240.586533601356</v>
      </c>
      <c r="AV12" s="1">
        <v>18226.135989320825</v>
      </c>
      <c r="AW12" s="1">
        <v>18145.387019172849</v>
      </c>
      <c r="AX12" s="1">
        <v>12322.404121766303</v>
      </c>
      <c r="AY12" s="1">
        <v>18265.501328122078</v>
      </c>
      <c r="AZ12" s="1">
        <v>15906.903636846046</v>
      </c>
      <c r="BA12" s="1">
        <v>16241.551581706988</v>
      </c>
      <c r="BB12" s="1">
        <v>15863.46748393742</v>
      </c>
      <c r="BC12" s="2">
        <v>8.9181565948742242E-2</v>
      </c>
      <c r="BD12" s="2">
        <v>0.10665277883445198</v>
      </c>
      <c r="BE12" s="2">
        <v>9.438849084854764E-2</v>
      </c>
      <c r="BF12" s="2">
        <v>7.149564986855049E-2</v>
      </c>
      <c r="BG12" s="2">
        <v>0.10368571810536763</v>
      </c>
      <c r="BH12" s="2">
        <v>8.4970330952544637E-2</v>
      </c>
      <c r="BI12" s="2">
        <v>8.4593878877262704E-2</v>
      </c>
      <c r="BJ12" s="2">
        <v>5.7447105462779965E-2</v>
      </c>
      <c r="BK12" s="2">
        <v>8.5153852345557474E-2</v>
      </c>
      <c r="BL12" s="2">
        <v>7.4158058913035174E-2</v>
      </c>
      <c r="BM12" s="2">
        <v>7.5718189192107169E-2</v>
      </c>
      <c r="BN12" s="2">
        <v>7.3955559365675619E-2</v>
      </c>
      <c r="BO12" s="2">
        <f>SUM(BC12:BN12)</f>
        <v>1.0014011787146229</v>
      </c>
    </row>
    <row r="13" spans="1:67" x14ac:dyDescent="0.25">
      <c r="A13" s="8">
        <v>29506</v>
      </c>
      <c r="B13" s="8" t="s">
        <v>981</v>
      </c>
      <c r="C13" s="5">
        <v>38.940000000000005</v>
      </c>
      <c r="D13" s="5">
        <f>+$C13*BC13</f>
        <v>3.4727301780440234</v>
      </c>
      <c r="E13" s="5">
        <f>+$C13*BD13</f>
        <v>4.1530592078135609</v>
      </c>
      <c r="F13" s="5">
        <f>+$C13*BE13</f>
        <v>3.6754878336424457</v>
      </c>
      <c r="G13" s="5">
        <f>+$C13*BF13</f>
        <v>2.7840406058813563</v>
      </c>
      <c r="H13" s="5">
        <f>+$C13*BG13</f>
        <v>4.0375218630230156</v>
      </c>
      <c r="I13" s="5">
        <f>+$C13*BH13</f>
        <v>3.3087446872920885</v>
      </c>
      <c r="J13" s="5">
        <f>+$C13*BI13</f>
        <v>3.2940856434806101</v>
      </c>
      <c r="K13" s="5">
        <f>+$C13*BJ13</f>
        <v>2.2369902867206521</v>
      </c>
      <c r="L13" s="5">
        <f>+$C13*BK13</f>
        <v>3.3158910103360086</v>
      </c>
      <c r="M13" s="5">
        <f>+$C13*BL13</f>
        <v>2.8877148140735902</v>
      </c>
      <c r="N13" s="5">
        <f>+$C13*BM13</f>
        <v>2.9484662871406537</v>
      </c>
      <c r="O13" s="5">
        <f>+$C13*BN13</f>
        <v>2.8798294816994088</v>
      </c>
      <c r="P13" s="5">
        <v>100000</v>
      </c>
      <c r="Q13" s="5">
        <f>+$P13*BC13</f>
        <v>8918.1565948742245</v>
      </c>
      <c r="R13" s="5">
        <f>+$P13*BD13</f>
        <v>10665.277883445198</v>
      </c>
      <c r="S13" s="5">
        <f>+$P13*BE13</f>
        <v>9438.8490848547644</v>
      </c>
      <c r="T13" s="5">
        <f>+$P13*BF13</f>
        <v>7149.564986855049</v>
      </c>
      <c r="U13" s="5">
        <f>+$P13*BG13</f>
        <v>10368.571810536763</v>
      </c>
      <c r="V13" s="5">
        <f>+$P13*BH13</f>
        <v>8497.0330952544646</v>
      </c>
      <c r="W13" s="5">
        <f>+$P13*BI13</f>
        <v>8459.3878877262705</v>
      </c>
      <c r="X13" s="5">
        <f>+$P13*BJ13</f>
        <v>5744.7105462779964</v>
      </c>
      <c r="Y13" s="5">
        <f>+$P13*BK13</f>
        <v>8515.385234555748</v>
      </c>
      <c r="Z13" s="5">
        <f>+$P13*BL13</f>
        <v>7415.8058913035175</v>
      </c>
      <c r="AA13" s="5">
        <f>+$P13*BM13</f>
        <v>7571.8189192107166</v>
      </c>
      <c r="AB13" s="5">
        <f>+$P13*BN13</f>
        <v>7395.5559365675617</v>
      </c>
      <c r="AC13" s="5">
        <v>0</v>
      </c>
      <c r="AD13" s="5">
        <f>+$AC13*BC13</f>
        <v>0</v>
      </c>
      <c r="AE13" s="5">
        <f>+$AC13*BD13</f>
        <v>0</v>
      </c>
      <c r="AF13" s="5">
        <f>+$AC13*BE13</f>
        <v>0</v>
      </c>
      <c r="AG13" s="5">
        <f>+$AC13*BF13</f>
        <v>0</v>
      </c>
      <c r="AH13" s="5">
        <f>+$AC13*BG13</f>
        <v>0</v>
      </c>
      <c r="AI13" s="5">
        <f>+$AC13*BH13</f>
        <v>0</v>
      </c>
      <c r="AJ13" s="5">
        <f>+$AC13*BI13</f>
        <v>0</v>
      </c>
      <c r="AK13" s="5">
        <f>+$AC13*BJ13</f>
        <v>0</v>
      </c>
      <c r="AL13" s="5">
        <f>+$AC13*BK13</f>
        <v>0</v>
      </c>
      <c r="AM13" s="5">
        <f>+$AC13*BL13</f>
        <v>0</v>
      </c>
      <c r="AN13" s="5">
        <f>+$AC13*BM13</f>
        <v>0</v>
      </c>
      <c r="AO13" s="5">
        <f>+$AC13*BN13</f>
        <v>0</v>
      </c>
      <c r="AP13" s="5">
        <f>+AC13+P13+C13</f>
        <v>100038.94</v>
      </c>
      <c r="AQ13" s="1">
        <v>17115.107662722756</v>
      </c>
      <c r="AR13" s="1">
        <v>20468.061676886809</v>
      </c>
      <c r="AS13" s="1">
        <v>18114.384579469228</v>
      </c>
      <c r="AT13" s="1">
        <v>13720.949300440372</v>
      </c>
      <c r="AU13" s="1">
        <v>19898.643958327095</v>
      </c>
      <c r="AV13" s="1">
        <v>16306.916647167211</v>
      </c>
      <c r="AW13" s="1">
        <v>16234.670575574244</v>
      </c>
      <c r="AX13" s="1">
        <v>11024.850084740347</v>
      </c>
      <c r="AY13" s="1">
        <v>16342.136800193373</v>
      </c>
      <c r="AZ13" s="1">
        <v>14231.900380451149</v>
      </c>
      <c r="BA13" s="1">
        <v>14531.30976410716</v>
      </c>
      <c r="BB13" s="1">
        <v>14193.038071656263</v>
      </c>
      <c r="BC13" s="2">
        <v>8.9181565948742242E-2</v>
      </c>
      <c r="BD13" s="2">
        <v>0.10665277883445198</v>
      </c>
      <c r="BE13" s="2">
        <v>9.438849084854764E-2</v>
      </c>
      <c r="BF13" s="2">
        <v>7.149564986855049E-2</v>
      </c>
      <c r="BG13" s="2">
        <v>0.10368571810536763</v>
      </c>
      <c r="BH13" s="2">
        <v>8.4970330952544637E-2</v>
      </c>
      <c r="BI13" s="2">
        <v>8.4593878877262704E-2</v>
      </c>
      <c r="BJ13" s="2">
        <v>5.7447105462779965E-2</v>
      </c>
      <c r="BK13" s="2">
        <v>8.5153852345557474E-2</v>
      </c>
      <c r="BL13" s="2">
        <v>7.4158058913035174E-2</v>
      </c>
      <c r="BM13" s="2">
        <v>7.5718189192107169E-2</v>
      </c>
      <c r="BN13" s="2">
        <v>7.3955559365675619E-2</v>
      </c>
      <c r="BO13" s="2">
        <f>SUM(BC13:BN13)</f>
        <v>1.0014011787146229</v>
      </c>
    </row>
    <row r="14" spans="1:67" x14ac:dyDescent="0.25">
      <c r="A14" s="8">
        <v>4172</v>
      </c>
      <c r="B14" s="8" t="s">
        <v>980</v>
      </c>
      <c r="C14" s="5">
        <v>200000</v>
      </c>
      <c r="D14" s="5">
        <f>+$C14*BC14</f>
        <v>17836.313189748449</v>
      </c>
      <c r="E14" s="5">
        <f>+$C14*BD14</f>
        <v>21330.555766890397</v>
      </c>
      <c r="F14" s="5">
        <f>+$C14*BE14</f>
        <v>18877.698169709529</v>
      </c>
      <c r="G14" s="5">
        <f>+$C14*BF14</f>
        <v>14299.129973710098</v>
      </c>
      <c r="H14" s="5">
        <f>+$C14*BG14</f>
        <v>20737.143621073526</v>
      </c>
      <c r="I14" s="5">
        <f>+$C14*BH14</f>
        <v>16994.066190508929</v>
      </c>
      <c r="J14" s="5">
        <f>+$C14*BI14</f>
        <v>16918.775775452541</v>
      </c>
      <c r="K14" s="5">
        <f>+$C14*BJ14</f>
        <v>11489.421092555993</v>
      </c>
      <c r="L14" s="5">
        <f>+$C14*BK14</f>
        <v>17030.770469111496</v>
      </c>
      <c r="M14" s="5">
        <f>+$C14*BL14</f>
        <v>14831.611782607035</v>
      </c>
      <c r="N14" s="5">
        <f>+$C14*BM14</f>
        <v>15143.637838421433</v>
      </c>
      <c r="O14" s="5">
        <f>+$C14*BN14</f>
        <v>14791.111873135123</v>
      </c>
      <c r="P14" s="5">
        <v>45000</v>
      </c>
      <c r="Q14" s="5">
        <f>+$P14*BC14</f>
        <v>4013.170467693401</v>
      </c>
      <c r="R14" s="5">
        <f>+$P14*BD14</f>
        <v>4799.3750475503393</v>
      </c>
      <c r="S14" s="5">
        <f>+$P14*BE14</f>
        <v>4247.4820881846435</v>
      </c>
      <c r="T14" s="5">
        <f>+$P14*BF14</f>
        <v>3217.3042440847721</v>
      </c>
      <c r="U14" s="5">
        <f>+$P14*BG14</f>
        <v>4665.8573147415436</v>
      </c>
      <c r="V14" s="5">
        <f>+$P14*BH14</f>
        <v>3823.6648928645086</v>
      </c>
      <c r="W14" s="5">
        <f>+$P14*BI14</f>
        <v>3806.7245494768217</v>
      </c>
      <c r="X14" s="5">
        <f>+$P14*BJ14</f>
        <v>2585.1197458250986</v>
      </c>
      <c r="Y14" s="5">
        <f>+$P14*BK14</f>
        <v>3831.9233555500864</v>
      </c>
      <c r="Z14" s="5">
        <f>+$P14*BL14</f>
        <v>3337.1126510865829</v>
      </c>
      <c r="AA14" s="5">
        <f>+$P14*BM14</f>
        <v>3407.3185136448228</v>
      </c>
      <c r="AB14" s="5">
        <f>+$P14*BN14</f>
        <v>3328.0001714554028</v>
      </c>
      <c r="AC14" s="5">
        <v>0</v>
      </c>
      <c r="AD14" s="5">
        <f>+$AC14*BC14</f>
        <v>0</v>
      </c>
      <c r="AE14" s="5">
        <f>+$AC14*BD14</f>
        <v>0</v>
      </c>
      <c r="AF14" s="5">
        <f>+$AC14*BE14</f>
        <v>0</v>
      </c>
      <c r="AG14" s="5">
        <f>+$AC14*BF14</f>
        <v>0</v>
      </c>
      <c r="AH14" s="5">
        <f>+$AC14*BG14</f>
        <v>0</v>
      </c>
      <c r="AI14" s="5">
        <f>+$AC14*BH14</f>
        <v>0</v>
      </c>
      <c r="AJ14" s="5">
        <f>+$AC14*BI14</f>
        <v>0</v>
      </c>
      <c r="AK14" s="5">
        <f>+$AC14*BJ14</f>
        <v>0</v>
      </c>
      <c r="AL14" s="5">
        <f>+$AC14*BK14</f>
        <v>0</v>
      </c>
      <c r="AM14" s="5">
        <f>+$AC14*BL14</f>
        <v>0</v>
      </c>
      <c r="AN14" s="5">
        <f>+$AC14*BM14</f>
        <v>0</v>
      </c>
      <c r="AO14" s="5">
        <f>+$AC14*BN14</f>
        <v>0</v>
      </c>
      <c r="AP14" s="5">
        <f>+AC14+P14+C14</f>
        <v>245000</v>
      </c>
      <c r="AQ14" s="1">
        <v>13915.797018181835</v>
      </c>
      <c r="AR14" s="1">
        <v>16641.986557382323</v>
      </c>
      <c r="AS14" s="1">
        <v>14728.280060207075</v>
      </c>
      <c r="AT14" s="1">
        <v>11156.105420099759</v>
      </c>
      <c r="AU14" s="1">
        <v>16179.009546300373</v>
      </c>
      <c r="AV14" s="1">
        <v>13258.680373284256</v>
      </c>
      <c r="AW14" s="1">
        <v>13199.939190496463</v>
      </c>
      <c r="AX14" s="1">
        <v>8963.9854424803962</v>
      </c>
      <c r="AY14" s="1">
        <v>13287.316856917301</v>
      </c>
      <c r="AZ14" s="1">
        <v>11571.544905247561</v>
      </c>
      <c r="BA14" s="1">
        <v>11814.985980255859</v>
      </c>
      <c r="BB14" s="1">
        <v>11539.947090527095</v>
      </c>
      <c r="BC14" s="2">
        <v>8.9181565948742242E-2</v>
      </c>
      <c r="BD14" s="2">
        <v>0.10665277883445198</v>
      </c>
      <c r="BE14" s="2">
        <v>9.438849084854764E-2</v>
      </c>
      <c r="BF14" s="2">
        <v>7.149564986855049E-2</v>
      </c>
      <c r="BG14" s="2">
        <v>0.10368571810536763</v>
      </c>
      <c r="BH14" s="2">
        <v>8.4970330952544637E-2</v>
      </c>
      <c r="BI14" s="2">
        <v>8.4593878877262704E-2</v>
      </c>
      <c r="BJ14" s="2">
        <v>5.7447105462779965E-2</v>
      </c>
      <c r="BK14" s="2">
        <v>8.5153852345557474E-2</v>
      </c>
      <c r="BL14" s="2">
        <v>7.4158058913035174E-2</v>
      </c>
      <c r="BM14" s="2">
        <v>7.5718189192107169E-2</v>
      </c>
      <c r="BN14" s="2">
        <v>7.3955559365675619E-2</v>
      </c>
      <c r="BO14" s="2">
        <f>SUM(BC14:BN14)</f>
        <v>1.0014011787146229</v>
      </c>
    </row>
    <row r="15" spans="1:67" x14ac:dyDescent="0.25">
      <c r="A15" s="8">
        <v>3293</v>
      </c>
      <c r="B15" s="8" t="s">
        <v>979</v>
      </c>
      <c r="C15" s="5">
        <v>0</v>
      </c>
      <c r="D15" s="5">
        <f>+$C15*BC15</f>
        <v>0</v>
      </c>
      <c r="E15" s="5">
        <f>+$C15*BD15</f>
        <v>0</v>
      </c>
      <c r="F15" s="5">
        <f>+$C15*BE15</f>
        <v>0</v>
      </c>
      <c r="G15" s="5">
        <f>+$C15*BF15</f>
        <v>0</v>
      </c>
      <c r="H15" s="5">
        <f>+$C15*BG15</f>
        <v>0</v>
      </c>
      <c r="I15" s="5">
        <f>+$C15*BH15</f>
        <v>0</v>
      </c>
      <c r="J15" s="5">
        <f>+$C15*BI15</f>
        <v>0</v>
      </c>
      <c r="K15" s="5">
        <f>+$C15*BJ15</f>
        <v>0</v>
      </c>
      <c r="L15" s="5">
        <f>+$C15*BK15</f>
        <v>0</v>
      </c>
      <c r="M15" s="5">
        <f>+$C15*BL15</f>
        <v>0</v>
      </c>
      <c r="N15" s="5">
        <f>+$C15*BM15</f>
        <v>0</v>
      </c>
      <c r="O15" s="5">
        <f>+$C15*BN15</f>
        <v>0</v>
      </c>
      <c r="P15" s="5">
        <v>70000</v>
      </c>
      <c r="Q15" s="5">
        <f>+$P15*BC15</f>
        <v>6242.7096164119566</v>
      </c>
      <c r="R15" s="5">
        <f>+$P15*BD15</f>
        <v>7465.6945184116385</v>
      </c>
      <c r="S15" s="5">
        <f>+$P15*BE15</f>
        <v>6607.1943593983351</v>
      </c>
      <c r="T15" s="5">
        <f>+$P15*BF15</f>
        <v>5004.6954907985346</v>
      </c>
      <c r="U15" s="5">
        <f>+$P15*BG15</f>
        <v>7258.0002673757335</v>
      </c>
      <c r="V15" s="5">
        <f>+$P15*BH15</f>
        <v>5947.9231666781243</v>
      </c>
      <c r="W15" s="5">
        <f>+$P15*BI15</f>
        <v>5921.5715214083893</v>
      </c>
      <c r="X15" s="5">
        <f>+$P15*BJ15</f>
        <v>4021.2973823945977</v>
      </c>
      <c r="Y15" s="5">
        <f>+$P15*BK15</f>
        <v>5960.7696641890234</v>
      </c>
      <c r="Z15" s="5">
        <f>+$P15*BL15</f>
        <v>5191.0641239124625</v>
      </c>
      <c r="AA15" s="5">
        <f>+$P15*BM15</f>
        <v>5300.273243447502</v>
      </c>
      <c r="AB15" s="5">
        <f>+$P15*BN15</f>
        <v>5176.8891555972932</v>
      </c>
      <c r="AC15" s="5">
        <v>0</v>
      </c>
      <c r="AD15" s="5">
        <f>+$AC15*BC15</f>
        <v>0</v>
      </c>
      <c r="AE15" s="5">
        <f>+$AC15*BD15</f>
        <v>0</v>
      </c>
      <c r="AF15" s="5">
        <f>+$AC15*BE15</f>
        <v>0</v>
      </c>
      <c r="AG15" s="5">
        <f>+$AC15*BF15</f>
        <v>0</v>
      </c>
      <c r="AH15" s="5">
        <f>+$AC15*BG15</f>
        <v>0</v>
      </c>
      <c r="AI15" s="5">
        <f>+$AC15*BH15</f>
        <v>0</v>
      </c>
      <c r="AJ15" s="5">
        <f>+$AC15*BI15</f>
        <v>0</v>
      </c>
      <c r="AK15" s="5">
        <f>+$AC15*BJ15</f>
        <v>0</v>
      </c>
      <c r="AL15" s="5">
        <f>+$AC15*BK15</f>
        <v>0</v>
      </c>
      <c r="AM15" s="5">
        <f>+$AC15*BL15</f>
        <v>0</v>
      </c>
      <c r="AN15" s="5">
        <f>+$AC15*BM15</f>
        <v>0</v>
      </c>
      <c r="AO15" s="5">
        <f>+$AC15*BN15</f>
        <v>0</v>
      </c>
      <c r="AP15" s="5">
        <f>+AC15+P15+C15</f>
        <v>70000</v>
      </c>
      <c r="AQ15" s="1">
        <v>15606.774041029892</v>
      </c>
      <c r="AR15" s="1">
        <v>18664.236296029096</v>
      </c>
      <c r="AS15" s="1">
        <v>16517.985898495837</v>
      </c>
      <c r="AT15" s="1">
        <v>12511.738726996336</v>
      </c>
      <c r="AU15" s="1">
        <v>18145.000668439334</v>
      </c>
      <c r="AV15" s="1">
        <v>14869.807916695312</v>
      </c>
      <c r="AW15" s="1">
        <v>14803.928803520974</v>
      </c>
      <c r="AX15" s="1">
        <v>10053.243455986494</v>
      </c>
      <c r="AY15" s="1">
        <v>14901.924160472558</v>
      </c>
      <c r="AZ15" s="1">
        <v>12977.660309781155</v>
      </c>
      <c r="BA15" s="1">
        <v>13250.683108618754</v>
      </c>
      <c r="BB15" s="1">
        <v>12942.222888993234</v>
      </c>
      <c r="BC15" s="2">
        <v>8.9181565948742242E-2</v>
      </c>
      <c r="BD15" s="2">
        <v>0.10665277883445198</v>
      </c>
      <c r="BE15" s="2">
        <v>9.438849084854764E-2</v>
      </c>
      <c r="BF15" s="2">
        <v>7.149564986855049E-2</v>
      </c>
      <c r="BG15" s="2">
        <v>0.10368571810536763</v>
      </c>
      <c r="BH15" s="2">
        <v>8.4970330952544637E-2</v>
      </c>
      <c r="BI15" s="2">
        <v>8.4593878877262704E-2</v>
      </c>
      <c r="BJ15" s="2">
        <v>5.7447105462779965E-2</v>
      </c>
      <c r="BK15" s="2">
        <v>8.5153852345557474E-2</v>
      </c>
      <c r="BL15" s="2">
        <v>7.4158058913035174E-2</v>
      </c>
      <c r="BM15" s="2">
        <v>7.5718189192107169E-2</v>
      </c>
      <c r="BN15" s="2">
        <v>7.3955559365675619E-2</v>
      </c>
      <c r="BO15" s="2">
        <f>SUM(BC15:BN15)</f>
        <v>1.0014011787146229</v>
      </c>
    </row>
    <row r="16" spans="1:67" x14ac:dyDescent="0.25">
      <c r="A16" s="8">
        <v>1089</v>
      </c>
      <c r="B16" s="8" t="s">
        <v>978</v>
      </c>
      <c r="C16" s="5">
        <v>150000</v>
      </c>
      <c r="D16" s="5">
        <f>+$C16*BC16</f>
        <v>13377.234892311337</v>
      </c>
      <c r="E16" s="5">
        <f>+$C16*BD16</f>
        <v>15997.916825167798</v>
      </c>
      <c r="F16" s="5">
        <f>+$C16*BE16</f>
        <v>14158.273627282146</v>
      </c>
      <c r="G16" s="5">
        <f>+$C16*BF16</f>
        <v>10724.347480282573</v>
      </c>
      <c r="H16" s="5">
        <f>+$C16*BG16</f>
        <v>15552.857715805145</v>
      </c>
      <c r="I16" s="5">
        <f>+$C16*BH16</f>
        <v>12745.549642881695</v>
      </c>
      <c r="J16" s="5">
        <f>+$C16*BI16</f>
        <v>12689.081831589405</v>
      </c>
      <c r="K16" s="5">
        <f>+$C16*BJ16</f>
        <v>8617.0658194169955</v>
      </c>
      <c r="L16" s="5">
        <f>+$C16*BK16</f>
        <v>12773.077851833621</v>
      </c>
      <c r="M16" s="5">
        <f>+$C16*BL16</f>
        <v>11123.708836955277</v>
      </c>
      <c r="N16" s="5">
        <f>+$C16*BM16</f>
        <v>11357.728378816075</v>
      </c>
      <c r="O16" s="5">
        <f>+$C16*BN16</f>
        <v>11093.333904851343</v>
      </c>
      <c r="P16" s="5">
        <v>0</v>
      </c>
      <c r="Q16" s="5">
        <f>+$P16*BC16</f>
        <v>0</v>
      </c>
      <c r="R16" s="5">
        <f>+$P16*BD16</f>
        <v>0</v>
      </c>
      <c r="S16" s="5">
        <f>+$P16*BE16</f>
        <v>0</v>
      </c>
      <c r="T16" s="5">
        <f>+$P16*BF16</f>
        <v>0</v>
      </c>
      <c r="U16" s="5">
        <f>+$P16*BG16</f>
        <v>0</v>
      </c>
      <c r="V16" s="5">
        <f>+$P16*BH16</f>
        <v>0</v>
      </c>
      <c r="W16" s="5">
        <f>+$P16*BI16</f>
        <v>0</v>
      </c>
      <c r="X16" s="5">
        <f>+$P16*BJ16</f>
        <v>0</v>
      </c>
      <c r="Y16" s="5">
        <f>+$P16*BK16</f>
        <v>0</v>
      </c>
      <c r="Z16" s="5">
        <f>+$P16*BL16</f>
        <v>0</v>
      </c>
      <c r="AA16" s="5">
        <f>+$P16*BM16</f>
        <v>0</v>
      </c>
      <c r="AB16" s="5">
        <f>+$P16*BN16</f>
        <v>0</v>
      </c>
      <c r="AC16" s="5">
        <v>0</v>
      </c>
      <c r="AD16" s="5">
        <f>+$AC16*BC16</f>
        <v>0</v>
      </c>
      <c r="AE16" s="5">
        <f>+$AC16*BD16</f>
        <v>0</v>
      </c>
      <c r="AF16" s="5">
        <f>+$AC16*BE16</f>
        <v>0</v>
      </c>
      <c r="AG16" s="5">
        <f>+$AC16*BF16</f>
        <v>0</v>
      </c>
      <c r="AH16" s="5">
        <f>+$AC16*BG16</f>
        <v>0</v>
      </c>
      <c r="AI16" s="5">
        <f>+$AC16*BH16</f>
        <v>0</v>
      </c>
      <c r="AJ16" s="5">
        <f>+$AC16*BI16</f>
        <v>0</v>
      </c>
      <c r="AK16" s="5">
        <f>+$AC16*BJ16</f>
        <v>0</v>
      </c>
      <c r="AL16" s="5">
        <f>+$AC16*BK16</f>
        <v>0</v>
      </c>
      <c r="AM16" s="5">
        <f>+$AC16*BL16</f>
        <v>0</v>
      </c>
      <c r="AN16" s="5">
        <f>+$AC16*BM16</f>
        <v>0</v>
      </c>
      <c r="AO16" s="5">
        <f>+$AC16*BN16</f>
        <v>0</v>
      </c>
      <c r="AP16" s="5">
        <f>+AC16+P16+C16</f>
        <v>150000</v>
      </c>
      <c r="AQ16" s="1">
        <v>17883.858914728964</v>
      </c>
      <c r="AR16" s="1">
        <v>21387.415989481524</v>
      </c>
      <c r="AS16" s="1">
        <v>18928.019883389577</v>
      </c>
      <c r="AT16" s="1">
        <v>14337.246735507117</v>
      </c>
      <c r="AU16" s="1">
        <v>20792.422002709911</v>
      </c>
      <c r="AV16" s="1">
        <v>17039.366762930982</v>
      </c>
      <c r="AW16" s="1">
        <v>16963.875648473891</v>
      </c>
      <c r="AX16" s="1">
        <v>11520.048097679786</v>
      </c>
      <c r="AY16" s="1">
        <v>17076.168883027891</v>
      </c>
      <c r="AZ16" s="1">
        <v>14871.147965187576</v>
      </c>
      <c r="BA16" s="1">
        <v>15184.005779498179</v>
      </c>
      <c r="BB16" s="1">
        <v>14830.540096321984</v>
      </c>
      <c r="BC16" s="2">
        <v>8.9181565948742242E-2</v>
      </c>
      <c r="BD16" s="2">
        <v>0.10665277883445198</v>
      </c>
      <c r="BE16" s="2">
        <v>9.438849084854764E-2</v>
      </c>
      <c r="BF16" s="2">
        <v>7.149564986855049E-2</v>
      </c>
      <c r="BG16" s="2">
        <v>0.10368571810536763</v>
      </c>
      <c r="BH16" s="2">
        <v>8.4970330952544637E-2</v>
      </c>
      <c r="BI16" s="2">
        <v>8.4593878877262704E-2</v>
      </c>
      <c r="BJ16" s="2">
        <v>5.7447105462779965E-2</v>
      </c>
      <c r="BK16" s="2">
        <v>8.5153852345557474E-2</v>
      </c>
      <c r="BL16" s="2">
        <v>7.4158058913035174E-2</v>
      </c>
      <c r="BM16" s="2">
        <v>7.5718189192107169E-2</v>
      </c>
      <c r="BN16" s="2">
        <v>7.3955559365675619E-2</v>
      </c>
      <c r="BO16" s="2">
        <f>SUM(BC16:BN16)</f>
        <v>1.0014011787146229</v>
      </c>
    </row>
    <row r="17" spans="1:67" x14ac:dyDescent="0.25">
      <c r="A17" s="8">
        <v>5345</v>
      </c>
      <c r="B17" s="8" t="s">
        <v>977</v>
      </c>
      <c r="C17" s="5">
        <v>0</v>
      </c>
      <c r="D17" s="5">
        <f>+$C17*BC17</f>
        <v>0</v>
      </c>
      <c r="E17" s="5">
        <f>+$C17*BD17</f>
        <v>0</v>
      </c>
      <c r="F17" s="5">
        <f>+$C17*BE17</f>
        <v>0</v>
      </c>
      <c r="G17" s="5">
        <f>+$C17*BF17</f>
        <v>0</v>
      </c>
      <c r="H17" s="5">
        <f>+$C17*BG17</f>
        <v>0</v>
      </c>
      <c r="I17" s="5">
        <f>+$C17*BH17</f>
        <v>0</v>
      </c>
      <c r="J17" s="5">
        <f>+$C17*BI17</f>
        <v>0</v>
      </c>
      <c r="K17" s="5">
        <f>+$C17*BJ17</f>
        <v>0</v>
      </c>
      <c r="L17" s="5">
        <f>+$C17*BK17</f>
        <v>0</v>
      </c>
      <c r="M17" s="5">
        <f>+$C17*BL17</f>
        <v>0</v>
      </c>
      <c r="N17" s="5">
        <f>+$C17*BM17</f>
        <v>0</v>
      </c>
      <c r="O17" s="5">
        <f>+$C17*BN17</f>
        <v>0</v>
      </c>
      <c r="P17" s="5">
        <v>190000</v>
      </c>
      <c r="Q17" s="5">
        <f>+$P17*BC17</f>
        <v>16944.497530261026</v>
      </c>
      <c r="R17" s="5">
        <f>+$P17*BD17</f>
        <v>20264.027978545877</v>
      </c>
      <c r="S17" s="5">
        <f>+$P17*BE17</f>
        <v>17933.813261224052</v>
      </c>
      <c r="T17" s="5">
        <f>+$P17*BF17</f>
        <v>13584.173475024592</v>
      </c>
      <c r="U17" s="5">
        <f>+$P17*BG17</f>
        <v>19700.286440019849</v>
      </c>
      <c r="V17" s="5">
        <f>+$P17*BH17</f>
        <v>16144.362880983481</v>
      </c>
      <c r="W17" s="5">
        <f>+$P17*BI17</f>
        <v>16072.836986679913</v>
      </c>
      <c r="X17" s="5">
        <f>+$P17*BJ17</f>
        <v>10914.950037928193</v>
      </c>
      <c r="Y17" s="5">
        <f>+$P17*BK17</f>
        <v>16179.23194565592</v>
      </c>
      <c r="Z17" s="5">
        <f>+$P17*BL17</f>
        <v>14090.031193476683</v>
      </c>
      <c r="AA17" s="5">
        <f>+$P17*BM17</f>
        <v>14386.455946500362</v>
      </c>
      <c r="AB17" s="5">
        <f>+$P17*BN17</f>
        <v>14051.556279478367</v>
      </c>
      <c r="AC17" s="5">
        <v>0</v>
      </c>
      <c r="AD17" s="5">
        <f>+$AC17*BC17</f>
        <v>0</v>
      </c>
      <c r="AE17" s="5">
        <f>+$AC17*BD17</f>
        <v>0</v>
      </c>
      <c r="AF17" s="5">
        <f>+$AC17*BE17</f>
        <v>0</v>
      </c>
      <c r="AG17" s="5">
        <f>+$AC17*BF17</f>
        <v>0</v>
      </c>
      <c r="AH17" s="5">
        <f>+$AC17*BG17</f>
        <v>0</v>
      </c>
      <c r="AI17" s="5">
        <f>+$AC17*BH17</f>
        <v>0</v>
      </c>
      <c r="AJ17" s="5">
        <f>+$AC17*BI17</f>
        <v>0</v>
      </c>
      <c r="AK17" s="5">
        <f>+$AC17*BJ17</f>
        <v>0</v>
      </c>
      <c r="AL17" s="5">
        <f>+$AC17*BK17</f>
        <v>0</v>
      </c>
      <c r="AM17" s="5">
        <f>+$AC17*BL17</f>
        <v>0</v>
      </c>
      <c r="AN17" s="5">
        <f>+$AC17*BM17</f>
        <v>0</v>
      </c>
      <c r="AO17" s="5">
        <f>+$AC17*BN17</f>
        <v>0</v>
      </c>
      <c r="AP17" s="5">
        <f>+AC17+P17+C17</f>
        <v>190000</v>
      </c>
      <c r="AQ17" s="1">
        <v>13377.234892311337</v>
      </c>
      <c r="AR17" s="1">
        <v>15997.916825167798</v>
      </c>
      <c r="AS17" s="1">
        <v>14158.273627282146</v>
      </c>
      <c r="AT17" s="1">
        <v>10724.347480282573</v>
      </c>
      <c r="AU17" s="1">
        <v>15552.857715805145</v>
      </c>
      <c r="AV17" s="1">
        <v>12745.549642881695</v>
      </c>
      <c r="AW17" s="1">
        <v>12689.081831589405</v>
      </c>
      <c r="AX17" s="1">
        <v>8617.0658194169955</v>
      </c>
      <c r="AY17" s="1">
        <v>12773.077851833621</v>
      </c>
      <c r="AZ17" s="1">
        <v>11123.708836955277</v>
      </c>
      <c r="BA17" s="1">
        <v>11357.728378816075</v>
      </c>
      <c r="BB17" s="1">
        <v>11093.333904851343</v>
      </c>
      <c r="BC17" s="2">
        <v>8.9181565948742242E-2</v>
      </c>
      <c r="BD17" s="2">
        <v>0.10665277883445198</v>
      </c>
      <c r="BE17" s="2">
        <v>9.438849084854764E-2</v>
      </c>
      <c r="BF17" s="2">
        <v>7.149564986855049E-2</v>
      </c>
      <c r="BG17" s="2">
        <v>0.10368571810536763</v>
      </c>
      <c r="BH17" s="2">
        <v>8.4970330952544637E-2</v>
      </c>
      <c r="BI17" s="2">
        <v>8.4593878877262704E-2</v>
      </c>
      <c r="BJ17" s="2">
        <v>5.7447105462779965E-2</v>
      </c>
      <c r="BK17" s="2">
        <v>8.5153852345557474E-2</v>
      </c>
      <c r="BL17" s="2">
        <v>7.4158058913035174E-2</v>
      </c>
      <c r="BM17" s="2">
        <v>7.5718189192107169E-2</v>
      </c>
      <c r="BN17" s="2">
        <v>7.3955559365675619E-2</v>
      </c>
      <c r="BO17" s="2">
        <f>SUM(BC17:BN17)</f>
        <v>1.0014011787146229</v>
      </c>
    </row>
    <row r="18" spans="1:67" x14ac:dyDescent="0.25">
      <c r="A18" s="8">
        <v>4436</v>
      </c>
      <c r="B18" s="8" t="s">
        <v>976</v>
      </c>
      <c r="C18" s="5">
        <v>0</v>
      </c>
      <c r="D18" s="5">
        <f>+$C18*BC18</f>
        <v>0</v>
      </c>
      <c r="E18" s="5">
        <f>+$C18*BD18</f>
        <v>0</v>
      </c>
      <c r="F18" s="5">
        <f>+$C18*BE18</f>
        <v>0</v>
      </c>
      <c r="G18" s="5">
        <f>+$C18*BF18</f>
        <v>0</v>
      </c>
      <c r="H18" s="5">
        <f>+$C18*BG18</f>
        <v>0</v>
      </c>
      <c r="I18" s="5">
        <f>+$C18*BH18</f>
        <v>0</v>
      </c>
      <c r="J18" s="5">
        <f>+$C18*BI18</f>
        <v>0</v>
      </c>
      <c r="K18" s="5">
        <f>+$C18*BJ18</f>
        <v>0</v>
      </c>
      <c r="L18" s="5">
        <f>+$C18*BK18</f>
        <v>0</v>
      </c>
      <c r="M18" s="5">
        <f>+$C18*BL18</f>
        <v>0</v>
      </c>
      <c r="N18" s="5">
        <f>+$C18*BM18</f>
        <v>0</v>
      </c>
      <c r="O18" s="5">
        <f>+$C18*BN18</f>
        <v>0</v>
      </c>
      <c r="P18" s="5">
        <v>30000</v>
      </c>
      <c r="Q18" s="5">
        <f>+$P18*BC18</f>
        <v>2675.4469784622675</v>
      </c>
      <c r="R18" s="5">
        <f>+$P18*BD18</f>
        <v>3199.5833650335594</v>
      </c>
      <c r="S18" s="5">
        <f>+$P18*BE18</f>
        <v>2831.6547254564293</v>
      </c>
      <c r="T18" s="5">
        <f>+$P18*BF18</f>
        <v>2144.8694960565149</v>
      </c>
      <c r="U18" s="5">
        <f>+$P18*BG18</f>
        <v>3110.5715431610288</v>
      </c>
      <c r="V18" s="5">
        <f>+$P18*BH18</f>
        <v>2549.1099285763389</v>
      </c>
      <c r="W18" s="5">
        <f>+$P18*BI18</f>
        <v>2537.8163663178811</v>
      </c>
      <c r="X18" s="5">
        <f>+$P18*BJ18</f>
        <v>1723.413163883399</v>
      </c>
      <c r="Y18" s="5">
        <f>+$P18*BK18</f>
        <v>2554.6155703667241</v>
      </c>
      <c r="Z18" s="5">
        <f>+$P18*BL18</f>
        <v>2224.7417673910554</v>
      </c>
      <c r="AA18" s="5">
        <f>+$P18*BM18</f>
        <v>2271.5456757632151</v>
      </c>
      <c r="AB18" s="5">
        <f>+$P18*BN18</f>
        <v>2218.6667809702685</v>
      </c>
      <c r="AC18" s="5">
        <v>300000</v>
      </c>
      <c r="AD18" s="5">
        <f>+$AC18*BC18</f>
        <v>26754.469784622674</v>
      </c>
      <c r="AE18" s="5">
        <f>+$AC18*BD18</f>
        <v>31995.833650335597</v>
      </c>
      <c r="AF18" s="5">
        <f>+$AC18*BE18</f>
        <v>28316.547254564292</v>
      </c>
      <c r="AG18" s="5">
        <f>+$AC18*BF18</f>
        <v>21448.694960565146</v>
      </c>
      <c r="AH18" s="5">
        <f>+$AC18*BG18</f>
        <v>31105.71543161029</v>
      </c>
      <c r="AI18" s="5">
        <f>+$AC18*BH18</f>
        <v>25491.09928576339</v>
      </c>
      <c r="AJ18" s="5">
        <f>+$AC18*BI18</f>
        <v>25378.16366317881</v>
      </c>
      <c r="AK18" s="5">
        <f>+$AC18*BJ18</f>
        <v>17234.131638833991</v>
      </c>
      <c r="AL18" s="5">
        <f>+$AC18*BK18</f>
        <v>25546.155703667242</v>
      </c>
      <c r="AM18" s="5">
        <f>+$AC18*BL18</f>
        <v>22247.417673910553</v>
      </c>
      <c r="AN18" s="5">
        <f>+$AC18*BM18</f>
        <v>22715.45675763215</v>
      </c>
      <c r="AO18" s="5">
        <f>+$AC18*BN18</f>
        <v>22186.667809702685</v>
      </c>
      <c r="AP18" s="5">
        <f>+AC18+P18+C18</f>
        <v>330000</v>
      </c>
      <c r="AQ18" s="1">
        <v>15785.137172927376</v>
      </c>
      <c r="AR18" s="1">
        <v>18877.541853698</v>
      </c>
      <c r="AS18" s="1">
        <v>16706.762880192931</v>
      </c>
      <c r="AT18" s="1">
        <v>12654.730026733436</v>
      </c>
      <c r="AU18" s="1">
        <v>18352.372104650069</v>
      </c>
      <c r="AV18" s="1">
        <v>15039.7485786004</v>
      </c>
      <c r="AW18" s="1">
        <v>14973.116561275499</v>
      </c>
      <c r="AX18" s="1">
        <v>10168.137666912055</v>
      </c>
      <c r="AY18" s="1">
        <v>15072.231865163672</v>
      </c>
      <c r="AZ18" s="1">
        <v>13125.976427607226</v>
      </c>
      <c r="BA18" s="1">
        <v>13402.119487002969</v>
      </c>
      <c r="BB18" s="1">
        <v>13090.134007724584</v>
      </c>
      <c r="BC18" s="2">
        <v>8.9181565948742242E-2</v>
      </c>
      <c r="BD18" s="2">
        <v>0.10665277883445198</v>
      </c>
      <c r="BE18" s="2">
        <v>9.438849084854764E-2</v>
      </c>
      <c r="BF18" s="2">
        <v>7.149564986855049E-2</v>
      </c>
      <c r="BG18" s="2">
        <v>0.10368571810536763</v>
      </c>
      <c r="BH18" s="2">
        <v>8.4970330952544637E-2</v>
      </c>
      <c r="BI18" s="2">
        <v>8.4593878877262704E-2</v>
      </c>
      <c r="BJ18" s="2">
        <v>5.7447105462779965E-2</v>
      </c>
      <c r="BK18" s="2">
        <v>8.5153852345557474E-2</v>
      </c>
      <c r="BL18" s="2">
        <v>7.4158058913035174E-2</v>
      </c>
      <c r="BM18" s="2">
        <v>7.5718189192107169E-2</v>
      </c>
      <c r="BN18" s="2">
        <v>7.3955559365675619E-2</v>
      </c>
      <c r="BO18" s="2">
        <f>SUM(BC18:BN18)</f>
        <v>1.0014011787146229</v>
      </c>
    </row>
    <row r="19" spans="1:67" x14ac:dyDescent="0.25">
      <c r="A19" s="8">
        <v>32015</v>
      </c>
      <c r="B19" s="8" t="s">
        <v>975</v>
      </c>
      <c r="C19" s="5">
        <v>122.35299999999999</v>
      </c>
      <c r="D19" s="5">
        <f>+$C19*BC19</f>
        <v>10.911632138526459</v>
      </c>
      <c r="E19" s="5">
        <f>+$C19*BD19</f>
        <v>13.049287448731702</v>
      </c>
      <c r="F19" s="5">
        <f>+$C19*BE19</f>
        <v>11.548715020792349</v>
      </c>
      <c r="G19" s="5">
        <f>+$C19*BF19</f>
        <v>8.7477072483667584</v>
      </c>
      <c r="H19" s="5">
        <f>+$C19*BG19</f>
        <v>12.686258667346046</v>
      </c>
      <c r="I19" s="5">
        <f>+$C19*BH19</f>
        <v>10.396374903036694</v>
      </c>
      <c r="J19" s="5">
        <f>+$C19*BI19</f>
        <v>10.350314862269723</v>
      </c>
      <c r="K19" s="5">
        <f>+$C19*BJ19</f>
        <v>7.0288256946875167</v>
      </c>
      <c r="L19" s="5">
        <f>+$C19*BK19</f>
        <v>10.418829296035993</v>
      </c>
      <c r="M19" s="5">
        <f>+$C19*BL19</f>
        <v>9.0734609821865924</v>
      </c>
      <c r="N19" s="5">
        <f>+$C19*BM19</f>
        <v>9.2643476022218874</v>
      </c>
      <c r="O19" s="5">
        <f>+$C19*BN19</f>
        <v>9.0486845550685082</v>
      </c>
      <c r="P19" s="5">
        <v>20000</v>
      </c>
      <c r="Q19" s="5">
        <f>+$P19*BC19</f>
        <v>1783.6313189748448</v>
      </c>
      <c r="R19" s="5">
        <f>+$P19*BD19</f>
        <v>2133.0555766890398</v>
      </c>
      <c r="S19" s="5">
        <f>+$P19*BE19</f>
        <v>1887.7698169709529</v>
      </c>
      <c r="T19" s="5">
        <f>+$P19*BF19</f>
        <v>1429.9129973710099</v>
      </c>
      <c r="U19" s="5">
        <f>+$P19*BG19</f>
        <v>2073.7143621073524</v>
      </c>
      <c r="V19" s="5">
        <f>+$P19*BH19</f>
        <v>1699.4066190508927</v>
      </c>
      <c r="W19" s="5">
        <f>+$P19*BI19</f>
        <v>1691.8775775452541</v>
      </c>
      <c r="X19" s="5">
        <f>+$P19*BJ19</f>
        <v>1148.9421092555992</v>
      </c>
      <c r="Y19" s="5">
        <f>+$P19*BK19</f>
        <v>1703.0770469111494</v>
      </c>
      <c r="Z19" s="5">
        <f>+$P19*BL19</f>
        <v>1483.1611782607035</v>
      </c>
      <c r="AA19" s="5">
        <f>+$P19*BM19</f>
        <v>1514.3637838421434</v>
      </c>
      <c r="AB19" s="5">
        <f>+$P19*BN19</f>
        <v>1479.1111873135123</v>
      </c>
      <c r="AC19" s="5">
        <v>10000</v>
      </c>
      <c r="AD19" s="5">
        <f>+$AC19*BC19</f>
        <v>891.81565948742241</v>
      </c>
      <c r="AE19" s="5">
        <f>+$AC19*BD19</f>
        <v>1066.5277883445199</v>
      </c>
      <c r="AF19" s="5">
        <f>+$AC19*BE19</f>
        <v>943.88490848547644</v>
      </c>
      <c r="AG19" s="5">
        <f>+$AC19*BF19</f>
        <v>714.95649868550493</v>
      </c>
      <c r="AH19" s="5">
        <f>+$AC19*BG19</f>
        <v>1036.8571810536762</v>
      </c>
      <c r="AI19" s="5">
        <f>+$AC19*BH19</f>
        <v>849.70330952544634</v>
      </c>
      <c r="AJ19" s="5">
        <f>+$AC19*BI19</f>
        <v>845.93878877262705</v>
      </c>
      <c r="AK19" s="5">
        <f>+$AC19*BJ19</f>
        <v>574.47105462779962</v>
      </c>
      <c r="AL19" s="5">
        <f>+$AC19*BK19</f>
        <v>851.5385234555747</v>
      </c>
      <c r="AM19" s="5">
        <f>+$AC19*BL19</f>
        <v>741.58058913035177</v>
      </c>
      <c r="AN19" s="5">
        <f>+$AC19*BM19</f>
        <v>757.18189192107172</v>
      </c>
      <c r="AO19" s="5">
        <f>+$AC19*BN19</f>
        <v>739.55559365675617</v>
      </c>
      <c r="AP19" s="5">
        <f>+AC19+P19+C19</f>
        <v>30122.352999999999</v>
      </c>
      <c r="AQ19" s="1">
        <v>10880.151045746554</v>
      </c>
      <c r="AR19" s="1">
        <v>13011.639017803142</v>
      </c>
      <c r="AS19" s="1">
        <v>11515.395883522811</v>
      </c>
      <c r="AT19" s="1">
        <v>8722.4692839631589</v>
      </c>
      <c r="AU19" s="1">
        <v>12649.65760885485</v>
      </c>
      <c r="AV19" s="1">
        <v>10366.380376210445</v>
      </c>
      <c r="AW19" s="1">
        <v>10320.45322302605</v>
      </c>
      <c r="AX19" s="1">
        <v>7008.5468664591554</v>
      </c>
      <c r="AY19" s="1">
        <v>10388.769986158011</v>
      </c>
      <c r="AZ19" s="1">
        <v>9047.2831873902905</v>
      </c>
      <c r="BA19" s="1">
        <v>9237.6190814370748</v>
      </c>
      <c r="BB19" s="1">
        <v>9022.578242612426</v>
      </c>
      <c r="BC19" s="2">
        <v>8.9181565948742242E-2</v>
      </c>
      <c r="BD19" s="2">
        <v>0.10665277883445198</v>
      </c>
      <c r="BE19" s="2">
        <v>9.438849084854764E-2</v>
      </c>
      <c r="BF19" s="2">
        <v>7.149564986855049E-2</v>
      </c>
      <c r="BG19" s="2">
        <v>0.10368571810536763</v>
      </c>
      <c r="BH19" s="2">
        <v>8.4970330952544637E-2</v>
      </c>
      <c r="BI19" s="2">
        <v>8.4593878877262704E-2</v>
      </c>
      <c r="BJ19" s="2">
        <v>5.7447105462779965E-2</v>
      </c>
      <c r="BK19" s="2">
        <v>8.5153852345557474E-2</v>
      </c>
      <c r="BL19" s="2">
        <v>7.4158058913035174E-2</v>
      </c>
      <c r="BM19" s="2">
        <v>7.5718189192107169E-2</v>
      </c>
      <c r="BN19" s="2">
        <v>7.3955559365675619E-2</v>
      </c>
      <c r="BO19" s="2">
        <f>SUM(BC19:BN19)</f>
        <v>1.0014011787146229</v>
      </c>
    </row>
    <row r="20" spans="1:67" x14ac:dyDescent="0.25">
      <c r="A20" s="8">
        <v>2474</v>
      </c>
      <c r="B20" s="8" t="s">
        <v>974</v>
      </c>
      <c r="C20" s="5">
        <v>100000</v>
      </c>
      <c r="D20" s="5">
        <f>+$C20*BC20</f>
        <v>8918.1565948742245</v>
      </c>
      <c r="E20" s="5">
        <f>+$C20*BD20</f>
        <v>10665.277883445198</v>
      </c>
      <c r="F20" s="5">
        <f>+$C20*BE20</f>
        <v>9438.8490848547644</v>
      </c>
      <c r="G20" s="5">
        <f>+$C20*BF20</f>
        <v>7149.564986855049</v>
      </c>
      <c r="H20" s="5">
        <f>+$C20*BG20</f>
        <v>10368.571810536763</v>
      </c>
      <c r="I20" s="5">
        <f>+$C20*BH20</f>
        <v>8497.0330952544646</v>
      </c>
      <c r="J20" s="5">
        <f>+$C20*BI20</f>
        <v>8459.3878877262705</v>
      </c>
      <c r="K20" s="5">
        <f>+$C20*BJ20</f>
        <v>5744.7105462779964</v>
      </c>
      <c r="L20" s="5">
        <f>+$C20*BK20</f>
        <v>8515.385234555748</v>
      </c>
      <c r="M20" s="5">
        <f>+$C20*BL20</f>
        <v>7415.8058913035175</v>
      </c>
      <c r="N20" s="5">
        <f>+$C20*BM20</f>
        <v>7571.8189192107166</v>
      </c>
      <c r="O20" s="5">
        <f>+$C20*BN20</f>
        <v>7395.5559365675617</v>
      </c>
      <c r="P20" s="5">
        <v>1500</v>
      </c>
      <c r="Q20" s="5">
        <f>+$P20*BC20</f>
        <v>133.77234892311336</v>
      </c>
      <c r="R20" s="5">
        <f>+$P20*BD20</f>
        <v>159.97916825167798</v>
      </c>
      <c r="S20" s="5">
        <f>+$P20*BE20</f>
        <v>141.58273627282145</v>
      </c>
      <c r="T20" s="5">
        <f>+$P20*BF20</f>
        <v>107.24347480282573</v>
      </c>
      <c r="U20" s="5">
        <f>+$P20*BG20</f>
        <v>155.52857715805143</v>
      </c>
      <c r="V20" s="5">
        <f>+$P20*BH20</f>
        <v>127.45549642881696</v>
      </c>
      <c r="W20" s="5">
        <f>+$P20*BI20</f>
        <v>126.89081831589405</v>
      </c>
      <c r="X20" s="5">
        <f>+$P20*BJ20</f>
        <v>86.170658194169945</v>
      </c>
      <c r="Y20" s="5">
        <f>+$P20*BK20</f>
        <v>127.73077851833621</v>
      </c>
      <c r="Z20" s="5">
        <f>+$P20*BL20</f>
        <v>111.23708836955277</v>
      </c>
      <c r="AA20" s="5">
        <f>+$P20*BM20</f>
        <v>113.57728378816076</v>
      </c>
      <c r="AB20" s="5">
        <f>+$P20*BN20</f>
        <v>110.93333904851343</v>
      </c>
      <c r="AC20" s="5">
        <v>0</v>
      </c>
      <c r="AD20" s="5">
        <f>+$AC20*BC20</f>
        <v>0</v>
      </c>
      <c r="AE20" s="5">
        <f>+$AC20*BD20</f>
        <v>0</v>
      </c>
      <c r="AF20" s="5">
        <f>+$AC20*BE20</f>
        <v>0</v>
      </c>
      <c r="AG20" s="5">
        <f>+$AC20*BF20</f>
        <v>0</v>
      </c>
      <c r="AH20" s="5">
        <f>+$AC20*BG20</f>
        <v>0</v>
      </c>
      <c r="AI20" s="5">
        <f>+$AC20*BH20</f>
        <v>0</v>
      </c>
      <c r="AJ20" s="5">
        <f>+$AC20*BI20</f>
        <v>0</v>
      </c>
      <c r="AK20" s="5">
        <f>+$AC20*BJ20</f>
        <v>0</v>
      </c>
      <c r="AL20" s="5">
        <f>+$AC20*BK20</f>
        <v>0</v>
      </c>
      <c r="AM20" s="5">
        <f>+$AC20*BL20</f>
        <v>0</v>
      </c>
      <c r="AN20" s="5">
        <f>+$AC20*BM20</f>
        <v>0</v>
      </c>
      <c r="AO20" s="5">
        <f>+$AC20*BN20</f>
        <v>0</v>
      </c>
      <c r="AP20" s="5">
        <f>+AC20+P20+C20</f>
        <v>101500</v>
      </c>
      <c r="AQ20" s="1">
        <v>7591.3447377816174</v>
      </c>
      <c r="AR20" s="1">
        <v>9078.5354883771506</v>
      </c>
      <c r="AS20" s="1">
        <v>8034.5704371473421</v>
      </c>
      <c r="AT20" s="1">
        <v>6085.8779460751584</v>
      </c>
      <c r="AU20" s="1">
        <v>8825.9722976235953</v>
      </c>
      <c r="AV20" s="1">
        <v>7232.8745058693312</v>
      </c>
      <c r="AW20" s="1">
        <v>7200.8300194295998</v>
      </c>
      <c r="AX20" s="1">
        <v>4890.0327900309849</v>
      </c>
      <c r="AY20" s="1">
        <v>7248.4962786684218</v>
      </c>
      <c r="AZ20" s="1">
        <v>6312.5084685901766</v>
      </c>
      <c r="BA20" s="1">
        <v>6445.3104289313314</v>
      </c>
      <c r="BB20" s="1">
        <v>6295.271230637496</v>
      </c>
      <c r="BC20" s="2">
        <v>8.9181565948742242E-2</v>
      </c>
      <c r="BD20" s="2">
        <v>0.10665277883445198</v>
      </c>
      <c r="BE20" s="2">
        <v>9.438849084854764E-2</v>
      </c>
      <c r="BF20" s="2">
        <v>7.149564986855049E-2</v>
      </c>
      <c r="BG20" s="2">
        <v>0.10368571810536763</v>
      </c>
      <c r="BH20" s="2">
        <v>8.4970330952544637E-2</v>
      </c>
      <c r="BI20" s="2">
        <v>8.4593878877262704E-2</v>
      </c>
      <c r="BJ20" s="2">
        <v>5.7447105462779965E-2</v>
      </c>
      <c r="BK20" s="2">
        <v>8.5153852345557474E-2</v>
      </c>
      <c r="BL20" s="2">
        <v>7.4158058913035174E-2</v>
      </c>
      <c r="BM20" s="2">
        <v>7.5718189192107169E-2</v>
      </c>
      <c r="BN20" s="2">
        <v>7.3955559365675619E-2</v>
      </c>
      <c r="BO20" s="2">
        <f>SUM(BC20:BN20)</f>
        <v>1.0014011787146229</v>
      </c>
    </row>
    <row r="21" spans="1:67" x14ac:dyDescent="0.25">
      <c r="A21" s="8">
        <v>2824</v>
      </c>
      <c r="B21" s="8" t="s">
        <v>973</v>
      </c>
      <c r="C21" s="5">
        <v>30000</v>
      </c>
      <c r="D21" s="5">
        <f>+$C21*BC21</f>
        <v>2675.4469784622675</v>
      </c>
      <c r="E21" s="5">
        <f>+$C21*BD21</f>
        <v>3199.5833650335594</v>
      </c>
      <c r="F21" s="5">
        <f>+$C21*BE21</f>
        <v>2831.6547254564293</v>
      </c>
      <c r="G21" s="5">
        <f>+$C21*BF21</f>
        <v>2144.8694960565149</v>
      </c>
      <c r="H21" s="5">
        <f>+$C21*BG21</f>
        <v>3110.5715431610288</v>
      </c>
      <c r="I21" s="5">
        <f>+$C21*BH21</f>
        <v>2549.1099285763389</v>
      </c>
      <c r="J21" s="5">
        <f>+$C21*BI21</f>
        <v>2537.8163663178811</v>
      </c>
      <c r="K21" s="5">
        <f>+$C21*BJ21</f>
        <v>1723.413163883399</v>
      </c>
      <c r="L21" s="5">
        <f>+$C21*BK21</f>
        <v>2554.6155703667241</v>
      </c>
      <c r="M21" s="5">
        <f>+$C21*BL21</f>
        <v>2224.7417673910554</v>
      </c>
      <c r="N21" s="5">
        <f>+$C21*BM21</f>
        <v>2271.5456757632151</v>
      </c>
      <c r="O21" s="5">
        <f>+$C21*BN21</f>
        <v>2218.6667809702685</v>
      </c>
      <c r="P21" s="5">
        <v>25000</v>
      </c>
      <c r="Q21" s="5">
        <f>+$P21*BC21</f>
        <v>2229.5391487185561</v>
      </c>
      <c r="R21" s="5">
        <f>+$P21*BD21</f>
        <v>2666.3194708612996</v>
      </c>
      <c r="S21" s="5">
        <f>+$P21*BE21</f>
        <v>2359.7122712136911</v>
      </c>
      <c r="T21" s="5">
        <f>+$P21*BF21</f>
        <v>1787.3912467137623</v>
      </c>
      <c r="U21" s="5">
        <f>+$P21*BG21</f>
        <v>2592.1429526341908</v>
      </c>
      <c r="V21" s="5">
        <f>+$P21*BH21</f>
        <v>2124.2582738136161</v>
      </c>
      <c r="W21" s="5">
        <f>+$P21*BI21</f>
        <v>2114.8469719315676</v>
      </c>
      <c r="X21" s="5">
        <f>+$P21*BJ21</f>
        <v>1436.1776365694991</v>
      </c>
      <c r="Y21" s="5">
        <f>+$P21*BK21</f>
        <v>2128.846308638937</v>
      </c>
      <c r="Z21" s="5">
        <f>+$P21*BL21</f>
        <v>1853.9514728258794</v>
      </c>
      <c r="AA21" s="5">
        <f>+$P21*BM21</f>
        <v>1892.9547298026791</v>
      </c>
      <c r="AB21" s="5">
        <f>+$P21*BN21</f>
        <v>1848.8889841418904</v>
      </c>
      <c r="AC21" s="5">
        <v>6000</v>
      </c>
      <c r="AD21" s="5">
        <f>+$AC21*BC21</f>
        <v>535.08939569245342</v>
      </c>
      <c r="AE21" s="5">
        <f>+$AC21*BD21</f>
        <v>639.9166730067119</v>
      </c>
      <c r="AF21" s="5">
        <f>+$AC21*BE21</f>
        <v>566.3309450912858</v>
      </c>
      <c r="AG21" s="5">
        <f>+$AC21*BF21</f>
        <v>428.97389921130292</v>
      </c>
      <c r="AH21" s="5">
        <f>+$AC21*BG21</f>
        <v>622.11430863220573</v>
      </c>
      <c r="AI21" s="5">
        <f>+$AC21*BH21</f>
        <v>509.82198571526783</v>
      </c>
      <c r="AJ21" s="5">
        <f>+$AC21*BI21</f>
        <v>507.56327326357621</v>
      </c>
      <c r="AK21" s="5">
        <f>+$AC21*BJ21</f>
        <v>344.68263277667978</v>
      </c>
      <c r="AL21" s="5">
        <f>+$AC21*BK21</f>
        <v>510.92311407334483</v>
      </c>
      <c r="AM21" s="5">
        <f>+$AC21*BL21</f>
        <v>444.94835347821106</v>
      </c>
      <c r="AN21" s="5">
        <f>+$AC21*BM21</f>
        <v>454.30913515264302</v>
      </c>
      <c r="AO21" s="5">
        <f>+$AC21*BN21</f>
        <v>443.73335619405373</v>
      </c>
      <c r="AP21" s="5">
        <f>+AC21+P21+C21</f>
        <v>61000</v>
      </c>
      <c r="AQ21" s="1">
        <v>9364.0644246179345</v>
      </c>
      <c r="AR21" s="1">
        <v>11198.541777617458</v>
      </c>
      <c r="AS21" s="1">
        <v>9910.7915390975031</v>
      </c>
      <c r="AT21" s="1">
        <v>7507.0432361978019</v>
      </c>
      <c r="AU21" s="1">
        <v>10887.0004010636</v>
      </c>
      <c r="AV21" s="1">
        <v>8921.8847500171869</v>
      </c>
      <c r="AW21" s="1">
        <v>8882.3572821125836</v>
      </c>
      <c r="AX21" s="1">
        <v>6031.9460735918965</v>
      </c>
      <c r="AY21" s="1">
        <v>8941.1544962835342</v>
      </c>
      <c r="AZ21" s="1">
        <v>7786.5961858686933</v>
      </c>
      <c r="BA21" s="1">
        <v>7950.4098651712529</v>
      </c>
      <c r="BB21" s="1">
        <v>7765.3337333959398</v>
      </c>
      <c r="BC21" s="2">
        <v>8.9181565948742242E-2</v>
      </c>
      <c r="BD21" s="2">
        <v>0.10665277883445198</v>
      </c>
      <c r="BE21" s="2">
        <v>9.438849084854764E-2</v>
      </c>
      <c r="BF21" s="2">
        <v>7.149564986855049E-2</v>
      </c>
      <c r="BG21" s="2">
        <v>0.10368571810536763</v>
      </c>
      <c r="BH21" s="2">
        <v>8.4970330952544637E-2</v>
      </c>
      <c r="BI21" s="2">
        <v>8.4593878877262704E-2</v>
      </c>
      <c r="BJ21" s="2">
        <v>5.7447105462779965E-2</v>
      </c>
      <c r="BK21" s="2">
        <v>8.5153852345557474E-2</v>
      </c>
      <c r="BL21" s="2">
        <v>7.4158058913035174E-2</v>
      </c>
      <c r="BM21" s="2">
        <v>7.5718189192107169E-2</v>
      </c>
      <c r="BN21" s="2">
        <v>7.3955559365675619E-2</v>
      </c>
      <c r="BO21" s="2">
        <f>SUM(BC21:BN21)</f>
        <v>1.0014011787146229</v>
      </c>
    </row>
    <row r="22" spans="1:67" x14ac:dyDescent="0.25">
      <c r="A22" s="8">
        <v>4918</v>
      </c>
      <c r="B22" s="8" t="s">
        <v>972</v>
      </c>
      <c r="C22" s="5">
        <v>0</v>
      </c>
      <c r="D22" s="5">
        <f>+$C22*BC22</f>
        <v>0</v>
      </c>
      <c r="E22" s="5">
        <f>+$C22*BD22</f>
        <v>0</v>
      </c>
      <c r="F22" s="5">
        <f>+$C22*BE22</f>
        <v>0</v>
      </c>
      <c r="G22" s="5">
        <f>+$C22*BF22</f>
        <v>0</v>
      </c>
      <c r="H22" s="5">
        <f>+$C22*BG22</f>
        <v>0</v>
      </c>
      <c r="I22" s="5">
        <f>+$C22*BH22</f>
        <v>0</v>
      </c>
      <c r="J22" s="5">
        <f>+$C22*BI22</f>
        <v>0</v>
      </c>
      <c r="K22" s="5">
        <f>+$C22*BJ22</f>
        <v>0</v>
      </c>
      <c r="L22" s="5">
        <f>+$C22*BK22</f>
        <v>0</v>
      </c>
      <c r="M22" s="5">
        <f>+$C22*BL22</f>
        <v>0</v>
      </c>
      <c r="N22" s="5">
        <f>+$C22*BM22</f>
        <v>0</v>
      </c>
      <c r="O22" s="5">
        <f>+$C22*BN22</f>
        <v>0</v>
      </c>
      <c r="P22" s="5">
        <v>140000</v>
      </c>
      <c r="Q22" s="5">
        <f>+$P22*BC22</f>
        <v>12485.419232823913</v>
      </c>
      <c r="R22" s="5">
        <f>+$P22*BD22</f>
        <v>14931.389036823277</v>
      </c>
      <c r="S22" s="5">
        <f>+$P22*BE22</f>
        <v>13214.38871879667</v>
      </c>
      <c r="T22" s="5">
        <f>+$P22*BF22</f>
        <v>10009.390981597069</v>
      </c>
      <c r="U22" s="5">
        <f>+$P22*BG22</f>
        <v>14516.000534751467</v>
      </c>
      <c r="V22" s="5">
        <f>+$P22*BH22</f>
        <v>11895.846333356249</v>
      </c>
      <c r="W22" s="5">
        <f>+$P22*BI22</f>
        <v>11843.143042816779</v>
      </c>
      <c r="X22" s="5">
        <f>+$P22*BJ22</f>
        <v>8042.5947647891953</v>
      </c>
      <c r="Y22" s="5">
        <f>+$P22*BK22</f>
        <v>11921.539328378047</v>
      </c>
      <c r="Z22" s="5">
        <f>+$P22*BL22</f>
        <v>10382.128247824925</v>
      </c>
      <c r="AA22" s="5">
        <f>+$P22*BM22</f>
        <v>10600.546486895004</v>
      </c>
      <c r="AB22" s="5">
        <f>+$P22*BN22</f>
        <v>10353.778311194586</v>
      </c>
      <c r="AC22" s="5">
        <v>0</v>
      </c>
      <c r="AD22" s="5">
        <f>+$AC22*BC22</f>
        <v>0</v>
      </c>
      <c r="AE22" s="5">
        <f>+$AC22*BD22</f>
        <v>0</v>
      </c>
      <c r="AF22" s="5">
        <f>+$AC22*BE22</f>
        <v>0</v>
      </c>
      <c r="AG22" s="5">
        <f>+$AC22*BF22</f>
        <v>0</v>
      </c>
      <c r="AH22" s="5">
        <f>+$AC22*BG22</f>
        <v>0</v>
      </c>
      <c r="AI22" s="5">
        <f>+$AC22*BH22</f>
        <v>0</v>
      </c>
      <c r="AJ22" s="5">
        <f>+$AC22*BI22</f>
        <v>0</v>
      </c>
      <c r="AK22" s="5">
        <f>+$AC22*BJ22</f>
        <v>0</v>
      </c>
      <c r="AL22" s="5">
        <f>+$AC22*BK22</f>
        <v>0</v>
      </c>
      <c r="AM22" s="5">
        <f>+$AC22*BL22</f>
        <v>0</v>
      </c>
      <c r="AN22" s="5">
        <f>+$AC22*BM22</f>
        <v>0</v>
      </c>
      <c r="AO22" s="5">
        <f>+$AC22*BN22</f>
        <v>0</v>
      </c>
      <c r="AP22" s="5">
        <f>+AC22+P22+C22</f>
        <v>140000</v>
      </c>
      <c r="AQ22" s="1">
        <v>8918.1565948742245</v>
      </c>
      <c r="AR22" s="1">
        <v>10665.277883445198</v>
      </c>
      <c r="AS22" s="1">
        <v>9438.8490848547644</v>
      </c>
      <c r="AT22" s="1">
        <v>7149.564986855049</v>
      </c>
      <c r="AU22" s="1">
        <v>10368.571810536763</v>
      </c>
      <c r="AV22" s="1">
        <v>8497.0330952544646</v>
      </c>
      <c r="AW22" s="1">
        <v>8459.3878877262705</v>
      </c>
      <c r="AX22" s="1">
        <v>5744.7105462779964</v>
      </c>
      <c r="AY22" s="1">
        <v>8515.385234555748</v>
      </c>
      <c r="AZ22" s="1">
        <v>7415.8058913035175</v>
      </c>
      <c r="BA22" s="1">
        <v>7571.8189192107166</v>
      </c>
      <c r="BB22" s="1">
        <v>7395.5559365675617</v>
      </c>
      <c r="BC22" s="2">
        <v>8.9181565948742242E-2</v>
      </c>
      <c r="BD22" s="2">
        <v>0.10665277883445198</v>
      </c>
      <c r="BE22" s="2">
        <v>9.438849084854764E-2</v>
      </c>
      <c r="BF22" s="2">
        <v>7.149564986855049E-2</v>
      </c>
      <c r="BG22" s="2">
        <v>0.10368571810536763</v>
      </c>
      <c r="BH22" s="2">
        <v>8.4970330952544637E-2</v>
      </c>
      <c r="BI22" s="2">
        <v>8.4593878877262704E-2</v>
      </c>
      <c r="BJ22" s="2">
        <v>5.7447105462779965E-2</v>
      </c>
      <c r="BK22" s="2">
        <v>8.5153852345557474E-2</v>
      </c>
      <c r="BL22" s="2">
        <v>7.4158058913035174E-2</v>
      </c>
      <c r="BM22" s="2">
        <v>7.5718189192107169E-2</v>
      </c>
      <c r="BN22" s="2">
        <v>7.3955559365675619E-2</v>
      </c>
      <c r="BO22" s="2">
        <f>SUM(BC22:BN22)</f>
        <v>1.0014011787146229</v>
      </c>
    </row>
    <row r="23" spans="1:67" x14ac:dyDescent="0.25">
      <c r="A23" s="8">
        <v>5190</v>
      </c>
      <c r="B23" s="8" t="s">
        <v>971</v>
      </c>
      <c r="C23" s="5">
        <v>25000</v>
      </c>
      <c r="D23" s="5">
        <f>+$C23*BC23</f>
        <v>2229.5391487185561</v>
      </c>
      <c r="E23" s="5">
        <f>+$C23*BD23</f>
        <v>2666.3194708612996</v>
      </c>
      <c r="F23" s="5">
        <f>+$C23*BE23</f>
        <v>2359.7122712136911</v>
      </c>
      <c r="G23" s="5">
        <f>+$C23*BF23</f>
        <v>1787.3912467137623</v>
      </c>
      <c r="H23" s="5">
        <f>+$C23*BG23</f>
        <v>2592.1429526341908</v>
      </c>
      <c r="I23" s="5">
        <f>+$C23*BH23</f>
        <v>2124.2582738136161</v>
      </c>
      <c r="J23" s="5">
        <f>+$C23*BI23</f>
        <v>2114.8469719315676</v>
      </c>
      <c r="K23" s="5">
        <f>+$C23*BJ23</f>
        <v>1436.1776365694991</v>
      </c>
      <c r="L23" s="5">
        <f>+$C23*BK23</f>
        <v>2128.846308638937</v>
      </c>
      <c r="M23" s="5">
        <f>+$C23*BL23</f>
        <v>1853.9514728258794</v>
      </c>
      <c r="N23" s="5">
        <f>+$C23*BM23</f>
        <v>1892.9547298026791</v>
      </c>
      <c r="O23" s="5">
        <f>+$C23*BN23</f>
        <v>1848.8889841418904</v>
      </c>
      <c r="P23" s="5">
        <v>15000</v>
      </c>
      <c r="Q23" s="5">
        <f>+$P23*BC23</f>
        <v>1337.7234892311337</v>
      </c>
      <c r="R23" s="5">
        <f>+$P23*BD23</f>
        <v>1599.7916825167797</v>
      </c>
      <c r="S23" s="5">
        <f>+$P23*BE23</f>
        <v>1415.8273627282147</v>
      </c>
      <c r="T23" s="5">
        <f>+$P23*BF23</f>
        <v>1072.4347480282574</v>
      </c>
      <c r="U23" s="5">
        <f>+$P23*BG23</f>
        <v>1555.2857715805144</v>
      </c>
      <c r="V23" s="5">
        <f>+$P23*BH23</f>
        <v>1274.5549642881695</v>
      </c>
      <c r="W23" s="5">
        <f>+$P23*BI23</f>
        <v>1268.9081831589406</v>
      </c>
      <c r="X23" s="5">
        <f>+$P23*BJ23</f>
        <v>861.70658194169948</v>
      </c>
      <c r="Y23" s="5">
        <f>+$P23*BK23</f>
        <v>1277.3077851833621</v>
      </c>
      <c r="Z23" s="5">
        <f>+$P23*BL23</f>
        <v>1112.3708836955277</v>
      </c>
      <c r="AA23" s="5">
        <f>+$P23*BM23</f>
        <v>1135.7728378816075</v>
      </c>
      <c r="AB23" s="5">
        <f>+$P23*BN23</f>
        <v>1109.3333904851343</v>
      </c>
      <c r="AC23" s="5">
        <v>5000</v>
      </c>
      <c r="AD23" s="5">
        <f>+$AC23*BC23</f>
        <v>445.9078297437112</v>
      </c>
      <c r="AE23" s="5">
        <f>+$AC23*BD23</f>
        <v>533.26389417225994</v>
      </c>
      <c r="AF23" s="5">
        <f>+$AC23*BE23</f>
        <v>471.94245424273822</v>
      </c>
      <c r="AG23" s="5">
        <f>+$AC23*BF23</f>
        <v>357.47824934275246</v>
      </c>
      <c r="AH23" s="5">
        <f>+$AC23*BG23</f>
        <v>518.42859052683809</v>
      </c>
      <c r="AI23" s="5">
        <f>+$AC23*BH23</f>
        <v>424.85165476272317</v>
      </c>
      <c r="AJ23" s="5">
        <f>+$AC23*BI23</f>
        <v>422.96939438631352</v>
      </c>
      <c r="AK23" s="5">
        <f>+$AC23*BJ23</f>
        <v>287.23552731389981</v>
      </c>
      <c r="AL23" s="5">
        <f>+$AC23*BK23</f>
        <v>425.76926172778735</v>
      </c>
      <c r="AM23" s="5">
        <f>+$AC23*BL23</f>
        <v>370.79029456517588</v>
      </c>
      <c r="AN23" s="5">
        <f>+$AC23*BM23</f>
        <v>378.59094596053586</v>
      </c>
      <c r="AO23" s="5">
        <f>+$AC23*BN23</f>
        <v>369.77779682837809</v>
      </c>
      <c r="AP23" s="5">
        <f>+AC23+P23+C23</f>
        <v>45000</v>
      </c>
      <c r="AQ23" s="1">
        <v>12485.419232823913</v>
      </c>
      <c r="AR23" s="1">
        <v>14931.389036823277</v>
      </c>
      <c r="AS23" s="1">
        <v>13214.38871879667</v>
      </c>
      <c r="AT23" s="1">
        <v>10009.390981597069</v>
      </c>
      <c r="AU23" s="1">
        <v>14516.000534751467</v>
      </c>
      <c r="AV23" s="1">
        <v>11895.846333356249</v>
      </c>
      <c r="AW23" s="1">
        <v>11843.143042816779</v>
      </c>
      <c r="AX23" s="1">
        <v>8042.5947647891953</v>
      </c>
      <c r="AY23" s="1">
        <v>11921.539328378047</v>
      </c>
      <c r="AZ23" s="1">
        <v>10382.128247824925</v>
      </c>
      <c r="BA23" s="1">
        <v>10600.546486895004</v>
      </c>
      <c r="BB23" s="1">
        <v>10353.778311194586</v>
      </c>
      <c r="BC23" s="2">
        <v>8.9181565948742242E-2</v>
      </c>
      <c r="BD23" s="2">
        <v>0.10665277883445198</v>
      </c>
      <c r="BE23" s="2">
        <v>9.438849084854764E-2</v>
      </c>
      <c r="BF23" s="2">
        <v>7.149564986855049E-2</v>
      </c>
      <c r="BG23" s="2">
        <v>0.10368571810536763</v>
      </c>
      <c r="BH23" s="2">
        <v>8.4970330952544637E-2</v>
      </c>
      <c r="BI23" s="2">
        <v>8.4593878877262704E-2</v>
      </c>
      <c r="BJ23" s="2">
        <v>5.7447105462779965E-2</v>
      </c>
      <c r="BK23" s="2">
        <v>8.5153852345557474E-2</v>
      </c>
      <c r="BL23" s="2">
        <v>7.4158058913035174E-2</v>
      </c>
      <c r="BM23" s="2">
        <v>7.5718189192107169E-2</v>
      </c>
      <c r="BN23" s="2">
        <v>7.3955559365675619E-2</v>
      </c>
      <c r="BO23" s="2">
        <f>SUM(BC23:BN23)</f>
        <v>1.0014011787146229</v>
      </c>
    </row>
    <row r="24" spans="1:67" x14ac:dyDescent="0.25">
      <c r="A24" s="8">
        <v>34710</v>
      </c>
      <c r="B24" s="8" t="s">
        <v>970</v>
      </c>
      <c r="C24" s="5">
        <v>80000</v>
      </c>
      <c r="D24" s="5">
        <f>+$C24*BC24</f>
        <v>7134.5252758993793</v>
      </c>
      <c r="E24" s="5">
        <f>+$C24*BD24</f>
        <v>8532.222306756159</v>
      </c>
      <c r="F24" s="5">
        <f>+$C24*BE24</f>
        <v>7551.0792678838116</v>
      </c>
      <c r="G24" s="5">
        <f>+$C24*BF24</f>
        <v>5719.6519894840394</v>
      </c>
      <c r="H24" s="5">
        <f>+$C24*BG24</f>
        <v>8294.8574484294095</v>
      </c>
      <c r="I24" s="5">
        <f>+$C24*BH24</f>
        <v>6797.6264762035707</v>
      </c>
      <c r="J24" s="5">
        <f>+$C24*BI24</f>
        <v>6767.5103101810164</v>
      </c>
      <c r="K24" s="5">
        <f>+$C24*BJ24</f>
        <v>4595.7684370223969</v>
      </c>
      <c r="L24" s="5">
        <f>+$C24*BK24</f>
        <v>6812.3081876445976</v>
      </c>
      <c r="M24" s="5">
        <f>+$C24*BL24</f>
        <v>5932.6447130428141</v>
      </c>
      <c r="N24" s="5">
        <f>+$C24*BM24</f>
        <v>6057.4551353685738</v>
      </c>
      <c r="O24" s="5">
        <f>+$C24*BN24</f>
        <v>5916.4447492540494</v>
      </c>
      <c r="P24" s="5">
        <v>2000</v>
      </c>
      <c r="Q24" s="5">
        <f>+$P24*BC24</f>
        <v>178.36313189748449</v>
      </c>
      <c r="R24" s="5">
        <f>+$P24*BD24</f>
        <v>213.30555766890396</v>
      </c>
      <c r="S24" s="5">
        <f>+$P24*BE24</f>
        <v>188.77698169709529</v>
      </c>
      <c r="T24" s="5">
        <f>+$P24*BF24</f>
        <v>142.99129973710097</v>
      </c>
      <c r="U24" s="5">
        <f>+$P24*BG24</f>
        <v>207.37143621073525</v>
      </c>
      <c r="V24" s="5">
        <f>+$P24*BH24</f>
        <v>169.94066190508929</v>
      </c>
      <c r="W24" s="5">
        <f>+$P24*BI24</f>
        <v>169.18775775452542</v>
      </c>
      <c r="X24" s="5">
        <f>+$P24*BJ24</f>
        <v>114.89421092555993</v>
      </c>
      <c r="Y24" s="5">
        <f>+$P24*BK24</f>
        <v>170.30770469111494</v>
      </c>
      <c r="Z24" s="5">
        <f>+$P24*BL24</f>
        <v>148.31611782607035</v>
      </c>
      <c r="AA24" s="5">
        <f>+$P24*BM24</f>
        <v>151.43637838421435</v>
      </c>
      <c r="AB24" s="5">
        <f>+$P24*BN24</f>
        <v>147.91111873135125</v>
      </c>
      <c r="AC24" s="5">
        <v>15000</v>
      </c>
      <c r="AD24" s="5">
        <f>+$AC24*BC24</f>
        <v>1337.7234892311337</v>
      </c>
      <c r="AE24" s="5">
        <f>+$AC24*BD24</f>
        <v>1599.7916825167797</v>
      </c>
      <c r="AF24" s="5">
        <f>+$AC24*BE24</f>
        <v>1415.8273627282147</v>
      </c>
      <c r="AG24" s="5">
        <f>+$AC24*BF24</f>
        <v>1072.4347480282574</v>
      </c>
      <c r="AH24" s="5">
        <f>+$AC24*BG24</f>
        <v>1555.2857715805144</v>
      </c>
      <c r="AI24" s="5">
        <f>+$AC24*BH24</f>
        <v>1274.5549642881695</v>
      </c>
      <c r="AJ24" s="5">
        <f>+$AC24*BI24</f>
        <v>1268.9081831589406</v>
      </c>
      <c r="AK24" s="5">
        <f>+$AC24*BJ24</f>
        <v>861.70658194169948</v>
      </c>
      <c r="AL24" s="5">
        <f>+$AC24*BK24</f>
        <v>1277.3077851833621</v>
      </c>
      <c r="AM24" s="5">
        <f>+$AC24*BL24</f>
        <v>1112.3708836955277</v>
      </c>
      <c r="AN24" s="5">
        <f>+$AC24*BM24</f>
        <v>1135.7728378816075</v>
      </c>
      <c r="AO24" s="5">
        <f>+$AC24*BN24</f>
        <v>1109.3333904851343</v>
      </c>
      <c r="AP24" s="5">
        <f>+AC24+P24+C24</f>
        <v>97000</v>
      </c>
      <c r="AQ24" s="1">
        <v>8472.2487651305128</v>
      </c>
      <c r="AR24" s="1">
        <v>10132.013989272938</v>
      </c>
      <c r="AS24" s="1">
        <v>8966.9066306120258</v>
      </c>
      <c r="AT24" s="1">
        <v>6792.0867375122962</v>
      </c>
      <c r="AU24" s="1">
        <v>9850.1432200099243</v>
      </c>
      <c r="AV24" s="1">
        <v>8072.1814404917404</v>
      </c>
      <c r="AW24" s="1">
        <v>8036.4184933399565</v>
      </c>
      <c r="AX24" s="1">
        <v>5457.4750189640963</v>
      </c>
      <c r="AY24" s="1">
        <v>8089.6159728279599</v>
      </c>
      <c r="AZ24" s="1">
        <v>7045.0155967383416</v>
      </c>
      <c r="BA24" s="1">
        <v>7193.2279732501811</v>
      </c>
      <c r="BB24" s="1">
        <v>7025.7781397391836</v>
      </c>
      <c r="BC24" s="2">
        <v>8.9181565948742242E-2</v>
      </c>
      <c r="BD24" s="2">
        <v>0.10665277883445198</v>
      </c>
      <c r="BE24" s="2">
        <v>9.438849084854764E-2</v>
      </c>
      <c r="BF24" s="2">
        <v>7.149564986855049E-2</v>
      </c>
      <c r="BG24" s="2">
        <v>0.10368571810536763</v>
      </c>
      <c r="BH24" s="2">
        <v>8.4970330952544637E-2</v>
      </c>
      <c r="BI24" s="2">
        <v>8.4593878877262704E-2</v>
      </c>
      <c r="BJ24" s="2">
        <v>5.7447105462779965E-2</v>
      </c>
      <c r="BK24" s="2">
        <v>8.5153852345557474E-2</v>
      </c>
      <c r="BL24" s="2">
        <v>7.4158058913035174E-2</v>
      </c>
      <c r="BM24" s="2">
        <v>7.5718189192107169E-2</v>
      </c>
      <c r="BN24" s="2">
        <v>7.3955559365675619E-2</v>
      </c>
      <c r="BO24" s="2">
        <f>SUM(BC24:BN24)</f>
        <v>1.0014011787146229</v>
      </c>
    </row>
    <row r="25" spans="1:67" x14ac:dyDescent="0.25">
      <c r="A25" s="8">
        <v>2794</v>
      </c>
      <c r="B25" s="8" t="s">
        <v>969</v>
      </c>
      <c r="C25" s="5">
        <v>200000</v>
      </c>
      <c r="D25" s="5">
        <f>+$C25*BC25</f>
        <v>17836.313189748449</v>
      </c>
      <c r="E25" s="5">
        <f>+$C25*BD25</f>
        <v>21330.555766890397</v>
      </c>
      <c r="F25" s="5">
        <f>+$C25*BE25</f>
        <v>18877.698169709529</v>
      </c>
      <c r="G25" s="5">
        <f>+$C25*BF25</f>
        <v>14299.129973710098</v>
      </c>
      <c r="H25" s="5">
        <f>+$C25*BG25</f>
        <v>20737.143621073526</v>
      </c>
      <c r="I25" s="5">
        <f>+$C25*BH25</f>
        <v>16994.066190508929</v>
      </c>
      <c r="J25" s="5">
        <f>+$C25*BI25</f>
        <v>16918.775775452541</v>
      </c>
      <c r="K25" s="5">
        <f>+$C25*BJ25</f>
        <v>11489.421092555993</v>
      </c>
      <c r="L25" s="5">
        <f>+$C25*BK25</f>
        <v>17030.770469111496</v>
      </c>
      <c r="M25" s="5">
        <f>+$C25*BL25</f>
        <v>14831.611782607035</v>
      </c>
      <c r="N25" s="5">
        <f>+$C25*BM25</f>
        <v>15143.637838421433</v>
      </c>
      <c r="O25" s="5">
        <f>+$C25*BN25</f>
        <v>14791.111873135123</v>
      </c>
      <c r="P25" s="5">
        <v>1000</v>
      </c>
      <c r="Q25" s="5">
        <f>+$P25*BC25</f>
        <v>89.181565948742247</v>
      </c>
      <c r="R25" s="5">
        <f>+$P25*BD25</f>
        <v>106.65277883445198</v>
      </c>
      <c r="S25" s="5">
        <f>+$P25*BE25</f>
        <v>94.388490848547647</v>
      </c>
      <c r="T25" s="5">
        <f>+$P25*BF25</f>
        <v>71.495649868550487</v>
      </c>
      <c r="U25" s="5">
        <f>+$P25*BG25</f>
        <v>103.68571810536763</v>
      </c>
      <c r="V25" s="5">
        <f>+$P25*BH25</f>
        <v>84.970330952544643</v>
      </c>
      <c r="W25" s="5">
        <f>+$P25*BI25</f>
        <v>84.593878877262711</v>
      </c>
      <c r="X25" s="5">
        <f>+$P25*BJ25</f>
        <v>57.447105462779966</v>
      </c>
      <c r="Y25" s="5">
        <f>+$P25*BK25</f>
        <v>85.153852345557468</v>
      </c>
      <c r="Z25" s="5">
        <f>+$P25*BL25</f>
        <v>74.158058913035177</v>
      </c>
      <c r="AA25" s="5">
        <f>+$P25*BM25</f>
        <v>75.718189192107175</v>
      </c>
      <c r="AB25" s="5">
        <f>+$P25*BN25</f>
        <v>73.955559365675626</v>
      </c>
      <c r="AC25" s="5">
        <v>0</v>
      </c>
      <c r="AD25" s="5">
        <f>+$AC25*BC25</f>
        <v>0</v>
      </c>
      <c r="AE25" s="5">
        <f>+$AC25*BD25</f>
        <v>0</v>
      </c>
      <c r="AF25" s="5">
        <f>+$AC25*BE25</f>
        <v>0</v>
      </c>
      <c r="AG25" s="5">
        <f>+$AC25*BF25</f>
        <v>0</v>
      </c>
      <c r="AH25" s="5">
        <f>+$AC25*BG25</f>
        <v>0</v>
      </c>
      <c r="AI25" s="5">
        <f>+$AC25*BH25</f>
        <v>0</v>
      </c>
      <c r="AJ25" s="5">
        <f>+$AC25*BI25</f>
        <v>0</v>
      </c>
      <c r="AK25" s="5">
        <f>+$AC25*BJ25</f>
        <v>0</v>
      </c>
      <c r="AL25" s="5">
        <f>+$AC25*BK25</f>
        <v>0</v>
      </c>
      <c r="AM25" s="5">
        <f>+$AC25*BL25</f>
        <v>0</v>
      </c>
      <c r="AN25" s="5">
        <f>+$AC25*BM25</f>
        <v>0</v>
      </c>
      <c r="AO25" s="5">
        <f>+$AC25*BN25</f>
        <v>0</v>
      </c>
      <c r="AP25" s="5">
        <f>+AC25+P25+C25</f>
        <v>201000</v>
      </c>
      <c r="AQ25" s="1">
        <v>13005.616020455454</v>
      </c>
      <c r="AR25" s="1">
        <v>15553.495548986866</v>
      </c>
      <c r="AS25" s="1">
        <v>13764.957541024174</v>
      </c>
      <c r="AT25" s="1">
        <v>10426.425679245523</v>
      </c>
      <c r="AU25" s="1">
        <v>15120.800157945821</v>
      </c>
      <c r="AV25" s="1">
        <v>12391.478953565091</v>
      </c>
      <c r="AW25" s="1">
        <v>12336.579815058883</v>
      </c>
      <c r="AX25" s="1">
        <v>8377.6841905304336</v>
      </c>
      <c r="AY25" s="1">
        <v>12418.242430340502</v>
      </c>
      <c r="AZ25" s="1">
        <v>10814.692798729129</v>
      </c>
      <c r="BA25" s="1">
        <v>11042.211290198078</v>
      </c>
      <c r="BB25" s="1">
        <v>10785.161680619047</v>
      </c>
      <c r="BC25" s="2">
        <v>8.9181565948742242E-2</v>
      </c>
      <c r="BD25" s="2">
        <v>0.10665277883445198</v>
      </c>
      <c r="BE25" s="2">
        <v>9.438849084854764E-2</v>
      </c>
      <c r="BF25" s="2">
        <v>7.149564986855049E-2</v>
      </c>
      <c r="BG25" s="2">
        <v>0.10368571810536763</v>
      </c>
      <c r="BH25" s="2">
        <v>8.4970330952544637E-2</v>
      </c>
      <c r="BI25" s="2">
        <v>8.4593878877262704E-2</v>
      </c>
      <c r="BJ25" s="2">
        <v>5.7447105462779965E-2</v>
      </c>
      <c r="BK25" s="2">
        <v>8.5153852345557474E-2</v>
      </c>
      <c r="BL25" s="2">
        <v>7.4158058913035174E-2</v>
      </c>
      <c r="BM25" s="2">
        <v>7.5718189192107169E-2</v>
      </c>
      <c r="BN25" s="2">
        <v>7.3955559365675619E-2</v>
      </c>
      <c r="BO25" s="2">
        <f>SUM(BC25:BN25)</f>
        <v>1.0014011787146229</v>
      </c>
    </row>
    <row r="26" spans="1:67" x14ac:dyDescent="0.25">
      <c r="A26" s="8">
        <v>4277</v>
      </c>
      <c r="B26" s="8" t="s">
        <v>968</v>
      </c>
      <c r="C26" s="5">
        <v>0</v>
      </c>
      <c r="D26" s="5">
        <f>+$C26*BC26</f>
        <v>0</v>
      </c>
      <c r="E26" s="5">
        <f>+$C26*BD26</f>
        <v>0</v>
      </c>
      <c r="F26" s="5">
        <f>+$C26*BE26</f>
        <v>0</v>
      </c>
      <c r="G26" s="5">
        <f>+$C26*BF26</f>
        <v>0</v>
      </c>
      <c r="H26" s="5">
        <f>+$C26*BG26</f>
        <v>0</v>
      </c>
      <c r="I26" s="5">
        <f>+$C26*BH26</f>
        <v>0</v>
      </c>
      <c r="J26" s="5">
        <f>+$C26*BI26</f>
        <v>0</v>
      </c>
      <c r="K26" s="5">
        <f>+$C26*BJ26</f>
        <v>0</v>
      </c>
      <c r="L26" s="5">
        <f>+$C26*BK26</f>
        <v>0</v>
      </c>
      <c r="M26" s="5">
        <f>+$C26*BL26</f>
        <v>0</v>
      </c>
      <c r="N26" s="5">
        <f>+$C26*BM26</f>
        <v>0</v>
      </c>
      <c r="O26" s="5">
        <f>+$C26*BN26</f>
        <v>0</v>
      </c>
      <c r="P26" s="5">
        <v>100000</v>
      </c>
      <c r="Q26" s="5">
        <f>+$P26*BC26</f>
        <v>8918.1565948742245</v>
      </c>
      <c r="R26" s="5">
        <f>+$P26*BD26</f>
        <v>10665.277883445198</v>
      </c>
      <c r="S26" s="5">
        <f>+$P26*BE26</f>
        <v>9438.8490848547644</v>
      </c>
      <c r="T26" s="5">
        <f>+$P26*BF26</f>
        <v>7149.564986855049</v>
      </c>
      <c r="U26" s="5">
        <f>+$P26*BG26</f>
        <v>10368.571810536763</v>
      </c>
      <c r="V26" s="5">
        <f>+$P26*BH26</f>
        <v>8497.0330952544646</v>
      </c>
      <c r="W26" s="5">
        <f>+$P26*BI26</f>
        <v>8459.3878877262705</v>
      </c>
      <c r="X26" s="5">
        <f>+$P26*BJ26</f>
        <v>5744.7105462779964</v>
      </c>
      <c r="Y26" s="5">
        <f>+$P26*BK26</f>
        <v>8515.385234555748</v>
      </c>
      <c r="Z26" s="5">
        <f>+$P26*BL26</f>
        <v>7415.8058913035175</v>
      </c>
      <c r="AA26" s="5">
        <f>+$P26*BM26</f>
        <v>7571.8189192107166</v>
      </c>
      <c r="AB26" s="5">
        <f>+$P26*BN26</f>
        <v>7395.5559365675617</v>
      </c>
      <c r="AC26" s="5">
        <v>1300000</v>
      </c>
      <c r="AD26" s="5">
        <f>+$AC26*BC26</f>
        <v>115936.03573336492</v>
      </c>
      <c r="AE26" s="5">
        <f>+$AC26*BD26</f>
        <v>138648.61248478759</v>
      </c>
      <c r="AF26" s="5">
        <f>+$AC26*BE26</f>
        <v>122705.03810311193</v>
      </c>
      <c r="AG26" s="5">
        <f>+$AC26*BF26</f>
        <v>92944.344829115638</v>
      </c>
      <c r="AH26" s="5">
        <f>+$AC26*BG26</f>
        <v>134791.43353697791</v>
      </c>
      <c r="AI26" s="5">
        <f>+$AC26*BH26</f>
        <v>110461.43023830802</v>
      </c>
      <c r="AJ26" s="5">
        <f>+$AC26*BI26</f>
        <v>109972.04254044151</v>
      </c>
      <c r="AK26" s="5">
        <f>+$AC26*BJ26</f>
        <v>74681.237101613951</v>
      </c>
      <c r="AL26" s="5">
        <f>+$AC26*BK26</f>
        <v>110700.00804922472</v>
      </c>
      <c r="AM26" s="5">
        <f>+$AC26*BL26</f>
        <v>96405.476586945733</v>
      </c>
      <c r="AN26" s="5">
        <f>+$AC26*BM26</f>
        <v>98433.645949739323</v>
      </c>
      <c r="AO26" s="5">
        <f>+$AC26*BN26</f>
        <v>96142.227175378299</v>
      </c>
      <c r="AP26" s="5">
        <f>+AC26+P26+C26</f>
        <v>1400000</v>
      </c>
      <c r="AQ26" s="1">
        <v>8026.3409353868019</v>
      </c>
      <c r="AR26" s="1">
        <v>9598.7500951006787</v>
      </c>
      <c r="AS26" s="1">
        <v>8494.9641763692871</v>
      </c>
      <c r="AT26" s="1">
        <v>6434.6084881695442</v>
      </c>
      <c r="AU26" s="1">
        <v>9331.7146294830873</v>
      </c>
      <c r="AV26" s="1">
        <v>7647.3297857290172</v>
      </c>
      <c r="AW26" s="1">
        <v>7613.4490989536434</v>
      </c>
      <c r="AX26" s="1">
        <v>5170.2394916501971</v>
      </c>
      <c r="AY26" s="1">
        <v>7663.8467111001728</v>
      </c>
      <c r="AZ26" s="1">
        <v>6674.2253021731658</v>
      </c>
      <c r="BA26" s="1">
        <v>6814.6370272896456</v>
      </c>
      <c r="BB26" s="1">
        <v>6656.0003429108056</v>
      </c>
      <c r="BC26" s="2">
        <v>8.9181565948742242E-2</v>
      </c>
      <c r="BD26" s="2">
        <v>0.10665277883445198</v>
      </c>
      <c r="BE26" s="2">
        <v>9.438849084854764E-2</v>
      </c>
      <c r="BF26" s="2">
        <v>7.149564986855049E-2</v>
      </c>
      <c r="BG26" s="2">
        <v>0.10368571810536763</v>
      </c>
      <c r="BH26" s="2">
        <v>8.4970330952544637E-2</v>
      </c>
      <c r="BI26" s="2">
        <v>8.4593878877262704E-2</v>
      </c>
      <c r="BJ26" s="2">
        <v>5.7447105462779965E-2</v>
      </c>
      <c r="BK26" s="2">
        <v>8.5153852345557474E-2</v>
      </c>
      <c r="BL26" s="2">
        <v>7.4158058913035174E-2</v>
      </c>
      <c r="BM26" s="2">
        <v>7.5718189192107169E-2</v>
      </c>
      <c r="BN26" s="2">
        <v>7.3955559365675619E-2</v>
      </c>
      <c r="BO26" s="2">
        <f>SUM(BC26:BN26)</f>
        <v>1.0014011787146229</v>
      </c>
    </row>
    <row r="27" spans="1:67" x14ac:dyDescent="0.25">
      <c r="A27" s="8">
        <v>16432</v>
      </c>
      <c r="B27" s="8" t="s">
        <v>967</v>
      </c>
      <c r="C27" s="5">
        <v>0</v>
      </c>
      <c r="D27" s="5">
        <f>+$C27*BC27</f>
        <v>0</v>
      </c>
      <c r="E27" s="5">
        <f>+$C27*BD27</f>
        <v>0</v>
      </c>
      <c r="F27" s="5">
        <f>+$C27*BE27</f>
        <v>0</v>
      </c>
      <c r="G27" s="5">
        <f>+$C27*BF27</f>
        <v>0</v>
      </c>
      <c r="H27" s="5">
        <f>+$C27*BG27</f>
        <v>0</v>
      </c>
      <c r="I27" s="5">
        <f>+$C27*BH27</f>
        <v>0</v>
      </c>
      <c r="J27" s="5">
        <f>+$C27*BI27</f>
        <v>0</v>
      </c>
      <c r="K27" s="5">
        <f>+$C27*BJ27</f>
        <v>0</v>
      </c>
      <c r="L27" s="5">
        <f>+$C27*BK27</f>
        <v>0</v>
      </c>
      <c r="M27" s="5">
        <f>+$C27*BL27</f>
        <v>0</v>
      </c>
      <c r="N27" s="5">
        <f>+$C27*BM27</f>
        <v>0</v>
      </c>
      <c r="O27" s="5">
        <f>+$C27*BN27</f>
        <v>0</v>
      </c>
      <c r="P27" s="5">
        <v>100000</v>
      </c>
      <c r="Q27" s="5">
        <f>+$P27*BC27</f>
        <v>8918.1565948742245</v>
      </c>
      <c r="R27" s="5">
        <f>+$P27*BD27</f>
        <v>10665.277883445198</v>
      </c>
      <c r="S27" s="5">
        <f>+$P27*BE27</f>
        <v>9438.8490848547644</v>
      </c>
      <c r="T27" s="5">
        <f>+$P27*BF27</f>
        <v>7149.564986855049</v>
      </c>
      <c r="U27" s="5">
        <f>+$P27*BG27</f>
        <v>10368.571810536763</v>
      </c>
      <c r="V27" s="5">
        <f>+$P27*BH27</f>
        <v>8497.0330952544646</v>
      </c>
      <c r="W27" s="5">
        <f>+$P27*BI27</f>
        <v>8459.3878877262705</v>
      </c>
      <c r="X27" s="5">
        <f>+$P27*BJ27</f>
        <v>5744.7105462779964</v>
      </c>
      <c r="Y27" s="5">
        <f>+$P27*BK27</f>
        <v>8515.385234555748</v>
      </c>
      <c r="Z27" s="5">
        <f>+$P27*BL27</f>
        <v>7415.8058913035175</v>
      </c>
      <c r="AA27" s="5">
        <f>+$P27*BM27</f>
        <v>7571.8189192107166</v>
      </c>
      <c r="AB27" s="5">
        <f>+$P27*BN27</f>
        <v>7395.5559365675617</v>
      </c>
      <c r="AC27" s="5">
        <v>0</v>
      </c>
      <c r="AD27" s="5">
        <f>+$AC27*BC27</f>
        <v>0</v>
      </c>
      <c r="AE27" s="5">
        <f>+$AC27*BD27</f>
        <v>0</v>
      </c>
      <c r="AF27" s="5">
        <f>+$AC27*BE27</f>
        <v>0</v>
      </c>
      <c r="AG27" s="5">
        <f>+$AC27*BF27</f>
        <v>0</v>
      </c>
      <c r="AH27" s="5">
        <f>+$AC27*BG27</f>
        <v>0</v>
      </c>
      <c r="AI27" s="5">
        <f>+$AC27*BH27</f>
        <v>0</v>
      </c>
      <c r="AJ27" s="5">
        <f>+$AC27*BI27</f>
        <v>0</v>
      </c>
      <c r="AK27" s="5">
        <f>+$AC27*BJ27</f>
        <v>0</v>
      </c>
      <c r="AL27" s="5">
        <f>+$AC27*BK27</f>
        <v>0</v>
      </c>
      <c r="AM27" s="5">
        <f>+$AC27*BL27</f>
        <v>0</v>
      </c>
      <c r="AN27" s="5">
        <f>+$AC27*BM27</f>
        <v>0</v>
      </c>
      <c r="AO27" s="5">
        <f>+$AC27*BN27</f>
        <v>0</v>
      </c>
      <c r="AP27" s="5">
        <f>+AC27+P27+C27</f>
        <v>100000</v>
      </c>
      <c r="AQ27" s="1">
        <v>11593.603573336492</v>
      </c>
      <c r="AR27" s="1">
        <v>13864.861248478757</v>
      </c>
      <c r="AS27" s="1">
        <v>12270.503810311193</v>
      </c>
      <c r="AT27" s="1">
        <v>9294.4344829115635</v>
      </c>
      <c r="AU27" s="1">
        <v>13479.143353697791</v>
      </c>
      <c r="AV27" s="1">
        <v>11046.143023830802</v>
      </c>
      <c r="AW27" s="1">
        <v>10997.204254044151</v>
      </c>
      <c r="AX27" s="1">
        <v>7468.1237101613951</v>
      </c>
      <c r="AY27" s="1">
        <v>11070.000804922471</v>
      </c>
      <c r="AZ27" s="1">
        <v>9640.5476586945733</v>
      </c>
      <c r="BA27" s="1">
        <v>9843.3645949739312</v>
      </c>
      <c r="BB27" s="1">
        <v>9614.2227175378302</v>
      </c>
      <c r="BC27" s="2">
        <v>8.9181565948742242E-2</v>
      </c>
      <c r="BD27" s="2">
        <v>0.10665277883445198</v>
      </c>
      <c r="BE27" s="2">
        <v>9.438849084854764E-2</v>
      </c>
      <c r="BF27" s="2">
        <v>7.149564986855049E-2</v>
      </c>
      <c r="BG27" s="2">
        <v>0.10368571810536763</v>
      </c>
      <c r="BH27" s="2">
        <v>8.4970330952544637E-2</v>
      </c>
      <c r="BI27" s="2">
        <v>8.4593878877262704E-2</v>
      </c>
      <c r="BJ27" s="2">
        <v>5.7447105462779965E-2</v>
      </c>
      <c r="BK27" s="2">
        <v>8.5153852345557474E-2</v>
      </c>
      <c r="BL27" s="2">
        <v>7.4158058913035174E-2</v>
      </c>
      <c r="BM27" s="2">
        <v>7.5718189192107169E-2</v>
      </c>
      <c r="BN27" s="2">
        <v>7.3955559365675619E-2</v>
      </c>
      <c r="BO27" s="2">
        <f>SUM(BC27:BN27)</f>
        <v>1.0014011787146229</v>
      </c>
    </row>
    <row r="28" spans="1:67" x14ac:dyDescent="0.25">
      <c r="A28" s="8">
        <v>1929</v>
      </c>
      <c r="B28" s="8" t="s">
        <v>966</v>
      </c>
      <c r="C28" s="5">
        <v>70000</v>
      </c>
      <c r="D28" s="5">
        <f>+$C28*BC28</f>
        <v>6242.7096164119566</v>
      </c>
      <c r="E28" s="5">
        <f>+$C28*BD28</f>
        <v>7465.6945184116385</v>
      </c>
      <c r="F28" s="5">
        <f>+$C28*BE28</f>
        <v>6607.1943593983351</v>
      </c>
      <c r="G28" s="5">
        <f>+$C28*BF28</f>
        <v>5004.6954907985346</v>
      </c>
      <c r="H28" s="5">
        <f>+$C28*BG28</f>
        <v>7258.0002673757335</v>
      </c>
      <c r="I28" s="5">
        <f>+$C28*BH28</f>
        <v>5947.9231666781243</v>
      </c>
      <c r="J28" s="5">
        <f>+$C28*BI28</f>
        <v>5921.5715214083893</v>
      </c>
      <c r="K28" s="5">
        <f>+$C28*BJ28</f>
        <v>4021.2973823945977</v>
      </c>
      <c r="L28" s="5">
        <f>+$C28*BK28</f>
        <v>5960.7696641890234</v>
      </c>
      <c r="M28" s="5">
        <f>+$C28*BL28</f>
        <v>5191.0641239124625</v>
      </c>
      <c r="N28" s="5">
        <f>+$C28*BM28</f>
        <v>5300.273243447502</v>
      </c>
      <c r="O28" s="5">
        <f>+$C28*BN28</f>
        <v>5176.8891555972932</v>
      </c>
      <c r="P28" s="5">
        <v>4000</v>
      </c>
      <c r="Q28" s="5">
        <f>+$P28*BC28</f>
        <v>356.72626379496899</v>
      </c>
      <c r="R28" s="5">
        <f>+$P28*BD28</f>
        <v>426.61111533780792</v>
      </c>
      <c r="S28" s="5">
        <f>+$P28*BE28</f>
        <v>377.55396339419059</v>
      </c>
      <c r="T28" s="5">
        <f>+$P28*BF28</f>
        <v>285.98259947420195</v>
      </c>
      <c r="U28" s="5">
        <f>+$P28*BG28</f>
        <v>414.74287242147051</v>
      </c>
      <c r="V28" s="5">
        <f>+$P28*BH28</f>
        <v>339.88132381017857</v>
      </c>
      <c r="W28" s="5">
        <f>+$P28*BI28</f>
        <v>338.37551550905084</v>
      </c>
      <c r="X28" s="5">
        <f>+$P28*BJ28</f>
        <v>229.78842185111986</v>
      </c>
      <c r="Y28" s="5">
        <f>+$P28*BK28</f>
        <v>340.61540938222987</v>
      </c>
      <c r="Z28" s="5">
        <f>+$P28*BL28</f>
        <v>296.63223565214071</v>
      </c>
      <c r="AA28" s="5">
        <f>+$P28*BM28</f>
        <v>302.8727567684287</v>
      </c>
      <c r="AB28" s="5">
        <f>+$P28*BN28</f>
        <v>295.8222374627025</v>
      </c>
      <c r="AC28" s="5">
        <v>0</v>
      </c>
      <c r="AD28" s="5">
        <f>+$AC28*BC28</f>
        <v>0</v>
      </c>
      <c r="AE28" s="5">
        <f>+$AC28*BD28</f>
        <v>0</v>
      </c>
      <c r="AF28" s="5">
        <f>+$AC28*BE28</f>
        <v>0</v>
      </c>
      <c r="AG28" s="5">
        <f>+$AC28*BF28</f>
        <v>0</v>
      </c>
      <c r="AH28" s="5">
        <f>+$AC28*BG28</f>
        <v>0</v>
      </c>
      <c r="AI28" s="5">
        <f>+$AC28*BH28</f>
        <v>0</v>
      </c>
      <c r="AJ28" s="5">
        <f>+$AC28*BI28</f>
        <v>0</v>
      </c>
      <c r="AK28" s="5">
        <f>+$AC28*BJ28</f>
        <v>0</v>
      </c>
      <c r="AL28" s="5">
        <f>+$AC28*BK28</f>
        <v>0</v>
      </c>
      <c r="AM28" s="5">
        <f>+$AC28*BL28</f>
        <v>0</v>
      </c>
      <c r="AN28" s="5">
        <f>+$AC28*BM28</f>
        <v>0</v>
      </c>
      <c r="AO28" s="5">
        <f>+$AC28*BN28</f>
        <v>0</v>
      </c>
      <c r="AP28" s="5">
        <f>+AC28+P28+C28</f>
        <v>74000</v>
      </c>
      <c r="AQ28" s="1">
        <v>8918.1565948742245</v>
      </c>
      <c r="AR28" s="1">
        <v>10665.277883445198</v>
      </c>
      <c r="AS28" s="1">
        <v>9438.8490848547644</v>
      </c>
      <c r="AT28" s="1">
        <v>7149.564986855049</v>
      </c>
      <c r="AU28" s="1">
        <v>10368.571810536763</v>
      </c>
      <c r="AV28" s="1">
        <v>8497.0330952544646</v>
      </c>
      <c r="AW28" s="1">
        <v>8459.3878877262705</v>
      </c>
      <c r="AX28" s="1">
        <v>5744.7105462779964</v>
      </c>
      <c r="AY28" s="1">
        <v>8515.385234555748</v>
      </c>
      <c r="AZ28" s="1">
        <v>7415.8058913035175</v>
      </c>
      <c r="BA28" s="1">
        <v>7571.8189192107166</v>
      </c>
      <c r="BB28" s="1">
        <v>7395.5559365675617</v>
      </c>
      <c r="BC28" s="2">
        <v>8.9181565948742242E-2</v>
      </c>
      <c r="BD28" s="2">
        <v>0.10665277883445198</v>
      </c>
      <c r="BE28" s="2">
        <v>9.438849084854764E-2</v>
      </c>
      <c r="BF28" s="2">
        <v>7.149564986855049E-2</v>
      </c>
      <c r="BG28" s="2">
        <v>0.10368571810536763</v>
      </c>
      <c r="BH28" s="2">
        <v>8.4970330952544637E-2</v>
      </c>
      <c r="BI28" s="2">
        <v>8.4593878877262704E-2</v>
      </c>
      <c r="BJ28" s="2">
        <v>5.7447105462779965E-2</v>
      </c>
      <c r="BK28" s="2">
        <v>8.5153852345557474E-2</v>
      </c>
      <c r="BL28" s="2">
        <v>7.4158058913035174E-2</v>
      </c>
      <c r="BM28" s="2">
        <v>7.5718189192107169E-2</v>
      </c>
      <c r="BN28" s="2">
        <v>7.3955559365675619E-2</v>
      </c>
      <c r="BO28" s="2">
        <f>SUM(BC28:BN28)</f>
        <v>1.0014011787146229</v>
      </c>
    </row>
    <row r="29" spans="1:67" x14ac:dyDescent="0.25">
      <c r="A29" s="8">
        <v>31112</v>
      </c>
      <c r="B29" s="8" t="s">
        <v>965</v>
      </c>
      <c r="C29" s="5">
        <v>0</v>
      </c>
      <c r="D29" s="5">
        <f>+$C29*BC29</f>
        <v>0</v>
      </c>
      <c r="E29" s="5">
        <f>+$C29*BD29</f>
        <v>0</v>
      </c>
      <c r="F29" s="5">
        <f>+$C29*BE29</f>
        <v>0</v>
      </c>
      <c r="G29" s="5">
        <f>+$C29*BF29</f>
        <v>0</v>
      </c>
      <c r="H29" s="5">
        <f>+$C29*BG29</f>
        <v>0</v>
      </c>
      <c r="I29" s="5">
        <f>+$C29*BH29</f>
        <v>0</v>
      </c>
      <c r="J29" s="5">
        <f>+$C29*BI29</f>
        <v>0</v>
      </c>
      <c r="K29" s="5">
        <f>+$C29*BJ29</f>
        <v>0</v>
      </c>
      <c r="L29" s="5">
        <f>+$C29*BK29</f>
        <v>0</v>
      </c>
      <c r="M29" s="5">
        <f>+$C29*BL29</f>
        <v>0</v>
      </c>
      <c r="N29" s="5">
        <f>+$C29*BM29</f>
        <v>0</v>
      </c>
      <c r="O29" s="5">
        <f>+$C29*BN29</f>
        <v>0</v>
      </c>
      <c r="P29" s="5">
        <v>95000</v>
      </c>
      <c r="Q29" s="5">
        <f>+$P29*BC29</f>
        <v>8472.2487651305128</v>
      </c>
      <c r="R29" s="5">
        <f>+$P29*BD29</f>
        <v>10132.013989272938</v>
      </c>
      <c r="S29" s="5">
        <f>+$P29*BE29</f>
        <v>8966.9066306120258</v>
      </c>
      <c r="T29" s="5">
        <f>+$P29*BF29</f>
        <v>6792.0867375122962</v>
      </c>
      <c r="U29" s="5">
        <f>+$P29*BG29</f>
        <v>9850.1432200099243</v>
      </c>
      <c r="V29" s="5">
        <f>+$P29*BH29</f>
        <v>8072.1814404917404</v>
      </c>
      <c r="W29" s="5">
        <f>+$P29*BI29</f>
        <v>8036.4184933399565</v>
      </c>
      <c r="X29" s="5">
        <f>+$P29*BJ29</f>
        <v>5457.4750189640963</v>
      </c>
      <c r="Y29" s="5">
        <f>+$P29*BK29</f>
        <v>8089.6159728279599</v>
      </c>
      <c r="Z29" s="5">
        <f>+$P29*BL29</f>
        <v>7045.0155967383416</v>
      </c>
      <c r="AA29" s="5">
        <f>+$P29*BM29</f>
        <v>7193.2279732501811</v>
      </c>
      <c r="AB29" s="5">
        <f>+$P29*BN29</f>
        <v>7025.7781397391836</v>
      </c>
      <c r="AC29" s="5">
        <v>0</v>
      </c>
      <c r="AD29" s="5">
        <f>+$AC29*BC29</f>
        <v>0</v>
      </c>
      <c r="AE29" s="5">
        <f>+$AC29*BD29</f>
        <v>0</v>
      </c>
      <c r="AF29" s="5">
        <f>+$AC29*BE29</f>
        <v>0</v>
      </c>
      <c r="AG29" s="5">
        <f>+$AC29*BF29</f>
        <v>0</v>
      </c>
      <c r="AH29" s="5">
        <f>+$AC29*BG29</f>
        <v>0</v>
      </c>
      <c r="AI29" s="5">
        <f>+$AC29*BH29</f>
        <v>0</v>
      </c>
      <c r="AJ29" s="5">
        <f>+$AC29*BI29</f>
        <v>0</v>
      </c>
      <c r="AK29" s="5">
        <f>+$AC29*BJ29</f>
        <v>0</v>
      </c>
      <c r="AL29" s="5">
        <f>+$AC29*BK29</f>
        <v>0</v>
      </c>
      <c r="AM29" s="5">
        <f>+$AC29*BL29</f>
        <v>0</v>
      </c>
      <c r="AN29" s="5">
        <f>+$AC29*BM29</f>
        <v>0</v>
      </c>
      <c r="AO29" s="5">
        <f>+$AC29*BN29</f>
        <v>0</v>
      </c>
      <c r="AP29" s="5">
        <f>+AC29+P29+C29</f>
        <v>95000</v>
      </c>
      <c r="AQ29" s="1">
        <v>7580.4331056430901</v>
      </c>
      <c r="AR29" s="1">
        <v>9065.4862009284188</v>
      </c>
      <c r="AS29" s="1">
        <v>8023.0217221265493</v>
      </c>
      <c r="AT29" s="1">
        <v>6077.1302388267914</v>
      </c>
      <c r="AU29" s="1">
        <v>8813.2860389562484</v>
      </c>
      <c r="AV29" s="1">
        <v>7222.478130966294</v>
      </c>
      <c r="AW29" s="1">
        <v>7190.4797045673295</v>
      </c>
      <c r="AX29" s="1">
        <v>4883.003964336297</v>
      </c>
      <c r="AY29" s="1">
        <v>7238.0774493723857</v>
      </c>
      <c r="AZ29" s="1">
        <v>6303.43500760799</v>
      </c>
      <c r="BA29" s="1">
        <v>6436.0460813291093</v>
      </c>
      <c r="BB29" s="1">
        <v>6286.2225460824275</v>
      </c>
      <c r="BC29" s="2">
        <v>8.9181565948742242E-2</v>
      </c>
      <c r="BD29" s="2">
        <v>0.10665277883445198</v>
      </c>
      <c r="BE29" s="2">
        <v>9.438849084854764E-2</v>
      </c>
      <c r="BF29" s="2">
        <v>7.149564986855049E-2</v>
      </c>
      <c r="BG29" s="2">
        <v>0.10368571810536763</v>
      </c>
      <c r="BH29" s="2">
        <v>8.4970330952544637E-2</v>
      </c>
      <c r="BI29" s="2">
        <v>8.4593878877262704E-2</v>
      </c>
      <c r="BJ29" s="2">
        <v>5.7447105462779965E-2</v>
      </c>
      <c r="BK29" s="2">
        <v>8.5153852345557474E-2</v>
      </c>
      <c r="BL29" s="2">
        <v>7.4158058913035174E-2</v>
      </c>
      <c r="BM29" s="2">
        <v>7.5718189192107169E-2</v>
      </c>
      <c r="BN29" s="2">
        <v>7.3955559365675619E-2</v>
      </c>
      <c r="BO29" s="2">
        <f>SUM(BC29:BN29)</f>
        <v>1.0014011787146229</v>
      </c>
    </row>
    <row r="30" spans="1:67" x14ac:dyDescent="0.25">
      <c r="A30" s="8">
        <v>1678</v>
      </c>
      <c r="B30" s="8" t="s">
        <v>964</v>
      </c>
      <c r="C30" s="5">
        <v>19000</v>
      </c>
      <c r="D30" s="5">
        <f>+$C30*BC30</f>
        <v>1694.4497530261026</v>
      </c>
      <c r="E30" s="5">
        <f>+$C30*BD30</f>
        <v>2026.4027978545878</v>
      </c>
      <c r="F30" s="5">
        <f>+$C30*BE30</f>
        <v>1793.3813261224052</v>
      </c>
      <c r="G30" s="5">
        <f>+$C30*BF30</f>
        <v>1358.4173475024593</v>
      </c>
      <c r="H30" s="5">
        <f>+$C30*BG30</f>
        <v>1970.028644001985</v>
      </c>
      <c r="I30" s="5">
        <f>+$C30*BH30</f>
        <v>1614.4362880983481</v>
      </c>
      <c r="J30" s="5">
        <f>+$C30*BI30</f>
        <v>1607.2836986679913</v>
      </c>
      <c r="K30" s="5">
        <f>+$C30*BJ30</f>
        <v>1091.4950037928193</v>
      </c>
      <c r="L30" s="5">
        <f>+$C30*BK30</f>
        <v>1617.923194565592</v>
      </c>
      <c r="M30" s="5">
        <f>+$C30*BL30</f>
        <v>1409.0031193476684</v>
      </c>
      <c r="N30" s="5">
        <f>+$C30*BM30</f>
        <v>1438.6455946500362</v>
      </c>
      <c r="O30" s="5">
        <f>+$C30*BN30</f>
        <v>1405.1556279478368</v>
      </c>
      <c r="P30" s="5">
        <v>60000</v>
      </c>
      <c r="Q30" s="5">
        <f>+$P30*BC30</f>
        <v>5350.8939569245349</v>
      </c>
      <c r="R30" s="5">
        <f>+$P30*BD30</f>
        <v>6399.1667300671188</v>
      </c>
      <c r="S30" s="5">
        <f>+$P30*BE30</f>
        <v>5663.3094509128587</v>
      </c>
      <c r="T30" s="5">
        <f>+$P30*BF30</f>
        <v>4289.7389921130298</v>
      </c>
      <c r="U30" s="5">
        <f>+$P30*BG30</f>
        <v>6221.1430863220576</v>
      </c>
      <c r="V30" s="5">
        <f>+$P30*BH30</f>
        <v>5098.2198571526778</v>
      </c>
      <c r="W30" s="5">
        <f>+$P30*BI30</f>
        <v>5075.6327326357623</v>
      </c>
      <c r="X30" s="5">
        <f>+$P30*BJ30</f>
        <v>3446.8263277667979</v>
      </c>
      <c r="Y30" s="5">
        <f>+$P30*BK30</f>
        <v>5109.2311407334482</v>
      </c>
      <c r="Z30" s="5">
        <f>+$P30*BL30</f>
        <v>4449.4835347821108</v>
      </c>
      <c r="AA30" s="5">
        <f>+$P30*BM30</f>
        <v>4543.0913515264301</v>
      </c>
      <c r="AB30" s="5">
        <f>+$P30*BN30</f>
        <v>4437.333561940537</v>
      </c>
      <c r="AC30" s="5">
        <v>0</v>
      </c>
      <c r="AD30" s="5">
        <f>+$AC30*BC30</f>
        <v>0</v>
      </c>
      <c r="AE30" s="5">
        <f>+$AC30*BD30</f>
        <v>0</v>
      </c>
      <c r="AF30" s="5">
        <f>+$AC30*BE30</f>
        <v>0</v>
      </c>
      <c r="AG30" s="5">
        <f>+$AC30*BF30</f>
        <v>0</v>
      </c>
      <c r="AH30" s="5">
        <f>+$AC30*BG30</f>
        <v>0</v>
      </c>
      <c r="AI30" s="5">
        <f>+$AC30*BH30</f>
        <v>0</v>
      </c>
      <c r="AJ30" s="5">
        <f>+$AC30*BI30</f>
        <v>0</v>
      </c>
      <c r="AK30" s="5">
        <f>+$AC30*BJ30</f>
        <v>0</v>
      </c>
      <c r="AL30" s="5">
        <f>+$AC30*BK30</f>
        <v>0</v>
      </c>
      <c r="AM30" s="5">
        <f>+$AC30*BL30</f>
        <v>0</v>
      </c>
      <c r="AN30" s="5">
        <f>+$AC30*BM30</f>
        <v>0</v>
      </c>
      <c r="AO30" s="5">
        <f>+$AC30*BN30</f>
        <v>0</v>
      </c>
      <c r="AP30" s="5">
        <f>+AC30+P30+C30</f>
        <v>79000</v>
      </c>
      <c r="AQ30" s="1">
        <v>7580.4331056430901</v>
      </c>
      <c r="AR30" s="1">
        <v>9065.4862009284188</v>
      </c>
      <c r="AS30" s="1">
        <v>8023.0217221265493</v>
      </c>
      <c r="AT30" s="1">
        <v>6077.1302388267914</v>
      </c>
      <c r="AU30" s="1">
        <v>8813.2860389562484</v>
      </c>
      <c r="AV30" s="1">
        <v>7222.478130966294</v>
      </c>
      <c r="AW30" s="1">
        <v>7190.4797045673295</v>
      </c>
      <c r="AX30" s="1">
        <v>4883.003964336297</v>
      </c>
      <c r="AY30" s="1">
        <v>7238.0774493723857</v>
      </c>
      <c r="AZ30" s="1">
        <v>6303.43500760799</v>
      </c>
      <c r="BA30" s="1">
        <v>6436.0460813291093</v>
      </c>
      <c r="BB30" s="1">
        <v>6286.2225460824275</v>
      </c>
      <c r="BC30" s="2">
        <v>8.9181565948742242E-2</v>
      </c>
      <c r="BD30" s="2">
        <v>0.10665277883445198</v>
      </c>
      <c r="BE30" s="2">
        <v>9.438849084854764E-2</v>
      </c>
      <c r="BF30" s="2">
        <v>7.149564986855049E-2</v>
      </c>
      <c r="BG30" s="2">
        <v>0.10368571810536763</v>
      </c>
      <c r="BH30" s="2">
        <v>8.4970330952544637E-2</v>
      </c>
      <c r="BI30" s="2">
        <v>8.4593878877262704E-2</v>
      </c>
      <c r="BJ30" s="2">
        <v>5.7447105462779965E-2</v>
      </c>
      <c r="BK30" s="2">
        <v>8.5153852345557474E-2</v>
      </c>
      <c r="BL30" s="2">
        <v>7.4158058913035174E-2</v>
      </c>
      <c r="BM30" s="2">
        <v>7.5718189192107169E-2</v>
      </c>
      <c r="BN30" s="2">
        <v>7.3955559365675619E-2</v>
      </c>
      <c r="BO30" s="2">
        <f>SUM(BC30:BN30)</f>
        <v>1.0014011787146229</v>
      </c>
    </row>
    <row r="31" spans="1:67" x14ac:dyDescent="0.25">
      <c r="A31" s="8">
        <v>963</v>
      </c>
      <c r="B31" s="8" t="s">
        <v>963</v>
      </c>
      <c r="C31" s="5">
        <v>0</v>
      </c>
      <c r="D31" s="5">
        <f>+$C31*BC31</f>
        <v>0</v>
      </c>
      <c r="E31" s="5">
        <f>+$C31*BD31</f>
        <v>0</v>
      </c>
      <c r="F31" s="5">
        <f>+$C31*BE31</f>
        <v>0</v>
      </c>
      <c r="G31" s="5">
        <f>+$C31*BF31</f>
        <v>0</v>
      </c>
      <c r="H31" s="5">
        <f>+$C31*BG31</f>
        <v>0</v>
      </c>
      <c r="I31" s="5">
        <f>+$C31*BH31</f>
        <v>0</v>
      </c>
      <c r="J31" s="5">
        <f>+$C31*BI31</f>
        <v>0</v>
      </c>
      <c r="K31" s="5">
        <f>+$C31*BJ31</f>
        <v>0</v>
      </c>
      <c r="L31" s="5">
        <f>+$C31*BK31</f>
        <v>0</v>
      </c>
      <c r="M31" s="5">
        <f>+$C31*BL31</f>
        <v>0</v>
      </c>
      <c r="N31" s="5">
        <f>+$C31*BM31</f>
        <v>0</v>
      </c>
      <c r="O31" s="5">
        <f>+$C31*BN31</f>
        <v>0</v>
      </c>
      <c r="P31" s="5">
        <v>100000</v>
      </c>
      <c r="Q31" s="5">
        <f>+$P31*BC31</f>
        <v>8918.1565948742245</v>
      </c>
      <c r="R31" s="5">
        <f>+$P31*BD31</f>
        <v>10665.277883445198</v>
      </c>
      <c r="S31" s="5">
        <f>+$P31*BE31</f>
        <v>9438.8490848547644</v>
      </c>
      <c r="T31" s="5">
        <f>+$P31*BF31</f>
        <v>7149.564986855049</v>
      </c>
      <c r="U31" s="5">
        <f>+$P31*BG31</f>
        <v>10368.571810536763</v>
      </c>
      <c r="V31" s="5">
        <f>+$P31*BH31</f>
        <v>8497.0330952544646</v>
      </c>
      <c r="W31" s="5">
        <f>+$P31*BI31</f>
        <v>8459.3878877262705</v>
      </c>
      <c r="X31" s="5">
        <f>+$P31*BJ31</f>
        <v>5744.7105462779964</v>
      </c>
      <c r="Y31" s="5">
        <f>+$P31*BK31</f>
        <v>8515.385234555748</v>
      </c>
      <c r="Z31" s="5">
        <f>+$P31*BL31</f>
        <v>7415.8058913035175</v>
      </c>
      <c r="AA31" s="5">
        <f>+$P31*BM31</f>
        <v>7571.8189192107166</v>
      </c>
      <c r="AB31" s="5">
        <f>+$P31*BN31</f>
        <v>7395.5559365675617</v>
      </c>
      <c r="AC31" s="5">
        <v>85000</v>
      </c>
      <c r="AD31" s="5">
        <f>+$AC31*BC31</f>
        <v>7580.4331056430901</v>
      </c>
      <c r="AE31" s="5">
        <f>+$AC31*BD31</f>
        <v>9065.4862009284188</v>
      </c>
      <c r="AF31" s="5">
        <f>+$AC31*BE31</f>
        <v>8023.0217221265493</v>
      </c>
      <c r="AG31" s="5">
        <f>+$AC31*BF31</f>
        <v>6077.1302388267914</v>
      </c>
      <c r="AH31" s="5">
        <f>+$AC31*BG31</f>
        <v>8813.2860389562484</v>
      </c>
      <c r="AI31" s="5">
        <f>+$AC31*BH31</f>
        <v>7222.478130966294</v>
      </c>
      <c r="AJ31" s="5">
        <f>+$AC31*BI31</f>
        <v>7190.4797045673295</v>
      </c>
      <c r="AK31" s="5">
        <f>+$AC31*BJ31</f>
        <v>4883.003964336297</v>
      </c>
      <c r="AL31" s="5">
        <f>+$AC31*BK31</f>
        <v>7238.0774493723857</v>
      </c>
      <c r="AM31" s="5">
        <f>+$AC31*BL31</f>
        <v>6303.43500760799</v>
      </c>
      <c r="AN31" s="5">
        <f>+$AC31*BM31</f>
        <v>6436.0460813291093</v>
      </c>
      <c r="AO31" s="5">
        <f>+$AC31*BN31</f>
        <v>6286.2225460824275</v>
      </c>
      <c r="AP31" s="5">
        <f>+AC31+P31+C31</f>
        <v>185000</v>
      </c>
      <c r="AQ31" s="1">
        <v>7580.4331056430901</v>
      </c>
      <c r="AR31" s="1">
        <v>9065.4862009284188</v>
      </c>
      <c r="AS31" s="1">
        <v>8023.0217221265493</v>
      </c>
      <c r="AT31" s="1">
        <v>6077.1302388267914</v>
      </c>
      <c r="AU31" s="1">
        <v>8813.2860389562484</v>
      </c>
      <c r="AV31" s="1">
        <v>7222.478130966294</v>
      </c>
      <c r="AW31" s="1">
        <v>7190.4797045673295</v>
      </c>
      <c r="AX31" s="1">
        <v>4883.003964336297</v>
      </c>
      <c r="AY31" s="1">
        <v>7238.0774493723857</v>
      </c>
      <c r="AZ31" s="1">
        <v>6303.43500760799</v>
      </c>
      <c r="BA31" s="1">
        <v>6436.0460813291093</v>
      </c>
      <c r="BB31" s="1">
        <v>6286.2225460824275</v>
      </c>
      <c r="BC31" s="2">
        <v>8.9181565948742242E-2</v>
      </c>
      <c r="BD31" s="2">
        <v>0.10665277883445198</v>
      </c>
      <c r="BE31" s="2">
        <v>9.438849084854764E-2</v>
      </c>
      <c r="BF31" s="2">
        <v>7.149564986855049E-2</v>
      </c>
      <c r="BG31" s="2">
        <v>0.10368571810536763</v>
      </c>
      <c r="BH31" s="2">
        <v>8.4970330952544637E-2</v>
      </c>
      <c r="BI31" s="2">
        <v>8.4593878877262704E-2</v>
      </c>
      <c r="BJ31" s="2">
        <v>5.7447105462779965E-2</v>
      </c>
      <c r="BK31" s="2">
        <v>8.5153852345557474E-2</v>
      </c>
      <c r="BL31" s="2">
        <v>7.4158058913035174E-2</v>
      </c>
      <c r="BM31" s="2">
        <v>7.5718189192107169E-2</v>
      </c>
      <c r="BN31" s="2">
        <v>7.3955559365675619E-2</v>
      </c>
      <c r="BO31" s="2">
        <f>SUM(BC31:BN31)</f>
        <v>1.0014011787146229</v>
      </c>
    </row>
    <row r="32" spans="1:67" x14ac:dyDescent="0.25">
      <c r="A32" s="8">
        <v>31110</v>
      </c>
      <c r="B32" s="8" t="s">
        <v>962</v>
      </c>
      <c r="C32" s="5">
        <v>0</v>
      </c>
      <c r="D32" s="5">
        <f>+$C32*BC32</f>
        <v>0</v>
      </c>
      <c r="E32" s="5">
        <f>+$C32*BD32</f>
        <v>0</v>
      </c>
      <c r="F32" s="5">
        <f>+$C32*BE32</f>
        <v>0</v>
      </c>
      <c r="G32" s="5">
        <f>+$C32*BF32</f>
        <v>0</v>
      </c>
      <c r="H32" s="5">
        <f>+$C32*BG32</f>
        <v>0</v>
      </c>
      <c r="I32" s="5">
        <f>+$C32*BH32</f>
        <v>0</v>
      </c>
      <c r="J32" s="5">
        <f>+$C32*BI32</f>
        <v>0</v>
      </c>
      <c r="K32" s="5">
        <f>+$C32*BJ32</f>
        <v>0</v>
      </c>
      <c r="L32" s="5">
        <f>+$C32*BK32</f>
        <v>0</v>
      </c>
      <c r="M32" s="5">
        <f>+$C32*BL32</f>
        <v>0</v>
      </c>
      <c r="N32" s="5">
        <f>+$C32*BM32</f>
        <v>0</v>
      </c>
      <c r="O32" s="5">
        <f>+$C32*BN32</f>
        <v>0</v>
      </c>
      <c r="P32" s="5">
        <v>60000</v>
      </c>
      <c r="Q32" s="5">
        <f>+$P32*BC32</f>
        <v>5350.8939569245349</v>
      </c>
      <c r="R32" s="5">
        <f>+$P32*BD32</f>
        <v>6399.1667300671188</v>
      </c>
      <c r="S32" s="5">
        <f>+$P32*BE32</f>
        <v>5663.3094509128587</v>
      </c>
      <c r="T32" s="5">
        <f>+$P32*BF32</f>
        <v>4289.7389921130298</v>
      </c>
      <c r="U32" s="5">
        <f>+$P32*BG32</f>
        <v>6221.1430863220576</v>
      </c>
      <c r="V32" s="5">
        <f>+$P32*BH32</f>
        <v>5098.2198571526778</v>
      </c>
      <c r="W32" s="5">
        <f>+$P32*BI32</f>
        <v>5075.6327326357623</v>
      </c>
      <c r="X32" s="5">
        <f>+$P32*BJ32</f>
        <v>3446.8263277667979</v>
      </c>
      <c r="Y32" s="5">
        <f>+$P32*BK32</f>
        <v>5109.2311407334482</v>
      </c>
      <c r="Z32" s="5">
        <f>+$P32*BL32</f>
        <v>4449.4835347821108</v>
      </c>
      <c r="AA32" s="5">
        <f>+$P32*BM32</f>
        <v>4543.0913515264301</v>
      </c>
      <c r="AB32" s="5">
        <f>+$P32*BN32</f>
        <v>4437.333561940537</v>
      </c>
      <c r="AC32" s="5">
        <v>0</v>
      </c>
      <c r="AD32" s="5">
        <f>+$AC32*BC32</f>
        <v>0</v>
      </c>
      <c r="AE32" s="5">
        <f>+$AC32*BD32</f>
        <v>0</v>
      </c>
      <c r="AF32" s="5">
        <f>+$AC32*BE32</f>
        <v>0</v>
      </c>
      <c r="AG32" s="5">
        <f>+$AC32*BF32</f>
        <v>0</v>
      </c>
      <c r="AH32" s="5">
        <f>+$AC32*BG32</f>
        <v>0</v>
      </c>
      <c r="AI32" s="5">
        <f>+$AC32*BH32</f>
        <v>0</v>
      </c>
      <c r="AJ32" s="5">
        <f>+$AC32*BI32</f>
        <v>0</v>
      </c>
      <c r="AK32" s="5">
        <f>+$AC32*BJ32</f>
        <v>0</v>
      </c>
      <c r="AL32" s="5">
        <f>+$AC32*BK32</f>
        <v>0</v>
      </c>
      <c r="AM32" s="5">
        <f>+$AC32*BL32</f>
        <v>0</v>
      </c>
      <c r="AN32" s="5">
        <f>+$AC32*BM32</f>
        <v>0</v>
      </c>
      <c r="AO32" s="5">
        <f>+$AC32*BN32</f>
        <v>0</v>
      </c>
      <c r="AP32" s="5">
        <f>+AC32+P32+C32</f>
        <v>60000</v>
      </c>
      <c r="AQ32" s="1">
        <v>11147.69574359278</v>
      </c>
      <c r="AR32" s="1">
        <v>13331.597354306497</v>
      </c>
      <c r="AS32" s="1">
        <v>11798.561356068454</v>
      </c>
      <c r="AT32" s="1">
        <v>8936.9562335688115</v>
      </c>
      <c r="AU32" s="1">
        <v>12960.714763170954</v>
      </c>
      <c r="AV32" s="1">
        <v>10621.29136906808</v>
      </c>
      <c r="AW32" s="1">
        <v>10574.234859657838</v>
      </c>
      <c r="AX32" s="1">
        <v>7180.888182847496</v>
      </c>
      <c r="AY32" s="1">
        <v>10644.231543194684</v>
      </c>
      <c r="AZ32" s="1">
        <v>9269.7573641293966</v>
      </c>
      <c r="BA32" s="1">
        <v>9464.7736490133957</v>
      </c>
      <c r="BB32" s="1">
        <v>9244.4449207094531</v>
      </c>
      <c r="BC32" s="2">
        <v>8.9181565948742242E-2</v>
      </c>
      <c r="BD32" s="2">
        <v>0.10665277883445198</v>
      </c>
      <c r="BE32" s="2">
        <v>9.438849084854764E-2</v>
      </c>
      <c r="BF32" s="2">
        <v>7.149564986855049E-2</v>
      </c>
      <c r="BG32" s="2">
        <v>0.10368571810536763</v>
      </c>
      <c r="BH32" s="2">
        <v>8.4970330952544637E-2</v>
      </c>
      <c r="BI32" s="2">
        <v>8.4593878877262704E-2</v>
      </c>
      <c r="BJ32" s="2">
        <v>5.7447105462779965E-2</v>
      </c>
      <c r="BK32" s="2">
        <v>8.5153852345557474E-2</v>
      </c>
      <c r="BL32" s="2">
        <v>7.4158058913035174E-2</v>
      </c>
      <c r="BM32" s="2">
        <v>7.5718189192107169E-2</v>
      </c>
      <c r="BN32" s="2">
        <v>7.3955559365675619E-2</v>
      </c>
      <c r="BO32" s="2">
        <f>SUM(BC32:BN32)</f>
        <v>1.0014011787146229</v>
      </c>
    </row>
    <row r="33" spans="1:67" x14ac:dyDescent="0.25">
      <c r="A33" s="8">
        <v>27102</v>
      </c>
      <c r="B33" s="8" t="s">
        <v>961</v>
      </c>
      <c r="C33" s="5">
        <v>800.80000000000007</v>
      </c>
      <c r="D33" s="5">
        <f>+$C33*BC33</f>
        <v>71.416598011752797</v>
      </c>
      <c r="E33" s="5">
        <f>+$C33*BD33</f>
        <v>85.407545290629159</v>
      </c>
      <c r="F33" s="5">
        <f>+$C33*BE33</f>
        <v>75.586303471516956</v>
      </c>
      <c r="G33" s="5">
        <f>+$C33*BF33</f>
        <v>57.253716414735237</v>
      </c>
      <c r="H33" s="5">
        <f>+$C33*BG33</f>
        <v>83.031523058778404</v>
      </c>
      <c r="I33" s="5">
        <f>+$C33*BH33</f>
        <v>68.044241026797749</v>
      </c>
      <c r="J33" s="5">
        <f>+$C33*BI33</f>
        <v>67.742778204911986</v>
      </c>
      <c r="K33" s="5">
        <f>+$C33*BJ33</f>
        <v>46.003642054594202</v>
      </c>
      <c r="L33" s="5">
        <f>+$C33*BK33</f>
        <v>68.19120495832243</v>
      </c>
      <c r="M33" s="5">
        <f>+$C33*BL33</f>
        <v>59.385773577558574</v>
      </c>
      <c r="N33" s="5">
        <f>+$C33*BM33</f>
        <v>60.635125905039423</v>
      </c>
      <c r="O33" s="5">
        <f>+$C33*BN33</f>
        <v>59.223611940033038</v>
      </c>
      <c r="P33" s="5">
        <v>45000</v>
      </c>
      <c r="Q33" s="5">
        <f>+$P33*BC33</f>
        <v>4013.170467693401</v>
      </c>
      <c r="R33" s="5">
        <f>+$P33*BD33</f>
        <v>4799.3750475503393</v>
      </c>
      <c r="S33" s="5">
        <f>+$P33*BE33</f>
        <v>4247.4820881846435</v>
      </c>
      <c r="T33" s="5">
        <f>+$P33*BF33</f>
        <v>3217.3042440847721</v>
      </c>
      <c r="U33" s="5">
        <f>+$P33*BG33</f>
        <v>4665.8573147415436</v>
      </c>
      <c r="V33" s="5">
        <f>+$P33*BH33</f>
        <v>3823.6648928645086</v>
      </c>
      <c r="W33" s="5">
        <f>+$P33*BI33</f>
        <v>3806.7245494768217</v>
      </c>
      <c r="X33" s="5">
        <f>+$P33*BJ33</f>
        <v>2585.1197458250986</v>
      </c>
      <c r="Y33" s="5">
        <f>+$P33*BK33</f>
        <v>3831.9233555500864</v>
      </c>
      <c r="Z33" s="5">
        <f>+$P33*BL33</f>
        <v>3337.1126510865829</v>
      </c>
      <c r="AA33" s="5">
        <f>+$P33*BM33</f>
        <v>3407.3185136448228</v>
      </c>
      <c r="AB33" s="5">
        <f>+$P33*BN33</f>
        <v>3328.0001714554028</v>
      </c>
      <c r="AC33" s="5">
        <v>0</v>
      </c>
      <c r="AD33" s="5">
        <f>+$AC33*BC33</f>
        <v>0</v>
      </c>
      <c r="AE33" s="5">
        <f>+$AC33*BD33</f>
        <v>0</v>
      </c>
      <c r="AF33" s="5">
        <f>+$AC33*BE33</f>
        <v>0</v>
      </c>
      <c r="AG33" s="5">
        <f>+$AC33*BF33</f>
        <v>0</v>
      </c>
      <c r="AH33" s="5">
        <f>+$AC33*BG33</f>
        <v>0</v>
      </c>
      <c r="AI33" s="5">
        <f>+$AC33*BH33</f>
        <v>0</v>
      </c>
      <c r="AJ33" s="5">
        <f>+$AC33*BI33</f>
        <v>0</v>
      </c>
      <c r="AK33" s="5">
        <f>+$AC33*BJ33</f>
        <v>0</v>
      </c>
      <c r="AL33" s="5">
        <f>+$AC33*BK33</f>
        <v>0</v>
      </c>
      <c r="AM33" s="5">
        <f>+$AC33*BL33</f>
        <v>0</v>
      </c>
      <c r="AN33" s="5">
        <f>+$AC33*BM33</f>
        <v>0</v>
      </c>
      <c r="AO33" s="5">
        <f>+$AC33*BN33</f>
        <v>0</v>
      </c>
      <c r="AP33" s="5">
        <f>+AC33+P33+C33</f>
        <v>45800.800000000003</v>
      </c>
      <c r="AQ33" s="1">
        <v>7134.5252758993793</v>
      </c>
      <c r="AR33" s="1">
        <v>8532.222306756159</v>
      </c>
      <c r="AS33" s="1">
        <v>7551.0792678838116</v>
      </c>
      <c r="AT33" s="1">
        <v>5719.6519894840394</v>
      </c>
      <c r="AU33" s="1">
        <v>8294.8574484294095</v>
      </c>
      <c r="AV33" s="1">
        <v>6797.6264762035707</v>
      </c>
      <c r="AW33" s="1">
        <v>6767.5103101810164</v>
      </c>
      <c r="AX33" s="1">
        <v>4595.7684370223969</v>
      </c>
      <c r="AY33" s="1">
        <v>6812.3081876445976</v>
      </c>
      <c r="AZ33" s="1">
        <v>5932.6447130428141</v>
      </c>
      <c r="BA33" s="1">
        <v>6057.4551353685738</v>
      </c>
      <c r="BB33" s="1">
        <v>5916.4447492540494</v>
      </c>
      <c r="BC33" s="2">
        <v>8.9181565948742242E-2</v>
      </c>
      <c r="BD33" s="2">
        <v>0.10665277883445198</v>
      </c>
      <c r="BE33" s="2">
        <v>9.438849084854764E-2</v>
      </c>
      <c r="BF33" s="2">
        <v>7.149564986855049E-2</v>
      </c>
      <c r="BG33" s="2">
        <v>0.10368571810536763</v>
      </c>
      <c r="BH33" s="2">
        <v>8.4970330952544637E-2</v>
      </c>
      <c r="BI33" s="2">
        <v>8.4593878877262704E-2</v>
      </c>
      <c r="BJ33" s="2">
        <v>5.7447105462779965E-2</v>
      </c>
      <c r="BK33" s="2">
        <v>8.5153852345557474E-2</v>
      </c>
      <c r="BL33" s="2">
        <v>7.4158058913035174E-2</v>
      </c>
      <c r="BM33" s="2">
        <v>7.5718189192107169E-2</v>
      </c>
      <c r="BN33" s="2">
        <v>7.3955559365675619E-2</v>
      </c>
      <c r="BO33" s="2">
        <f>SUM(BC33:BN33)</f>
        <v>1.0014011787146229</v>
      </c>
    </row>
    <row r="34" spans="1:67" x14ac:dyDescent="0.25">
      <c r="A34" s="8">
        <v>3602</v>
      </c>
      <c r="B34" s="8" t="s">
        <v>960</v>
      </c>
      <c r="C34" s="5">
        <v>0</v>
      </c>
      <c r="D34" s="5">
        <f>+$C34*BC34</f>
        <v>0</v>
      </c>
      <c r="E34" s="5">
        <f>+$C34*BD34</f>
        <v>0</v>
      </c>
      <c r="F34" s="5">
        <f>+$C34*BE34</f>
        <v>0</v>
      </c>
      <c r="G34" s="5">
        <f>+$C34*BF34</f>
        <v>0</v>
      </c>
      <c r="H34" s="5">
        <f>+$C34*BG34</f>
        <v>0</v>
      </c>
      <c r="I34" s="5">
        <f>+$C34*BH34</f>
        <v>0</v>
      </c>
      <c r="J34" s="5">
        <f>+$C34*BI34</f>
        <v>0</v>
      </c>
      <c r="K34" s="5">
        <f>+$C34*BJ34</f>
        <v>0</v>
      </c>
      <c r="L34" s="5">
        <f>+$C34*BK34</f>
        <v>0</v>
      </c>
      <c r="M34" s="5">
        <f>+$C34*BL34</f>
        <v>0</v>
      </c>
      <c r="N34" s="5">
        <f>+$C34*BM34</f>
        <v>0</v>
      </c>
      <c r="O34" s="5">
        <f>+$C34*BN34</f>
        <v>0</v>
      </c>
      <c r="P34" s="5">
        <v>80000</v>
      </c>
      <c r="Q34" s="5">
        <f>+$P34*BC34</f>
        <v>7134.5252758993793</v>
      </c>
      <c r="R34" s="5">
        <f>+$P34*BD34</f>
        <v>8532.222306756159</v>
      </c>
      <c r="S34" s="5">
        <f>+$P34*BE34</f>
        <v>7551.0792678838116</v>
      </c>
      <c r="T34" s="5">
        <f>+$P34*BF34</f>
        <v>5719.6519894840394</v>
      </c>
      <c r="U34" s="5">
        <f>+$P34*BG34</f>
        <v>8294.8574484294095</v>
      </c>
      <c r="V34" s="5">
        <f>+$P34*BH34</f>
        <v>6797.6264762035707</v>
      </c>
      <c r="W34" s="5">
        <f>+$P34*BI34</f>
        <v>6767.5103101810164</v>
      </c>
      <c r="X34" s="5">
        <f>+$P34*BJ34</f>
        <v>4595.7684370223969</v>
      </c>
      <c r="Y34" s="5">
        <f>+$P34*BK34</f>
        <v>6812.3081876445976</v>
      </c>
      <c r="Z34" s="5">
        <f>+$P34*BL34</f>
        <v>5932.6447130428141</v>
      </c>
      <c r="AA34" s="5">
        <f>+$P34*BM34</f>
        <v>6057.4551353685738</v>
      </c>
      <c r="AB34" s="5">
        <f>+$P34*BN34</f>
        <v>5916.4447492540494</v>
      </c>
      <c r="AC34" s="5">
        <v>0</v>
      </c>
      <c r="AD34" s="5">
        <f>+$AC34*BC34</f>
        <v>0</v>
      </c>
      <c r="AE34" s="5">
        <f>+$AC34*BD34</f>
        <v>0</v>
      </c>
      <c r="AF34" s="5">
        <f>+$AC34*BE34</f>
        <v>0</v>
      </c>
      <c r="AG34" s="5">
        <f>+$AC34*BF34</f>
        <v>0</v>
      </c>
      <c r="AH34" s="5">
        <f>+$AC34*BG34</f>
        <v>0</v>
      </c>
      <c r="AI34" s="5">
        <f>+$AC34*BH34</f>
        <v>0</v>
      </c>
      <c r="AJ34" s="5">
        <f>+$AC34*BI34</f>
        <v>0</v>
      </c>
      <c r="AK34" s="5">
        <f>+$AC34*BJ34</f>
        <v>0</v>
      </c>
      <c r="AL34" s="5">
        <f>+$AC34*BK34</f>
        <v>0</v>
      </c>
      <c r="AM34" s="5">
        <f>+$AC34*BL34</f>
        <v>0</v>
      </c>
      <c r="AN34" s="5">
        <f>+$AC34*BM34</f>
        <v>0</v>
      </c>
      <c r="AO34" s="5">
        <f>+$AC34*BN34</f>
        <v>0</v>
      </c>
      <c r="AP34" s="5">
        <f>+AC34+P34+C34</f>
        <v>80000</v>
      </c>
      <c r="AQ34" s="1">
        <v>6314.1262144237098</v>
      </c>
      <c r="AR34" s="1">
        <v>7551.1020637022684</v>
      </c>
      <c r="AS34" s="1">
        <v>6682.7806628698518</v>
      </c>
      <c r="AT34" s="1">
        <v>5061.9492072132698</v>
      </c>
      <c r="AU34" s="1">
        <v>7341.0317904345129</v>
      </c>
      <c r="AV34" s="1">
        <v>6015.9674077049222</v>
      </c>
      <c r="AW34" s="1">
        <v>5989.314299613302</v>
      </c>
      <c r="AX34" s="1">
        <v>4067.301024449192</v>
      </c>
      <c r="AY34" s="1">
        <v>6028.9608691473459</v>
      </c>
      <c r="AZ34" s="1">
        <v>5250.4498974900207</v>
      </c>
      <c r="BA34" s="1">
        <v>5360.9083693525417</v>
      </c>
      <c r="BB34" s="1">
        <v>5236.1127675373264</v>
      </c>
      <c r="BC34" s="2">
        <v>8.9181565948742242E-2</v>
      </c>
      <c r="BD34" s="2">
        <v>0.10665277883445198</v>
      </c>
      <c r="BE34" s="2">
        <v>9.438849084854764E-2</v>
      </c>
      <c r="BF34" s="2">
        <v>7.149564986855049E-2</v>
      </c>
      <c r="BG34" s="2">
        <v>0.10368571810536763</v>
      </c>
      <c r="BH34" s="2">
        <v>8.4970330952544637E-2</v>
      </c>
      <c r="BI34" s="2">
        <v>8.4593878877262704E-2</v>
      </c>
      <c r="BJ34" s="2">
        <v>5.7447105462779965E-2</v>
      </c>
      <c r="BK34" s="2">
        <v>8.5153852345557474E-2</v>
      </c>
      <c r="BL34" s="2">
        <v>7.4158058913035174E-2</v>
      </c>
      <c r="BM34" s="2">
        <v>7.5718189192107169E-2</v>
      </c>
      <c r="BN34" s="2">
        <v>7.3955559365675619E-2</v>
      </c>
      <c r="BO34" s="2">
        <f>SUM(BC34:BN34)</f>
        <v>1.0014011787146229</v>
      </c>
    </row>
    <row r="35" spans="1:67" x14ac:dyDescent="0.25">
      <c r="A35" s="8">
        <v>29626</v>
      </c>
      <c r="B35" s="8" t="s">
        <v>959</v>
      </c>
      <c r="C35" s="5">
        <v>0</v>
      </c>
      <c r="D35" s="5">
        <f>+$C35*BC35</f>
        <v>0</v>
      </c>
      <c r="E35" s="5">
        <f>+$C35*BD35</f>
        <v>0</v>
      </c>
      <c r="F35" s="5">
        <f>+$C35*BE35</f>
        <v>0</v>
      </c>
      <c r="G35" s="5">
        <f>+$C35*BF35</f>
        <v>0</v>
      </c>
      <c r="H35" s="5">
        <f>+$C35*BG35</f>
        <v>0</v>
      </c>
      <c r="I35" s="5">
        <f>+$C35*BH35</f>
        <v>0</v>
      </c>
      <c r="J35" s="5">
        <f>+$C35*BI35</f>
        <v>0</v>
      </c>
      <c r="K35" s="5">
        <f>+$C35*BJ35</f>
        <v>0</v>
      </c>
      <c r="L35" s="5">
        <f>+$C35*BK35</f>
        <v>0</v>
      </c>
      <c r="M35" s="5">
        <f>+$C35*BL35</f>
        <v>0</v>
      </c>
      <c r="N35" s="5">
        <f>+$C35*BM35</f>
        <v>0</v>
      </c>
      <c r="O35" s="5">
        <f>+$C35*BN35</f>
        <v>0</v>
      </c>
      <c r="P35" s="5">
        <v>40000</v>
      </c>
      <c r="Q35" s="5">
        <f>+$P35*BC35</f>
        <v>3567.2626379496896</v>
      </c>
      <c r="R35" s="5">
        <f>+$P35*BD35</f>
        <v>4266.1111533780795</v>
      </c>
      <c r="S35" s="5">
        <f>+$P35*BE35</f>
        <v>3775.5396339419058</v>
      </c>
      <c r="T35" s="5">
        <f>+$P35*BF35</f>
        <v>2859.8259947420197</v>
      </c>
      <c r="U35" s="5">
        <f>+$P35*BG35</f>
        <v>4147.4287242147047</v>
      </c>
      <c r="V35" s="5">
        <f>+$P35*BH35</f>
        <v>3398.8132381017854</v>
      </c>
      <c r="W35" s="5">
        <f>+$P35*BI35</f>
        <v>3383.7551550905082</v>
      </c>
      <c r="X35" s="5">
        <f>+$P35*BJ35</f>
        <v>2297.8842185111985</v>
      </c>
      <c r="Y35" s="5">
        <f>+$P35*BK35</f>
        <v>3406.1540938222988</v>
      </c>
      <c r="Z35" s="5">
        <f>+$P35*BL35</f>
        <v>2966.3223565214071</v>
      </c>
      <c r="AA35" s="5">
        <f>+$P35*BM35</f>
        <v>3028.7275676842869</v>
      </c>
      <c r="AB35" s="5">
        <f>+$P35*BN35</f>
        <v>2958.2223746270247</v>
      </c>
      <c r="AC35" s="5">
        <v>0</v>
      </c>
      <c r="AD35" s="5">
        <f>+$AC35*BC35</f>
        <v>0</v>
      </c>
      <c r="AE35" s="5">
        <f>+$AC35*BD35</f>
        <v>0</v>
      </c>
      <c r="AF35" s="5">
        <f>+$AC35*BE35</f>
        <v>0</v>
      </c>
      <c r="AG35" s="5">
        <f>+$AC35*BF35</f>
        <v>0</v>
      </c>
      <c r="AH35" s="5">
        <f>+$AC35*BG35</f>
        <v>0</v>
      </c>
      <c r="AI35" s="5">
        <f>+$AC35*BH35</f>
        <v>0</v>
      </c>
      <c r="AJ35" s="5">
        <f>+$AC35*BI35</f>
        <v>0</v>
      </c>
      <c r="AK35" s="5">
        <f>+$AC35*BJ35</f>
        <v>0</v>
      </c>
      <c r="AL35" s="5">
        <f>+$AC35*BK35</f>
        <v>0</v>
      </c>
      <c r="AM35" s="5">
        <f>+$AC35*BL35</f>
        <v>0</v>
      </c>
      <c r="AN35" s="5">
        <f>+$AC35*BM35</f>
        <v>0</v>
      </c>
      <c r="AO35" s="5">
        <f>+$AC35*BN35</f>
        <v>0</v>
      </c>
      <c r="AP35" s="5">
        <f>+AC35+P35+C35</f>
        <v>40000</v>
      </c>
      <c r="AQ35" s="1">
        <v>6688.6174461556684</v>
      </c>
      <c r="AR35" s="1">
        <v>7998.9584125838992</v>
      </c>
      <c r="AS35" s="1">
        <v>7079.1368136410729</v>
      </c>
      <c r="AT35" s="1">
        <v>5362.1737401412865</v>
      </c>
      <c r="AU35" s="1">
        <v>7776.4288579025724</v>
      </c>
      <c r="AV35" s="1">
        <v>6372.7748214408475</v>
      </c>
      <c r="AW35" s="1">
        <v>6344.5409157947024</v>
      </c>
      <c r="AX35" s="1">
        <v>4308.5329097084978</v>
      </c>
      <c r="AY35" s="1">
        <v>6386.5389259168105</v>
      </c>
      <c r="AZ35" s="1">
        <v>5561.8544184776383</v>
      </c>
      <c r="BA35" s="1">
        <v>5678.8641894080374</v>
      </c>
      <c r="BB35" s="1">
        <v>5546.6669524256713</v>
      </c>
      <c r="BC35" s="2">
        <v>8.9181565948742242E-2</v>
      </c>
      <c r="BD35" s="2">
        <v>0.10665277883445198</v>
      </c>
      <c r="BE35" s="2">
        <v>9.438849084854764E-2</v>
      </c>
      <c r="BF35" s="2">
        <v>7.149564986855049E-2</v>
      </c>
      <c r="BG35" s="2">
        <v>0.10368571810536763</v>
      </c>
      <c r="BH35" s="2">
        <v>8.4970330952544637E-2</v>
      </c>
      <c r="BI35" s="2">
        <v>8.4593878877262704E-2</v>
      </c>
      <c r="BJ35" s="2">
        <v>5.7447105462779965E-2</v>
      </c>
      <c r="BK35" s="2">
        <v>8.5153852345557474E-2</v>
      </c>
      <c r="BL35" s="2">
        <v>7.4158058913035174E-2</v>
      </c>
      <c r="BM35" s="2">
        <v>7.5718189192107169E-2</v>
      </c>
      <c r="BN35" s="2">
        <v>7.3955559365675619E-2</v>
      </c>
      <c r="BO35" s="2">
        <f>SUM(BC35:BN35)</f>
        <v>1.0014011787146229</v>
      </c>
    </row>
    <row r="36" spans="1:67" x14ac:dyDescent="0.25">
      <c r="A36" s="8">
        <v>3643</v>
      </c>
      <c r="B36" s="8" t="s">
        <v>958</v>
      </c>
      <c r="C36" s="5">
        <v>0</v>
      </c>
      <c r="D36" s="5">
        <f>+$C36*BC36</f>
        <v>0</v>
      </c>
      <c r="E36" s="5">
        <f>+$C36*BD36</f>
        <v>0</v>
      </c>
      <c r="F36" s="5">
        <f>+$C36*BE36</f>
        <v>0</v>
      </c>
      <c r="G36" s="5">
        <f>+$C36*BF36</f>
        <v>0</v>
      </c>
      <c r="H36" s="5">
        <f>+$C36*BG36</f>
        <v>0</v>
      </c>
      <c r="I36" s="5">
        <f>+$C36*BH36</f>
        <v>0</v>
      </c>
      <c r="J36" s="5">
        <f>+$C36*BI36</f>
        <v>0</v>
      </c>
      <c r="K36" s="5">
        <f>+$C36*BJ36</f>
        <v>0</v>
      </c>
      <c r="L36" s="5">
        <f>+$C36*BK36</f>
        <v>0</v>
      </c>
      <c r="M36" s="5">
        <f>+$C36*BL36</f>
        <v>0</v>
      </c>
      <c r="N36" s="5">
        <f>+$C36*BM36</f>
        <v>0</v>
      </c>
      <c r="O36" s="5">
        <f>+$C36*BN36</f>
        <v>0</v>
      </c>
      <c r="P36" s="5">
        <v>70000</v>
      </c>
      <c r="Q36" s="5">
        <f>+$P36*BC36</f>
        <v>6242.7096164119566</v>
      </c>
      <c r="R36" s="5">
        <f>+$P36*BD36</f>
        <v>7465.6945184116385</v>
      </c>
      <c r="S36" s="5">
        <f>+$P36*BE36</f>
        <v>6607.1943593983351</v>
      </c>
      <c r="T36" s="5">
        <f>+$P36*BF36</f>
        <v>5004.6954907985346</v>
      </c>
      <c r="U36" s="5">
        <f>+$P36*BG36</f>
        <v>7258.0002673757335</v>
      </c>
      <c r="V36" s="5">
        <f>+$P36*BH36</f>
        <v>5947.9231666781243</v>
      </c>
      <c r="W36" s="5">
        <f>+$P36*BI36</f>
        <v>5921.5715214083893</v>
      </c>
      <c r="X36" s="5">
        <f>+$P36*BJ36</f>
        <v>4021.2973823945977</v>
      </c>
      <c r="Y36" s="5">
        <f>+$P36*BK36</f>
        <v>5960.7696641890234</v>
      </c>
      <c r="Z36" s="5">
        <f>+$P36*BL36</f>
        <v>5191.0641239124625</v>
      </c>
      <c r="AA36" s="5">
        <f>+$P36*BM36</f>
        <v>5300.273243447502</v>
      </c>
      <c r="AB36" s="5">
        <f>+$P36*BN36</f>
        <v>5176.8891555972932</v>
      </c>
      <c r="AC36" s="5">
        <v>0</v>
      </c>
      <c r="AD36" s="5">
        <f>+$AC36*BC36</f>
        <v>0</v>
      </c>
      <c r="AE36" s="5">
        <f>+$AC36*BD36</f>
        <v>0</v>
      </c>
      <c r="AF36" s="5">
        <f>+$AC36*BE36</f>
        <v>0</v>
      </c>
      <c r="AG36" s="5">
        <f>+$AC36*BF36</f>
        <v>0</v>
      </c>
      <c r="AH36" s="5">
        <f>+$AC36*BG36</f>
        <v>0</v>
      </c>
      <c r="AI36" s="5">
        <f>+$AC36*BH36</f>
        <v>0</v>
      </c>
      <c r="AJ36" s="5">
        <f>+$AC36*BI36</f>
        <v>0</v>
      </c>
      <c r="AK36" s="5">
        <f>+$AC36*BJ36</f>
        <v>0</v>
      </c>
      <c r="AL36" s="5">
        <f>+$AC36*BK36</f>
        <v>0</v>
      </c>
      <c r="AM36" s="5">
        <f>+$AC36*BL36</f>
        <v>0</v>
      </c>
      <c r="AN36" s="5">
        <f>+$AC36*BM36</f>
        <v>0</v>
      </c>
      <c r="AO36" s="5">
        <f>+$AC36*BN36</f>
        <v>0</v>
      </c>
      <c r="AP36" s="5">
        <f>+AC36+P36+C36</f>
        <v>70000</v>
      </c>
      <c r="AQ36" s="1">
        <v>5350.8939569245349</v>
      </c>
      <c r="AR36" s="1">
        <v>6399.1667300671188</v>
      </c>
      <c r="AS36" s="1">
        <v>5663.3094509128587</v>
      </c>
      <c r="AT36" s="1">
        <v>4289.7389921130298</v>
      </c>
      <c r="AU36" s="1">
        <v>6221.1430863220576</v>
      </c>
      <c r="AV36" s="1">
        <v>5098.2198571526778</v>
      </c>
      <c r="AW36" s="1">
        <v>5075.6327326357623</v>
      </c>
      <c r="AX36" s="1">
        <v>3446.8263277667979</v>
      </c>
      <c r="AY36" s="1">
        <v>5109.2311407334482</v>
      </c>
      <c r="AZ36" s="1">
        <v>4449.4835347821108</v>
      </c>
      <c r="BA36" s="1">
        <v>4543.0913515264301</v>
      </c>
      <c r="BB36" s="1">
        <v>4437.333561940537</v>
      </c>
      <c r="BC36" s="2">
        <v>8.9181565948742242E-2</v>
      </c>
      <c r="BD36" s="2">
        <v>0.10665277883445198</v>
      </c>
      <c r="BE36" s="2">
        <v>9.438849084854764E-2</v>
      </c>
      <c r="BF36" s="2">
        <v>7.149564986855049E-2</v>
      </c>
      <c r="BG36" s="2">
        <v>0.10368571810536763</v>
      </c>
      <c r="BH36" s="2">
        <v>8.4970330952544637E-2</v>
      </c>
      <c r="BI36" s="2">
        <v>8.4593878877262704E-2</v>
      </c>
      <c r="BJ36" s="2">
        <v>5.7447105462779965E-2</v>
      </c>
      <c r="BK36" s="2">
        <v>8.5153852345557474E-2</v>
      </c>
      <c r="BL36" s="2">
        <v>7.4158058913035174E-2</v>
      </c>
      <c r="BM36" s="2">
        <v>7.5718189192107169E-2</v>
      </c>
      <c r="BN36" s="2">
        <v>7.3955559365675619E-2</v>
      </c>
      <c r="BO36" s="2">
        <f>SUM(BC36:BN36)</f>
        <v>1.0014011787146229</v>
      </c>
    </row>
    <row r="37" spans="1:67" x14ac:dyDescent="0.25">
      <c r="A37" s="8">
        <v>1702</v>
      </c>
      <c r="B37" s="8" t="s">
        <v>957</v>
      </c>
      <c r="C37" s="5">
        <v>0</v>
      </c>
      <c r="D37" s="5">
        <f>+$C37*BC37</f>
        <v>0</v>
      </c>
      <c r="E37" s="5">
        <f>+$C37*BD37</f>
        <v>0</v>
      </c>
      <c r="F37" s="5">
        <f>+$C37*BE37</f>
        <v>0</v>
      </c>
      <c r="G37" s="5">
        <f>+$C37*BF37</f>
        <v>0</v>
      </c>
      <c r="H37" s="5">
        <f>+$C37*BG37</f>
        <v>0</v>
      </c>
      <c r="I37" s="5">
        <f>+$C37*BH37</f>
        <v>0</v>
      </c>
      <c r="J37" s="5">
        <f>+$C37*BI37</f>
        <v>0</v>
      </c>
      <c r="K37" s="5">
        <f>+$C37*BJ37</f>
        <v>0</v>
      </c>
      <c r="L37" s="5">
        <f>+$C37*BK37</f>
        <v>0</v>
      </c>
      <c r="M37" s="5">
        <f>+$C37*BL37</f>
        <v>0</v>
      </c>
      <c r="N37" s="5">
        <f>+$C37*BM37</f>
        <v>0</v>
      </c>
      <c r="O37" s="5">
        <f>+$C37*BN37</f>
        <v>0</v>
      </c>
      <c r="P37" s="5">
        <v>55000</v>
      </c>
      <c r="Q37" s="5">
        <f>+$P37*BC37</f>
        <v>4904.9861271808231</v>
      </c>
      <c r="R37" s="5">
        <f>+$P37*BD37</f>
        <v>5865.902835894859</v>
      </c>
      <c r="S37" s="5">
        <f>+$P37*BE37</f>
        <v>5191.36699667012</v>
      </c>
      <c r="T37" s="5">
        <f>+$P37*BF37</f>
        <v>3932.2607427702769</v>
      </c>
      <c r="U37" s="5">
        <f>+$P37*BG37</f>
        <v>5702.7144957952196</v>
      </c>
      <c r="V37" s="5">
        <f>+$P37*BH37</f>
        <v>4673.3682023899546</v>
      </c>
      <c r="W37" s="5">
        <f>+$P37*BI37</f>
        <v>4652.6633382494483</v>
      </c>
      <c r="X37" s="5">
        <f>+$P37*BJ37</f>
        <v>3159.5908004528983</v>
      </c>
      <c r="Y37" s="5">
        <f>+$P37*BK37</f>
        <v>4683.4618790056611</v>
      </c>
      <c r="Z37" s="5">
        <f>+$P37*BL37</f>
        <v>4078.6932402169346</v>
      </c>
      <c r="AA37" s="5">
        <f>+$P37*BM37</f>
        <v>4164.5004055658947</v>
      </c>
      <c r="AB37" s="5">
        <f>+$P37*BN37</f>
        <v>4067.555765112159</v>
      </c>
      <c r="AC37" s="5">
        <v>0</v>
      </c>
      <c r="AD37" s="5">
        <f>+$AC37*BC37</f>
        <v>0</v>
      </c>
      <c r="AE37" s="5">
        <f>+$AC37*BD37</f>
        <v>0</v>
      </c>
      <c r="AF37" s="5">
        <f>+$AC37*BE37</f>
        <v>0</v>
      </c>
      <c r="AG37" s="5">
        <f>+$AC37*BF37</f>
        <v>0</v>
      </c>
      <c r="AH37" s="5">
        <f>+$AC37*BG37</f>
        <v>0</v>
      </c>
      <c r="AI37" s="5">
        <f>+$AC37*BH37</f>
        <v>0</v>
      </c>
      <c r="AJ37" s="5">
        <f>+$AC37*BI37</f>
        <v>0</v>
      </c>
      <c r="AK37" s="5">
        <f>+$AC37*BJ37</f>
        <v>0</v>
      </c>
      <c r="AL37" s="5">
        <f>+$AC37*BK37</f>
        <v>0</v>
      </c>
      <c r="AM37" s="5">
        <f>+$AC37*BL37</f>
        <v>0</v>
      </c>
      <c r="AN37" s="5">
        <f>+$AC37*BM37</f>
        <v>0</v>
      </c>
      <c r="AO37" s="5">
        <f>+$AC37*BN37</f>
        <v>0</v>
      </c>
      <c r="AP37" s="5">
        <f>+AC37+P37+C37</f>
        <v>55000</v>
      </c>
      <c r="AQ37" s="1">
        <v>5284.007782462978</v>
      </c>
      <c r="AR37" s="1">
        <v>6319.1771459412803</v>
      </c>
      <c r="AS37" s="1">
        <v>5592.518082776448</v>
      </c>
      <c r="AT37" s="1">
        <v>4236.1172547116166</v>
      </c>
      <c r="AU37" s="1">
        <v>6143.378797743032</v>
      </c>
      <c r="AV37" s="1">
        <v>5034.4921089382697</v>
      </c>
      <c r="AW37" s="1">
        <v>5012.187323477815</v>
      </c>
      <c r="AX37" s="1">
        <v>3403.740998669713</v>
      </c>
      <c r="AY37" s="1">
        <v>5045.3657514742799</v>
      </c>
      <c r="AZ37" s="1">
        <v>4393.8649905973343</v>
      </c>
      <c r="BA37" s="1">
        <v>4486.3027096323494</v>
      </c>
      <c r="BB37" s="1">
        <v>4381.8668924162803</v>
      </c>
      <c r="BC37" s="2">
        <v>8.9181565948742242E-2</v>
      </c>
      <c r="BD37" s="2">
        <v>0.10665277883445198</v>
      </c>
      <c r="BE37" s="2">
        <v>9.438849084854764E-2</v>
      </c>
      <c r="BF37" s="2">
        <v>7.149564986855049E-2</v>
      </c>
      <c r="BG37" s="2">
        <v>0.10368571810536763</v>
      </c>
      <c r="BH37" s="2">
        <v>8.4970330952544637E-2</v>
      </c>
      <c r="BI37" s="2">
        <v>8.4593878877262704E-2</v>
      </c>
      <c r="BJ37" s="2">
        <v>5.7447105462779965E-2</v>
      </c>
      <c r="BK37" s="2">
        <v>8.5153852345557474E-2</v>
      </c>
      <c r="BL37" s="2">
        <v>7.4158058913035174E-2</v>
      </c>
      <c r="BM37" s="2">
        <v>7.5718189192107169E-2</v>
      </c>
      <c r="BN37" s="2">
        <v>7.3955559365675619E-2</v>
      </c>
      <c r="BO37" s="2">
        <f>SUM(BC37:BN37)</f>
        <v>1.0014011787146229</v>
      </c>
    </row>
    <row r="38" spans="1:67" x14ac:dyDescent="0.25">
      <c r="A38" s="8">
        <v>1978</v>
      </c>
      <c r="B38" s="8" t="s">
        <v>956</v>
      </c>
      <c r="C38" s="5">
        <v>38000</v>
      </c>
      <c r="D38" s="5">
        <f>+$C38*BC38</f>
        <v>3388.8995060522052</v>
      </c>
      <c r="E38" s="5">
        <f>+$C38*BD38</f>
        <v>4052.8055957091756</v>
      </c>
      <c r="F38" s="5">
        <f>+$C38*BE38</f>
        <v>3586.7626522448104</v>
      </c>
      <c r="G38" s="5">
        <f>+$C38*BF38</f>
        <v>2716.8346950049186</v>
      </c>
      <c r="H38" s="5">
        <f>+$C38*BG38</f>
        <v>3940.0572880039699</v>
      </c>
      <c r="I38" s="5">
        <f>+$C38*BH38</f>
        <v>3228.8725761966962</v>
      </c>
      <c r="J38" s="5">
        <f>+$C38*BI38</f>
        <v>3214.5673973359826</v>
      </c>
      <c r="K38" s="5">
        <f>+$C38*BJ38</f>
        <v>2182.9900075856385</v>
      </c>
      <c r="L38" s="5">
        <f>+$C38*BK38</f>
        <v>3235.846389131184</v>
      </c>
      <c r="M38" s="5">
        <f>+$C38*BL38</f>
        <v>2818.0062386953368</v>
      </c>
      <c r="N38" s="5">
        <f>+$C38*BM38</f>
        <v>2877.2911893000723</v>
      </c>
      <c r="O38" s="5">
        <f>+$C38*BN38</f>
        <v>2810.3112558956736</v>
      </c>
      <c r="P38" s="5">
        <v>20000</v>
      </c>
      <c r="Q38" s="5">
        <f>+$P38*BC38</f>
        <v>1783.6313189748448</v>
      </c>
      <c r="R38" s="5">
        <f>+$P38*BD38</f>
        <v>2133.0555766890398</v>
      </c>
      <c r="S38" s="5">
        <f>+$P38*BE38</f>
        <v>1887.7698169709529</v>
      </c>
      <c r="T38" s="5">
        <f>+$P38*BF38</f>
        <v>1429.9129973710099</v>
      </c>
      <c r="U38" s="5">
        <f>+$P38*BG38</f>
        <v>2073.7143621073524</v>
      </c>
      <c r="V38" s="5">
        <f>+$P38*BH38</f>
        <v>1699.4066190508927</v>
      </c>
      <c r="W38" s="5">
        <f>+$P38*BI38</f>
        <v>1691.8775775452541</v>
      </c>
      <c r="X38" s="5">
        <f>+$P38*BJ38</f>
        <v>1148.9421092555992</v>
      </c>
      <c r="Y38" s="5">
        <f>+$P38*BK38</f>
        <v>1703.0770469111494</v>
      </c>
      <c r="Z38" s="5">
        <f>+$P38*BL38</f>
        <v>1483.1611782607035</v>
      </c>
      <c r="AA38" s="5">
        <f>+$P38*BM38</f>
        <v>1514.3637838421434</v>
      </c>
      <c r="AB38" s="5">
        <f>+$P38*BN38</f>
        <v>1479.1111873135123</v>
      </c>
      <c r="AC38" s="5">
        <v>0</v>
      </c>
      <c r="AD38" s="5">
        <f>+$AC38*BC38</f>
        <v>0</v>
      </c>
      <c r="AE38" s="5">
        <f>+$AC38*BD38</f>
        <v>0</v>
      </c>
      <c r="AF38" s="5">
        <f>+$AC38*BE38</f>
        <v>0</v>
      </c>
      <c r="AG38" s="5">
        <f>+$AC38*BF38</f>
        <v>0</v>
      </c>
      <c r="AH38" s="5">
        <f>+$AC38*BG38</f>
        <v>0</v>
      </c>
      <c r="AI38" s="5">
        <f>+$AC38*BH38</f>
        <v>0</v>
      </c>
      <c r="AJ38" s="5">
        <f>+$AC38*BI38</f>
        <v>0</v>
      </c>
      <c r="AK38" s="5">
        <f>+$AC38*BJ38</f>
        <v>0</v>
      </c>
      <c r="AL38" s="5">
        <f>+$AC38*BK38</f>
        <v>0</v>
      </c>
      <c r="AM38" s="5">
        <f>+$AC38*BL38</f>
        <v>0</v>
      </c>
      <c r="AN38" s="5">
        <f>+$AC38*BM38</f>
        <v>0</v>
      </c>
      <c r="AO38" s="5">
        <f>+$AC38*BN38</f>
        <v>0</v>
      </c>
      <c r="AP38" s="5">
        <f>+AC38+P38+C38</f>
        <v>58000</v>
      </c>
      <c r="AQ38" s="1">
        <v>4985.2495365346913</v>
      </c>
      <c r="AR38" s="1">
        <v>5961.8903368458659</v>
      </c>
      <c r="AS38" s="1">
        <v>5276.3166384338128</v>
      </c>
      <c r="AT38" s="1">
        <v>3996.6068276519723</v>
      </c>
      <c r="AU38" s="1">
        <v>5796.0316420900508</v>
      </c>
      <c r="AV38" s="1">
        <v>4749.8415002472448</v>
      </c>
      <c r="AW38" s="1">
        <v>4728.7978292389853</v>
      </c>
      <c r="AX38" s="1">
        <v>3211.2931953694001</v>
      </c>
      <c r="AY38" s="1">
        <v>4760.1003461166629</v>
      </c>
      <c r="AZ38" s="1">
        <v>4145.4354932386659</v>
      </c>
      <c r="BA38" s="1">
        <v>4232.6467758387907</v>
      </c>
      <c r="BB38" s="1">
        <v>4134.1157685412672</v>
      </c>
      <c r="BC38" s="2">
        <v>8.9181565948742242E-2</v>
      </c>
      <c r="BD38" s="2">
        <v>0.10665277883445198</v>
      </c>
      <c r="BE38" s="2">
        <v>9.438849084854764E-2</v>
      </c>
      <c r="BF38" s="2">
        <v>7.149564986855049E-2</v>
      </c>
      <c r="BG38" s="2">
        <v>0.10368571810536763</v>
      </c>
      <c r="BH38" s="2">
        <v>8.4970330952544637E-2</v>
      </c>
      <c r="BI38" s="2">
        <v>8.4593878877262704E-2</v>
      </c>
      <c r="BJ38" s="2">
        <v>5.7447105462779965E-2</v>
      </c>
      <c r="BK38" s="2">
        <v>8.5153852345557474E-2</v>
      </c>
      <c r="BL38" s="2">
        <v>7.4158058913035174E-2</v>
      </c>
      <c r="BM38" s="2">
        <v>7.5718189192107169E-2</v>
      </c>
      <c r="BN38" s="2">
        <v>7.3955559365675619E-2</v>
      </c>
      <c r="BO38" s="2">
        <f>SUM(BC38:BN38)</f>
        <v>1.0014011787146229</v>
      </c>
    </row>
    <row r="39" spans="1:67" x14ac:dyDescent="0.25">
      <c r="A39" s="8">
        <v>3406</v>
      </c>
      <c r="B39" s="8" t="s">
        <v>955</v>
      </c>
      <c r="C39" s="5">
        <v>0</v>
      </c>
      <c r="D39" s="5">
        <f>+$C39*BC39</f>
        <v>0</v>
      </c>
      <c r="E39" s="5">
        <f>+$C39*BD39</f>
        <v>0</v>
      </c>
      <c r="F39" s="5">
        <f>+$C39*BE39</f>
        <v>0</v>
      </c>
      <c r="G39" s="5">
        <f>+$C39*BF39</f>
        <v>0</v>
      </c>
      <c r="H39" s="5">
        <f>+$C39*BG39</f>
        <v>0</v>
      </c>
      <c r="I39" s="5">
        <f>+$C39*BH39</f>
        <v>0</v>
      </c>
      <c r="J39" s="5">
        <f>+$C39*BI39</f>
        <v>0</v>
      </c>
      <c r="K39" s="5">
        <f>+$C39*BJ39</f>
        <v>0</v>
      </c>
      <c r="L39" s="5">
        <f>+$C39*BK39</f>
        <v>0</v>
      </c>
      <c r="M39" s="5">
        <f>+$C39*BL39</f>
        <v>0</v>
      </c>
      <c r="N39" s="5">
        <f>+$C39*BM39</f>
        <v>0</v>
      </c>
      <c r="O39" s="5">
        <f>+$C39*BN39</f>
        <v>0</v>
      </c>
      <c r="P39" s="5">
        <v>30000</v>
      </c>
      <c r="Q39" s="5">
        <f>+$P39*BC39</f>
        <v>2675.4469784622675</v>
      </c>
      <c r="R39" s="5">
        <f>+$P39*BD39</f>
        <v>3199.5833650335594</v>
      </c>
      <c r="S39" s="5">
        <f>+$P39*BE39</f>
        <v>2831.6547254564293</v>
      </c>
      <c r="T39" s="5">
        <f>+$P39*BF39</f>
        <v>2144.8694960565149</v>
      </c>
      <c r="U39" s="5">
        <f>+$P39*BG39</f>
        <v>3110.5715431610288</v>
      </c>
      <c r="V39" s="5">
        <f>+$P39*BH39</f>
        <v>2549.1099285763389</v>
      </c>
      <c r="W39" s="5">
        <f>+$P39*BI39</f>
        <v>2537.8163663178811</v>
      </c>
      <c r="X39" s="5">
        <f>+$P39*BJ39</f>
        <v>1723.413163883399</v>
      </c>
      <c r="Y39" s="5">
        <f>+$P39*BK39</f>
        <v>2554.6155703667241</v>
      </c>
      <c r="Z39" s="5">
        <f>+$P39*BL39</f>
        <v>2224.7417673910554</v>
      </c>
      <c r="AA39" s="5">
        <f>+$P39*BM39</f>
        <v>2271.5456757632151</v>
      </c>
      <c r="AB39" s="5">
        <f>+$P39*BN39</f>
        <v>2218.6667809702685</v>
      </c>
      <c r="AC39" s="5">
        <v>12000</v>
      </c>
      <c r="AD39" s="5">
        <f>+$AC39*BC39</f>
        <v>1070.1787913849068</v>
      </c>
      <c r="AE39" s="5">
        <f>+$AC39*BD39</f>
        <v>1279.8333460134238</v>
      </c>
      <c r="AF39" s="5">
        <f>+$AC39*BE39</f>
        <v>1132.6618901825716</v>
      </c>
      <c r="AG39" s="5">
        <f>+$AC39*BF39</f>
        <v>857.94779842260584</v>
      </c>
      <c r="AH39" s="5">
        <f>+$AC39*BG39</f>
        <v>1244.2286172644115</v>
      </c>
      <c r="AI39" s="5">
        <f>+$AC39*BH39</f>
        <v>1019.6439714305357</v>
      </c>
      <c r="AJ39" s="5">
        <f>+$AC39*BI39</f>
        <v>1015.1265465271524</v>
      </c>
      <c r="AK39" s="5">
        <f>+$AC39*BJ39</f>
        <v>689.36526555335956</v>
      </c>
      <c r="AL39" s="5">
        <f>+$AC39*BK39</f>
        <v>1021.8462281466897</v>
      </c>
      <c r="AM39" s="5">
        <f>+$AC39*BL39</f>
        <v>889.89670695642212</v>
      </c>
      <c r="AN39" s="5">
        <f>+$AC39*BM39</f>
        <v>908.61827030528605</v>
      </c>
      <c r="AO39" s="5">
        <f>+$AC39*BN39</f>
        <v>887.46671238810745</v>
      </c>
      <c r="AP39" s="5">
        <f>+AC39+P39+C39</f>
        <v>42000</v>
      </c>
      <c r="AQ39" s="1">
        <v>4682.0322123089672</v>
      </c>
      <c r="AR39" s="1">
        <v>5599.2708888087291</v>
      </c>
      <c r="AS39" s="1">
        <v>4955.3957695487516</v>
      </c>
      <c r="AT39" s="1">
        <v>3753.5216180989009</v>
      </c>
      <c r="AU39" s="1">
        <v>5443.5002005318001</v>
      </c>
      <c r="AV39" s="1">
        <v>4460.9423750085934</v>
      </c>
      <c r="AW39" s="1">
        <v>4441.1786410562918</v>
      </c>
      <c r="AX39" s="1">
        <v>3015.9730367959482</v>
      </c>
      <c r="AY39" s="1">
        <v>4470.5772481417671</v>
      </c>
      <c r="AZ39" s="1">
        <v>3893.2980929343466</v>
      </c>
      <c r="BA39" s="1">
        <v>3975.2049325856265</v>
      </c>
      <c r="BB39" s="1">
        <v>3882.6668666979699</v>
      </c>
      <c r="BC39" s="2">
        <v>8.9181565948742242E-2</v>
      </c>
      <c r="BD39" s="2">
        <v>0.10665277883445198</v>
      </c>
      <c r="BE39" s="2">
        <v>9.438849084854764E-2</v>
      </c>
      <c r="BF39" s="2">
        <v>7.149564986855049E-2</v>
      </c>
      <c r="BG39" s="2">
        <v>0.10368571810536763</v>
      </c>
      <c r="BH39" s="2">
        <v>8.4970330952544637E-2</v>
      </c>
      <c r="BI39" s="2">
        <v>8.4593878877262704E-2</v>
      </c>
      <c r="BJ39" s="2">
        <v>5.7447105462779965E-2</v>
      </c>
      <c r="BK39" s="2">
        <v>8.5153852345557474E-2</v>
      </c>
      <c r="BL39" s="2">
        <v>7.4158058913035174E-2</v>
      </c>
      <c r="BM39" s="2">
        <v>7.5718189192107169E-2</v>
      </c>
      <c r="BN39" s="2">
        <v>7.3955559365675619E-2</v>
      </c>
      <c r="BO39" s="2">
        <f>SUM(BC39:BN39)</f>
        <v>1.0014011787146229</v>
      </c>
    </row>
    <row r="40" spans="1:67" x14ac:dyDescent="0.25">
      <c r="A40" s="8">
        <v>20122</v>
      </c>
      <c r="B40" s="8" t="s">
        <v>954</v>
      </c>
      <c r="C40" s="5">
        <v>90000</v>
      </c>
      <c r="D40" s="5">
        <f>+$C40*BC40</f>
        <v>8026.3409353868019</v>
      </c>
      <c r="E40" s="5">
        <f>+$C40*BD40</f>
        <v>9598.7500951006787</v>
      </c>
      <c r="F40" s="5">
        <f>+$C40*BE40</f>
        <v>8494.9641763692871</v>
      </c>
      <c r="G40" s="5">
        <f>+$C40*BF40</f>
        <v>6434.6084881695442</v>
      </c>
      <c r="H40" s="5">
        <f>+$C40*BG40</f>
        <v>9331.7146294830873</v>
      </c>
      <c r="I40" s="5">
        <f>+$C40*BH40</f>
        <v>7647.3297857290172</v>
      </c>
      <c r="J40" s="5">
        <f>+$C40*BI40</f>
        <v>7613.4490989536434</v>
      </c>
      <c r="K40" s="5">
        <f>+$C40*BJ40</f>
        <v>5170.2394916501971</v>
      </c>
      <c r="L40" s="5">
        <f>+$C40*BK40</f>
        <v>7663.8467111001728</v>
      </c>
      <c r="M40" s="5">
        <f>+$C40*BL40</f>
        <v>6674.2253021731658</v>
      </c>
      <c r="N40" s="5">
        <f>+$C40*BM40</f>
        <v>6814.6370272896456</v>
      </c>
      <c r="O40" s="5">
        <f>+$C40*BN40</f>
        <v>6656.0003429108056</v>
      </c>
      <c r="P40" s="5">
        <v>0</v>
      </c>
      <c r="Q40" s="5">
        <f>+$P40*BC40</f>
        <v>0</v>
      </c>
      <c r="R40" s="5">
        <f>+$P40*BD40</f>
        <v>0</v>
      </c>
      <c r="S40" s="5">
        <f>+$P40*BE40</f>
        <v>0</v>
      </c>
      <c r="T40" s="5">
        <f>+$P40*BF40</f>
        <v>0</v>
      </c>
      <c r="U40" s="5">
        <f>+$P40*BG40</f>
        <v>0</v>
      </c>
      <c r="V40" s="5">
        <f>+$P40*BH40</f>
        <v>0</v>
      </c>
      <c r="W40" s="5">
        <f>+$P40*BI40</f>
        <v>0</v>
      </c>
      <c r="X40" s="5">
        <f>+$P40*BJ40</f>
        <v>0</v>
      </c>
      <c r="Y40" s="5">
        <f>+$P40*BK40</f>
        <v>0</v>
      </c>
      <c r="Z40" s="5">
        <f>+$P40*BL40</f>
        <v>0</v>
      </c>
      <c r="AA40" s="5">
        <f>+$P40*BM40</f>
        <v>0</v>
      </c>
      <c r="AB40" s="5">
        <f>+$P40*BN40</f>
        <v>0</v>
      </c>
      <c r="AC40" s="5">
        <v>0</v>
      </c>
      <c r="AD40" s="5">
        <f>+$AC40*BC40</f>
        <v>0</v>
      </c>
      <c r="AE40" s="5">
        <f>+$AC40*BD40</f>
        <v>0</v>
      </c>
      <c r="AF40" s="5">
        <f>+$AC40*BE40</f>
        <v>0</v>
      </c>
      <c r="AG40" s="5">
        <f>+$AC40*BF40</f>
        <v>0</v>
      </c>
      <c r="AH40" s="5">
        <f>+$AC40*BG40</f>
        <v>0</v>
      </c>
      <c r="AI40" s="5">
        <f>+$AC40*BH40</f>
        <v>0</v>
      </c>
      <c r="AJ40" s="5">
        <f>+$AC40*BI40</f>
        <v>0</v>
      </c>
      <c r="AK40" s="5">
        <f>+$AC40*BJ40</f>
        <v>0</v>
      </c>
      <c r="AL40" s="5">
        <f>+$AC40*BK40</f>
        <v>0</v>
      </c>
      <c r="AM40" s="5">
        <f>+$AC40*BL40</f>
        <v>0</v>
      </c>
      <c r="AN40" s="5">
        <f>+$AC40*BM40</f>
        <v>0</v>
      </c>
      <c r="AO40" s="5">
        <f>+$AC40*BN40</f>
        <v>0</v>
      </c>
      <c r="AP40" s="5">
        <f>+AC40+P40+C40</f>
        <v>90000</v>
      </c>
      <c r="AQ40" s="1">
        <v>4904.9861271808231</v>
      </c>
      <c r="AR40" s="1">
        <v>5865.902835894859</v>
      </c>
      <c r="AS40" s="1">
        <v>5191.36699667012</v>
      </c>
      <c r="AT40" s="1">
        <v>3932.2607427702769</v>
      </c>
      <c r="AU40" s="1">
        <v>5702.7144957952196</v>
      </c>
      <c r="AV40" s="1">
        <v>4673.3682023899546</v>
      </c>
      <c r="AW40" s="1">
        <v>4652.6633382494483</v>
      </c>
      <c r="AX40" s="1">
        <v>3159.5908004528983</v>
      </c>
      <c r="AY40" s="1">
        <v>4683.4618790056611</v>
      </c>
      <c r="AZ40" s="1">
        <v>4078.6932402169346</v>
      </c>
      <c r="BA40" s="1">
        <v>4164.5004055658947</v>
      </c>
      <c r="BB40" s="1">
        <v>4067.555765112159</v>
      </c>
      <c r="BC40" s="2">
        <v>8.9181565948742242E-2</v>
      </c>
      <c r="BD40" s="2">
        <v>0.10665277883445198</v>
      </c>
      <c r="BE40" s="2">
        <v>9.438849084854764E-2</v>
      </c>
      <c r="BF40" s="2">
        <v>7.149564986855049E-2</v>
      </c>
      <c r="BG40" s="2">
        <v>0.10368571810536763</v>
      </c>
      <c r="BH40" s="2">
        <v>8.4970330952544637E-2</v>
      </c>
      <c r="BI40" s="2">
        <v>8.4593878877262704E-2</v>
      </c>
      <c r="BJ40" s="2">
        <v>5.7447105462779965E-2</v>
      </c>
      <c r="BK40" s="2">
        <v>8.5153852345557474E-2</v>
      </c>
      <c r="BL40" s="2">
        <v>7.4158058913035174E-2</v>
      </c>
      <c r="BM40" s="2">
        <v>7.5718189192107169E-2</v>
      </c>
      <c r="BN40" s="2">
        <v>7.3955559365675619E-2</v>
      </c>
      <c r="BO40" s="2">
        <f>SUM(BC40:BN40)</f>
        <v>1.0014011787146229</v>
      </c>
    </row>
    <row r="41" spans="1:67" x14ac:dyDescent="0.25">
      <c r="A41" s="8">
        <v>5328</v>
      </c>
      <c r="B41" s="8" t="s">
        <v>953</v>
      </c>
      <c r="C41" s="5">
        <v>0</v>
      </c>
      <c r="D41" s="5">
        <f>+$C41*BC41</f>
        <v>0</v>
      </c>
      <c r="E41" s="5">
        <f>+$C41*BD41</f>
        <v>0</v>
      </c>
      <c r="F41" s="5">
        <f>+$C41*BE41</f>
        <v>0</v>
      </c>
      <c r="G41" s="5">
        <f>+$C41*BF41</f>
        <v>0</v>
      </c>
      <c r="H41" s="5">
        <f>+$C41*BG41</f>
        <v>0</v>
      </c>
      <c r="I41" s="5">
        <f>+$C41*BH41</f>
        <v>0</v>
      </c>
      <c r="J41" s="5">
        <f>+$C41*BI41</f>
        <v>0</v>
      </c>
      <c r="K41" s="5">
        <f>+$C41*BJ41</f>
        <v>0</v>
      </c>
      <c r="L41" s="5">
        <f>+$C41*BK41</f>
        <v>0</v>
      </c>
      <c r="M41" s="5">
        <f>+$C41*BL41</f>
        <v>0</v>
      </c>
      <c r="N41" s="5">
        <f>+$C41*BM41</f>
        <v>0</v>
      </c>
      <c r="O41" s="5">
        <f>+$C41*BN41</f>
        <v>0</v>
      </c>
      <c r="P41" s="5">
        <v>49000</v>
      </c>
      <c r="Q41" s="5">
        <f>+$P41*BC41</f>
        <v>4369.8967314883703</v>
      </c>
      <c r="R41" s="5">
        <f>+$P41*BD41</f>
        <v>5225.9861628881472</v>
      </c>
      <c r="S41" s="5">
        <f>+$P41*BE41</f>
        <v>4625.0360515788343</v>
      </c>
      <c r="T41" s="5">
        <f>+$P41*BF41</f>
        <v>3503.2868435589739</v>
      </c>
      <c r="U41" s="5">
        <f>+$P41*BG41</f>
        <v>5080.6001871630142</v>
      </c>
      <c r="V41" s="5">
        <f>+$P41*BH41</f>
        <v>4163.5462166746875</v>
      </c>
      <c r="W41" s="5">
        <f>+$P41*BI41</f>
        <v>4145.1000649858725</v>
      </c>
      <c r="X41" s="5">
        <f>+$P41*BJ41</f>
        <v>2814.9081676762185</v>
      </c>
      <c r="Y41" s="5">
        <f>+$P41*BK41</f>
        <v>4172.5387649323166</v>
      </c>
      <c r="Z41" s="5">
        <f>+$P41*BL41</f>
        <v>3633.7448867387234</v>
      </c>
      <c r="AA41" s="5">
        <f>+$P41*BM41</f>
        <v>3710.1912704132515</v>
      </c>
      <c r="AB41" s="5">
        <f>+$P41*BN41</f>
        <v>3623.8224089181053</v>
      </c>
      <c r="AC41" s="5">
        <v>0</v>
      </c>
      <c r="AD41" s="5">
        <f>+$AC41*BC41</f>
        <v>0</v>
      </c>
      <c r="AE41" s="5">
        <f>+$AC41*BD41</f>
        <v>0</v>
      </c>
      <c r="AF41" s="5">
        <f>+$AC41*BE41</f>
        <v>0</v>
      </c>
      <c r="AG41" s="5">
        <f>+$AC41*BF41</f>
        <v>0</v>
      </c>
      <c r="AH41" s="5">
        <f>+$AC41*BG41</f>
        <v>0</v>
      </c>
      <c r="AI41" s="5">
        <f>+$AC41*BH41</f>
        <v>0</v>
      </c>
      <c r="AJ41" s="5">
        <f>+$AC41*BI41</f>
        <v>0</v>
      </c>
      <c r="AK41" s="5">
        <f>+$AC41*BJ41</f>
        <v>0</v>
      </c>
      <c r="AL41" s="5">
        <f>+$AC41*BK41</f>
        <v>0</v>
      </c>
      <c r="AM41" s="5">
        <f>+$AC41*BL41</f>
        <v>0</v>
      </c>
      <c r="AN41" s="5">
        <f>+$AC41*BM41</f>
        <v>0</v>
      </c>
      <c r="AO41" s="5">
        <f>+$AC41*BN41</f>
        <v>0</v>
      </c>
      <c r="AP41" s="5">
        <f>+AC41+P41+C41</f>
        <v>49000</v>
      </c>
      <c r="AQ41" s="1">
        <v>4459.0782974371123</v>
      </c>
      <c r="AR41" s="1">
        <v>5332.6389417225992</v>
      </c>
      <c r="AS41" s="1">
        <v>4719.4245424273822</v>
      </c>
      <c r="AT41" s="1">
        <v>3574.7824934275245</v>
      </c>
      <c r="AU41" s="1">
        <v>5184.2859052683816</v>
      </c>
      <c r="AV41" s="1">
        <v>4248.5165476272323</v>
      </c>
      <c r="AW41" s="1">
        <v>4229.6939438631352</v>
      </c>
      <c r="AX41" s="1">
        <v>2872.3552731389982</v>
      </c>
      <c r="AY41" s="1">
        <v>4257.692617277874</v>
      </c>
      <c r="AZ41" s="1">
        <v>3707.9029456517587</v>
      </c>
      <c r="BA41" s="1">
        <v>3785.9094596053583</v>
      </c>
      <c r="BB41" s="1">
        <v>3697.7779682837809</v>
      </c>
      <c r="BC41" s="2">
        <v>8.9181565948742242E-2</v>
      </c>
      <c r="BD41" s="2">
        <v>0.10665277883445198</v>
      </c>
      <c r="BE41" s="2">
        <v>9.438849084854764E-2</v>
      </c>
      <c r="BF41" s="2">
        <v>7.149564986855049E-2</v>
      </c>
      <c r="BG41" s="2">
        <v>0.10368571810536763</v>
      </c>
      <c r="BH41" s="2">
        <v>8.4970330952544637E-2</v>
      </c>
      <c r="BI41" s="2">
        <v>8.4593878877262704E-2</v>
      </c>
      <c r="BJ41" s="2">
        <v>5.7447105462779965E-2</v>
      </c>
      <c r="BK41" s="2">
        <v>8.5153852345557474E-2</v>
      </c>
      <c r="BL41" s="2">
        <v>7.4158058913035174E-2</v>
      </c>
      <c r="BM41" s="2">
        <v>7.5718189192107169E-2</v>
      </c>
      <c r="BN41" s="2">
        <v>7.3955559365675619E-2</v>
      </c>
      <c r="BO41" s="2">
        <f>SUM(BC41:BN41)</f>
        <v>1.0014011787146229</v>
      </c>
    </row>
    <row r="42" spans="1:67" x14ac:dyDescent="0.25">
      <c r="A42" s="8">
        <v>5139</v>
      </c>
      <c r="B42" s="8" t="s">
        <v>952</v>
      </c>
      <c r="C42" s="5">
        <v>0</v>
      </c>
      <c r="D42" s="5">
        <f>+$C42*BC42</f>
        <v>0</v>
      </c>
      <c r="E42" s="5">
        <f>+$C42*BD42</f>
        <v>0</v>
      </c>
      <c r="F42" s="5">
        <f>+$C42*BE42</f>
        <v>0</v>
      </c>
      <c r="G42" s="5">
        <f>+$C42*BF42</f>
        <v>0</v>
      </c>
      <c r="H42" s="5">
        <f>+$C42*BG42</f>
        <v>0</v>
      </c>
      <c r="I42" s="5">
        <f>+$C42*BH42</f>
        <v>0</v>
      </c>
      <c r="J42" s="5">
        <f>+$C42*BI42</f>
        <v>0</v>
      </c>
      <c r="K42" s="5">
        <f>+$C42*BJ42</f>
        <v>0</v>
      </c>
      <c r="L42" s="5">
        <f>+$C42*BK42</f>
        <v>0</v>
      </c>
      <c r="M42" s="5">
        <f>+$C42*BL42</f>
        <v>0</v>
      </c>
      <c r="N42" s="5">
        <f>+$C42*BM42</f>
        <v>0</v>
      </c>
      <c r="O42" s="5">
        <f>+$C42*BN42</f>
        <v>0</v>
      </c>
      <c r="P42" s="5">
        <v>10000</v>
      </c>
      <c r="Q42" s="5">
        <f>+$P42*BC42</f>
        <v>891.81565948742241</v>
      </c>
      <c r="R42" s="5">
        <f>+$P42*BD42</f>
        <v>1066.5277883445199</v>
      </c>
      <c r="S42" s="5">
        <f>+$P42*BE42</f>
        <v>943.88490848547644</v>
      </c>
      <c r="T42" s="5">
        <f>+$P42*BF42</f>
        <v>714.95649868550493</v>
      </c>
      <c r="U42" s="5">
        <f>+$P42*BG42</f>
        <v>1036.8571810536762</v>
      </c>
      <c r="V42" s="5">
        <f>+$P42*BH42</f>
        <v>849.70330952544634</v>
      </c>
      <c r="W42" s="5">
        <f>+$P42*BI42</f>
        <v>845.93878877262705</v>
      </c>
      <c r="X42" s="5">
        <f>+$P42*BJ42</f>
        <v>574.47105462779962</v>
      </c>
      <c r="Y42" s="5">
        <f>+$P42*BK42</f>
        <v>851.5385234555747</v>
      </c>
      <c r="Z42" s="5">
        <f>+$P42*BL42</f>
        <v>741.58058913035177</v>
      </c>
      <c r="AA42" s="5">
        <f>+$P42*BM42</f>
        <v>757.18189192107172</v>
      </c>
      <c r="AB42" s="5">
        <f>+$P42*BN42</f>
        <v>739.55559365675617</v>
      </c>
      <c r="AC42" s="5">
        <v>0</v>
      </c>
      <c r="AD42" s="5">
        <f>+$AC42*BC42</f>
        <v>0</v>
      </c>
      <c r="AE42" s="5">
        <f>+$AC42*BD42</f>
        <v>0</v>
      </c>
      <c r="AF42" s="5">
        <f>+$AC42*BE42</f>
        <v>0</v>
      </c>
      <c r="AG42" s="5">
        <f>+$AC42*BF42</f>
        <v>0</v>
      </c>
      <c r="AH42" s="5">
        <f>+$AC42*BG42</f>
        <v>0</v>
      </c>
      <c r="AI42" s="5">
        <f>+$AC42*BH42</f>
        <v>0</v>
      </c>
      <c r="AJ42" s="5">
        <f>+$AC42*BI42</f>
        <v>0</v>
      </c>
      <c r="AK42" s="5">
        <f>+$AC42*BJ42</f>
        <v>0</v>
      </c>
      <c r="AL42" s="5">
        <f>+$AC42*BK42</f>
        <v>0</v>
      </c>
      <c r="AM42" s="5">
        <f>+$AC42*BL42</f>
        <v>0</v>
      </c>
      <c r="AN42" s="5">
        <f>+$AC42*BM42</f>
        <v>0</v>
      </c>
      <c r="AO42" s="5">
        <f>+$AC42*BN42</f>
        <v>0</v>
      </c>
      <c r="AP42" s="5">
        <f>+AC42+P42+C42</f>
        <v>10000</v>
      </c>
      <c r="AQ42" s="1">
        <v>4369.8967314883703</v>
      </c>
      <c r="AR42" s="1">
        <v>5225.9861628881472</v>
      </c>
      <c r="AS42" s="1">
        <v>4625.0360515788343</v>
      </c>
      <c r="AT42" s="1">
        <v>3503.2868435589739</v>
      </c>
      <c r="AU42" s="1">
        <v>5080.6001871630142</v>
      </c>
      <c r="AV42" s="1">
        <v>4163.5462166746875</v>
      </c>
      <c r="AW42" s="1">
        <v>4145.1000649858725</v>
      </c>
      <c r="AX42" s="1">
        <v>2814.9081676762185</v>
      </c>
      <c r="AY42" s="1">
        <v>4172.5387649323166</v>
      </c>
      <c r="AZ42" s="1">
        <v>3633.7448867387234</v>
      </c>
      <c r="BA42" s="1">
        <v>3710.1912704132515</v>
      </c>
      <c r="BB42" s="1">
        <v>3623.8224089181053</v>
      </c>
      <c r="BC42" s="2">
        <v>8.9181565948742242E-2</v>
      </c>
      <c r="BD42" s="2">
        <v>0.10665277883445198</v>
      </c>
      <c r="BE42" s="2">
        <v>9.438849084854764E-2</v>
      </c>
      <c r="BF42" s="2">
        <v>7.149564986855049E-2</v>
      </c>
      <c r="BG42" s="2">
        <v>0.10368571810536763</v>
      </c>
      <c r="BH42" s="2">
        <v>8.4970330952544637E-2</v>
      </c>
      <c r="BI42" s="2">
        <v>8.4593878877262704E-2</v>
      </c>
      <c r="BJ42" s="2">
        <v>5.7447105462779965E-2</v>
      </c>
      <c r="BK42" s="2">
        <v>8.5153852345557474E-2</v>
      </c>
      <c r="BL42" s="2">
        <v>7.4158058913035174E-2</v>
      </c>
      <c r="BM42" s="2">
        <v>7.5718189192107169E-2</v>
      </c>
      <c r="BN42" s="2">
        <v>7.3955559365675619E-2</v>
      </c>
      <c r="BO42" s="2">
        <f>SUM(BC42:BN42)</f>
        <v>1.0014011787146229</v>
      </c>
    </row>
    <row r="43" spans="1:67" x14ac:dyDescent="0.25">
      <c r="A43" s="8">
        <v>2502</v>
      </c>
      <c r="B43" s="8" t="s">
        <v>951</v>
      </c>
      <c r="C43" s="5">
        <v>35000</v>
      </c>
      <c r="D43" s="5">
        <f>+$C43*BC43</f>
        <v>3121.3548082059783</v>
      </c>
      <c r="E43" s="5">
        <f>+$C43*BD43</f>
        <v>3732.8472592058192</v>
      </c>
      <c r="F43" s="5">
        <f>+$C43*BE43</f>
        <v>3303.5971796991676</v>
      </c>
      <c r="G43" s="5">
        <f>+$C43*BF43</f>
        <v>2502.3477453992673</v>
      </c>
      <c r="H43" s="5">
        <f>+$C43*BG43</f>
        <v>3629.0001336878668</v>
      </c>
      <c r="I43" s="5">
        <f>+$C43*BH43</f>
        <v>2973.9615833390621</v>
      </c>
      <c r="J43" s="5">
        <f>+$C43*BI43</f>
        <v>2960.7857607041947</v>
      </c>
      <c r="K43" s="5">
        <f>+$C43*BJ43</f>
        <v>2010.6486911972988</v>
      </c>
      <c r="L43" s="5">
        <f>+$C43*BK43</f>
        <v>2980.3848320945117</v>
      </c>
      <c r="M43" s="5">
        <f>+$C43*BL43</f>
        <v>2595.5320619562312</v>
      </c>
      <c r="N43" s="5">
        <f>+$C43*BM43</f>
        <v>2650.136621723751</v>
      </c>
      <c r="O43" s="5">
        <f>+$C43*BN43</f>
        <v>2588.4445777986466</v>
      </c>
      <c r="P43" s="5">
        <v>0</v>
      </c>
      <c r="Q43" s="5">
        <f>+$P43*BC43</f>
        <v>0</v>
      </c>
      <c r="R43" s="5">
        <f>+$P43*BD43</f>
        <v>0</v>
      </c>
      <c r="S43" s="5">
        <f>+$P43*BE43</f>
        <v>0</v>
      </c>
      <c r="T43" s="5">
        <f>+$P43*BF43</f>
        <v>0</v>
      </c>
      <c r="U43" s="5">
        <f>+$P43*BG43</f>
        <v>0</v>
      </c>
      <c r="V43" s="5">
        <f>+$P43*BH43</f>
        <v>0</v>
      </c>
      <c r="W43" s="5">
        <f>+$P43*BI43</f>
        <v>0</v>
      </c>
      <c r="X43" s="5">
        <f>+$P43*BJ43</f>
        <v>0</v>
      </c>
      <c r="Y43" s="5">
        <f>+$P43*BK43</f>
        <v>0</v>
      </c>
      <c r="Z43" s="5">
        <f>+$P43*BL43</f>
        <v>0</v>
      </c>
      <c r="AA43" s="5">
        <f>+$P43*BM43</f>
        <v>0</v>
      </c>
      <c r="AB43" s="5">
        <f>+$P43*BN43</f>
        <v>0</v>
      </c>
      <c r="AC43" s="5">
        <v>0</v>
      </c>
      <c r="AD43" s="5">
        <f>+$AC43*BC43</f>
        <v>0</v>
      </c>
      <c r="AE43" s="5">
        <f>+$AC43*BD43</f>
        <v>0</v>
      </c>
      <c r="AF43" s="5">
        <f>+$AC43*BE43</f>
        <v>0</v>
      </c>
      <c r="AG43" s="5">
        <f>+$AC43*BF43</f>
        <v>0</v>
      </c>
      <c r="AH43" s="5">
        <f>+$AC43*BG43</f>
        <v>0</v>
      </c>
      <c r="AI43" s="5">
        <f>+$AC43*BH43</f>
        <v>0</v>
      </c>
      <c r="AJ43" s="5">
        <f>+$AC43*BI43</f>
        <v>0</v>
      </c>
      <c r="AK43" s="5">
        <f>+$AC43*BJ43</f>
        <v>0</v>
      </c>
      <c r="AL43" s="5">
        <f>+$AC43*BK43</f>
        <v>0</v>
      </c>
      <c r="AM43" s="5">
        <f>+$AC43*BL43</f>
        <v>0</v>
      </c>
      <c r="AN43" s="5">
        <f>+$AC43*BM43</f>
        <v>0</v>
      </c>
      <c r="AO43" s="5">
        <f>+$AC43*BN43</f>
        <v>0</v>
      </c>
      <c r="AP43" s="5">
        <f>+AC43+P43+C43</f>
        <v>35000</v>
      </c>
      <c r="AQ43" s="1">
        <v>4280.7151655396274</v>
      </c>
      <c r="AR43" s="1">
        <v>5119.3333840536952</v>
      </c>
      <c r="AS43" s="1">
        <v>4530.6475607302864</v>
      </c>
      <c r="AT43" s="1">
        <v>3431.7911936904234</v>
      </c>
      <c r="AU43" s="1">
        <v>4976.9144690576459</v>
      </c>
      <c r="AV43" s="1">
        <v>4078.5758857221426</v>
      </c>
      <c r="AW43" s="1">
        <v>4060.5061861086097</v>
      </c>
      <c r="AX43" s="1">
        <v>2757.4610622134383</v>
      </c>
      <c r="AY43" s="1">
        <v>4087.3849125867587</v>
      </c>
      <c r="AZ43" s="1">
        <v>3559.5868278256885</v>
      </c>
      <c r="BA43" s="1">
        <v>3634.4730812211442</v>
      </c>
      <c r="BB43" s="1">
        <v>3549.8668495524298</v>
      </c>
      <c r="BC43" s="2">
        <v>8.9181565948742242E-2</v>
      </c>
      <c r="BD43" s="2">
        <v>0.10665277883445198</v>
      </c>
      <c r="BE43" s="2">
        <v>9.438849084854764E-2</v>
      </c>
      <c r="BF43" s="2">
        <v>7.149564986855049E-2</v>
      </c>
      <c r="BG43" s="2">
        <v>0.10368571810536763</v>
      </c>
      <c r="BH43" s="2">
        <v>8.4970330952544637E-2</v>
      </c>
      <c r="BI43" s="2">
        <v>8.4593878877262704E-2</v>
      </c>
      <c r="BJ43" s="2">
        <v>5.7447105462779965E-2</v>
      </c>
      <c r="BK43" s="2">
        <v>8.5153852345557474E-2</v>
      </c>
      <c r="BL43" s="2">
        <v>7.4158058913035174E-2</v>
      </c>
      <c r="BM43" s="2">
        <v>7.5718189192107169E-2</v>
      </c>
      <c r="BN43" s="2">
        <v>7.3955559365675619E-2</v>
      </c>
      <c r="BO43" s="2">
        <f>SUM(BC43:BN43)</f>
        <v>1.0014011787146229</v>
      </c>
    </row>
    <row r="44" spans="1:67" x14ac:dyDescent="0.25">
      <c r="A44" s="8">
        <v>3202</v>
      </c>
      <c r="B44" s="8" t="s">
        <v>950</v>
      </c>
      <c r="C44" s="5">
        <v>4000</v>
      </c>
      <c r="D44" s="5">
        <f>+$C44*BC44</f>
        <v>356.72626379496899</v>
      </c>
      <c r="E44" s="5">
        <f>+$C44*BD44</f>
        <v>426.61111533780792</v>
      </c>
      <c r="F44" s="5">
        <f>+$C44*BE44</f>
        <v>377.55396339419059</v>
      </c>
      <c r="G44" s="5">
        <f>+$C44*BF44</f>
        <v>285.98259947420195</v>
      </c>
      <c r="H44" s="5">
        <f>+$C44*BG44</f>
        <v>414.74287242147051</v>
      </c>
      <c r="I44" s="5">
        <f>+$C44*BH44</f>
        <v>339.88132381017857</v>
      </c>
      <c r="J44" s="5">
        <f>+$C44*BI44</f>
        <v>338.37551550905084</v>
      </c>
      <c r="K44" s="5">
        <f>+$C44*BJ44</f>
        <v>229.78842185111986</v>
      </c>
      <c r="L44" s="5">
        <f>+$C44*BK44</f>
        <v>340.61540938222987</v>
      </c>
      <c r="M44" s="5">
        <f>+$C44*BL44</f>
        <v>296.63223565214071</v>
      </c>
      <c r="N44" s="5">
        <f>+$C44*BM44</f>
        <v>302.8727567684287</v>
      </c>
      <c r="O44" s="5">
        <f>+$C44*BN44</f>
        <v>295.8222374627025</v>
      </c>
      <c r="P44" s="5">
        <v>35000</v>
      </c>
      <c r="Q44" s="5">
        <f>+$P44*BC44</f>
        <v>3121.3548082059783</v>
      </c>
      <c r="R44" s="5">
        <f>+$P44*BD44</f>
        <v>3732.8472592058192</v>
      </c>
      <c r="S44" s="5">
        <f>+$P44*BE44</f>
        <v>3303.5971796991676</v>
      </c>
      <c r="T44" s="5">
        <f>+$P44*BF44</f>
        <v>2502.3477453992673</v>
      </c>
      <c r="U44" s="5">
        <f>+$P44*BG44</f>
        <v>3629.0001336878668</v>
      </c>
      <c r="V44" s="5">
        <f>+$P44*BH44</f>
        <v>2973.9615833390621</v>
      </c>
      <c r="W44" s="5">
        <f>+$P44*BI44</f>
        <v>2960.7857607041947</v>
      </c>
      <c r="X44" s="5">
        <f>+$P44*BJ44</f>
        <v>2010.6486911972988</v>
      </c>
      <c r="Y44" s="5">
        <f>+$P44*BK44</f>
        <v>2980.3848320945117</v>
      </c>
      <c r="Z44" s="5">
        <f>+$P44*BL44</f>
        <v>2595.5320619562312</v>
      </c>
      <c r="AA44" s="5">
        <f>+$P44*BM44</f>
        <v>2650.136621723751</v>
      </c>
      <c r="AB44" s="5">
        <f>+$P44*BN44</f>
        <v>2588.4445777986466</v>
      </c>
      <c r="AC44" s="5">
        <v>0</v>
      </c>
      <c r="AD44" s="5">
        <f>+$AC44*BC44</f>
        <v>0</v>
      </c>
      <c r="AE44" s="5">
        <f>+$AC44*BD44</f>
        <v>0</v>
      </c>
      <c r="AF44" s="5">
        <f>+$AC44*BE44</f>
        <v>0</v>
      </c>
      <c r="AG44" s="5">
        <f>+$AC44*BF44</f>
        <v>0</v>
      </c>
      <c r="AH44" s="5">
        <f>+$AC44*BG44</f>
        <v>0</v>
      </c>
      <c r="AI44" s="5">
        <f>+$AC44*BH44</f>
        <v>0</v>
      </c>
      <c r="AJ44" s="5">
        <f>+$AC44*BI44</f>
        <v>0</v>
      </c>
      <c r="AK44" s="5">
        <f>+$AC44*BJ44</f>
        <v>0</v>
      </c>
      <c r="AL44" s="5">
        <f>+$AC44*BK44</f>
        <v>0</v>
      </c>
      <c r="AM44" s="5">
        <f>+$AC44*BL44</f>
        <v>0</v>
      </c>
      <c r="AN44" s="5">
        <f>+$AC44*BM44</f>
        <v>0</v>
      </c>
      <c r="AO44" s="5">
        <f>+$AC44*BN44</f>
        <v>0</v>
      </c>
      <c r="AP44" s="5">
        <f>+AC44+P44+C44</f>
        <v>39000</v>
      </c>
      <c r="AQ44" s="1">
        <v>4057.7612506677719</v>
      </c>
      <c r="AR44" s="1">
        <v>4852.7014369675653</v>
      </c>
      <c r="AS44" s="1">
        <v>4294.676333608918</v>
      </c>
      <c r="AT44" s="1">
        <v>3253.0520690190474</v>
      </c>
      <c r="AU44" s="1">
        <v>4717.7001737942273</v>
      </c>
      <c r="AV44" s="1">
        <v>3866.150058340781</v>
      </c>
      <c r="AW44" s="1">
        <v>3849.0214889154531</v>
      </c>
      <c r="AX44" s="1">
        <v>2613.8432985564882</v>
      </c>
      <c r="AY44" s="1">
        <v>3874.5002817228651</v>
      </c>
      <c r="AZ44" s="1">
        <v>3374.1916805431006</v>
      </c>
      <c r="BA44" s="1">
        <v>3445.177608240876</v>
      </c>
      <c r="BB44" s="1">
        <v>3364.9779511382408</v>
      </c>
      <c r="BC44" s="2">
        <v>8.9181565948742242E-2</v>
      </c>
      <c r="BD44" s="2">
        <v>0.10665277883445198</v>
      </c>
      <c r="BE44" s="2">
        <v>9.438849084854764E-2</v>
      </c>
      <c r="BF44" s="2">
        <v>7.149564986855049E-2</v>
      </c>
      <c r="BG44" s="2">
        <v>0.10368571810536763</v>
      </c>
      <c r="BH44" s="2">
        <v>8.4970330952544637E-2</v>
      </c>
      <c r="BI44" s="2">
        <v>8.4593878877262704E-2</v>
      </c>
      <c r="BJ44" s="2">
        <v>5.7447105462779965E-2</v>
      </c>
      <c r="BK44" s="2">
        <v>8.5153852345557474E-2</v>
      </c>
      <c r="BL44" s="2">
        <v>7.4158058913035174E-2</v>
      </c>
      <c r="BM44" s="2">
        <v>7.5718189192107169E-2</v>
      </c>
      <c r="BN44" s="2">
        <v>7.3955559365675619E-2</v>
      </c>
      <c r="BO44" s="2">
        <f>SUM(BC44:BN44)</f>
        <v>1.0014011787146229</v>
      </c>
    </row>
    <row r="45" spans="1:67" x14ac:dyDescent="0.25">
      <c r="A45" s="8">
        <v>27046</v>
      </c>
      <c r="B45" s="8" t="s">
        <v>949</v>
      </c>
      <c r="C45" s="5">
        <v>0</v>
      </c>
      <c r="D45" s="5">
        <f>+$C45*BC45</f>
        <v>0</v>
      </c>
      <c r="E45" s="5">
        <f>+$C45*BD45</f>
        <v>0</v>
      </c>
      <c r="F45" s="5">
        <f>+$C45*BE45</f>
        <v>0</v>
      </c>
      <c r="G45" s="5">
        <f>+$C45*BF45</f>
        <v>0</v>
      </c>
      <c r="H45" s="5">
        <f>+$C45*BG45</f>
        <v>0</v>
      </c>
      <c r="I45" s="5">
        <f>+$C45*BH45</f>
        <v>0</v>
      </c>
      <c r="J45" s="5">
        <f>+$C45*BI45</f>
        <v>0</v>
      </c>
      <c r="K45" s="5">
        <f>+$C45*BJ45</f>
        <v>0</v>
      </c>
      <c r="L45" s="5">
        <f>+$C45*BK45</f>
        <v>0</v>
      </c>
      <c r="M45" s="5">
        <f>+$C45*BL45</f>
        <v>0</v>
      </c>
      <c r="N45" s="5">
        <f>+$C45*BM45</f>
        <v>0</v>
      </c>
      <c r="O45" s="5">
        <f>+$C45*BN45</f>
        <v>0</v>
      </c>
      <c r="P45" s="5">
        <v>20000</v>
      </c>
      <c r="Q45" s="5">
        <f>+$P45*BC45</f>
        <v>1783.6313189748448</v>
      </c>
      <c r="R45" s="5">
        <f>+$P45*BD45</f>
        <v>2133.0555766890398</v>
      </c>
      <c r="S45" s="5">
        <f>+$P45*BE45</f>
        <v>1887.7698169709529</v>
      </c>
      <c r="T45" s="5">
        <f>+$P45*BF45</f>
        <v>1429.9129973710099</v>
      </c>
      <c r="U45" s="5">
        <f>+$P45*BG45</f>
        <v>2073.7143621073524</v>
      </c>
      <c r="V45" s="5">
        <f>+$P45*BH45</f>
        <v>1699.4066190508927</v>
      </c>
      <c r="W45" s="5">
        <f>+$P45*BI45</f>
        <v>1691.8775775452541</v>
      </c>
      <c r="X45" s="5">
        <f>+$P45*BJ45</f>
        <v>1148.9421092555992</v>
      </c>
      <c r="Y45" s="5">
        <f>+$P45*BK45</f>
        <v>1703.0770469111494</v>
      </c>
      <c r="Z45" s="5">
        <f>+$P45*BL45</f>
        <v>1483.1611782607035</v>
      </c>
      <c r="AA45" s="5">
        <f>+$P45*BM45</f>
        <v>1514.3637838421434</v>
      </c>
      <c r="AB45" s="5">
        <f>+$P45*BN45</f>
        <v>1479.1111873135123</v>
      </c>
      <c r="AC45" s="5">
        <v>0</v>
      </c>
      <c r="AD45" s="5">
        <f>+$AC45*BC45</f>
        <v>0</v>
      </c>
      <c r="AE45" s="5">
        <f>+$AC45*BD45</f>
        <v>0</v>
      </c>
      <c r="AF45" s="5">
        <f>+$AC45*BE45</f>
        <v>0</v>
      </c>
      <c r="AG45" s="5">
        <f>+$AC45*BF45</f>
        <v>0</v>
      </c>
      <c r="AH45" s="5">
        <f>+$AC45*BG45</f>
        <v>0</v>
      </c>
      <c r="AI45" s="5">
        <f>+$AC45*BH45</f>
        <v>0</v>
      </c>
      <c r="AJ45" s="5">
        <f>+$AC45*BI45</f>
        <v>0</v>
      </c>
      <c r="AK45" s="5">
        <f>+$AC45*BJ45</f>
        <v>0</v>
      </c>
      <c r="AL45" s="5">
        <f>+$AC45*BK45</f>
        <v>0</v>
      </c>
      <c r="AM45" s="5">
        <f>+$AC45*BL45</f>
        <v>0</v>
      </c>
      <c r="AN45" s="5">
        <f>+$AC45*BM45</f>
        <v>0</v>
      </c>
      <c r="AO45" s="5">
        <f>+$AC45*BN45</f>
        <v>0</v>
      </c>
      <c r="AP45" s="5">
        <f>+AC45+P45+C45</f>
        <v>20000</v>
      </c>
      <c r="AQ45" s="1">
        <v>4013.170467693401</v>
      </c>
      <c r="AR45" s="1">
        <v>4799.3750475503393</v>
      </c>
      <c r="AS45" s="1">
        <v>4247.4820881846435</v>
      </c>
      <c r="AT45" s="1">
        <v>3217.3042440847721</v>
      </c>
      <c r="AU45" s="1">
        <v>4665.8573147415436</v>
      </c>
      <c r="AV45" s="1">
        <v>3823.6648928645086</v>
      </c>
      <c r="AW45" s="1">
        <v>3806.7245494768217</v>
      </c>
      <c r="AX45" s="1">
        <v>2585.1197458250986</v>
      </c>
      <c r="AY45" s="1">
        <v>3831.9233555500864</v>
      </c>
      <c r="AZ45" s="1">
        <v>3337.1126510865829</v>
      </c>
      <c r="BA45" s="1">
        <v>3407.3185136448228</v>
      </c>
      <c r="BB45" s="1">
        <v>3328.0001714554028</v>
      </c>
      <c r="BC45" s="2">
        <v>8.9181565948742242E-2</v>
      </c>
      <c r="BD45" s="2">
        <v>0.10665277883445198</v>
      </c>
      <c r="BE45" s="2">
        <v>9.438849084854764E-2</v>
      </c>
      <c r="BF45" s="2">
        <v>7.149564986855049E-2</v>
      </c>
      <c r="BG45" s="2">
        <v>0.10368571810536763</v>
      </c>
      <c r="BH45" s="2">
        <v>8.4970330952544637E-2</v>
      </c>
      <c r="BI45" s="2">
        <v>8.4593878877262704E-2</v>
      </c>
      <c r="BJ45" s="2">
        <v>5.7447105462779965E-2</v>
      </c>
      <c r="BK45" s="2">
        <v>8.5153852345557474E-2</v>
      </c>
      <c r="BL45" s="2">
        <v>7.4158058913035174E-2</v>
      </c>
      <c r="BM45" s="2">
        <v>7.5718189192107169E-2</v>
      </c>
      <c r="BN45" s="2">
        <v>7.3955559365675619E-2</v>
      </c>
      <c r="BO45" s="2">
        <f>SUM(BC45:BN45)</f>
        <v>1.0014011787146229</v>
      </c>
    </row>
    <row r="46" spans="1:67" x14ac:dyDescent="0.25">
      <c r="A46" s="8">
        <v>45000</v>
      </c>
      <c r="B46" s="8" t="s">
        <v>948</v>
      </c>
      <c r="C46" s="5">
        <v>0</v>
      </c>
      <c r="D46" s="5">
        <f>+$C46*BC46</f>
        <v>0</v>
      </c>
      <c r="E46" s="5">
        <f>+$C46*BD46</f>
        <v>0</v>
      </c>
      <c r="F46" s="5">
        <f>+$C46*BE46</f>
        <v>0</v>
      </c>
      <c r="G46" s="5">
        <f>+$C46*BF46</f>
        <v>0</v>
      </c>
      <c r="H46" s="5">
        <f>+$C46*BG46</f>
        <v>0</v>
      </c>
      <c r="I46" s="5">
        <f>+$C46*BH46</f>
        <v>0</v>
      </c>
      <c r="J46" s="5">
        <f>+$C46*BI46</f>
        <v>0</v>
      </c>
      <c r="K46" s="5">
        <f>+$C46*BJ46</f>
        <v>0</v>
      </c>
      <c r="L46" s="5">
        <f>+$C46*BK46</f>
        <v>0</v>
      </c>
      <c r="M46" s="5">
        <f>+$C46*BL46</f>
        <v>0</v>
      </c>
      <c r="N46" s="5">
        <f>+$C46*BM46</f>
        <v>0</v>
      </c>
      <c r="O46" s="5">
        <f>+$C46*BN46</f>
        <v>0</v>
      </c>
      <c r="P46" s="5">
        <v>0</v>
      </c>
      <c r="Q46" s="5">
        <f>+$P46*BC46</f>
        <v>0</v>
      </c>
      <c r="R46" s="5">
        <f>+$P46*BD46</f>
        <v>0</v>
      </c>
      <c r="S46" s="5">
        <f>+$P46*BE46</f>
        <v>0</v>
      </c>
      <c r="T46" s="5">
        <f>+$P46*BF46</f>
        <v>0</v>
      </c>
      <c r="U46" s="5">
        <f>+$P46*BG46</f>
        <v>0</v>
      </c>
      <c r="V46" s="5">
        <f>+$P46*BH46</f>
        <v>0</v>
      </c>
      <c r="W46" s="5">
        <f>+$P46*BI46</f>
        <v>0</v>
      </c>
      <c r="X46" s="5">
        <f>+$P46*BJ46</f>
        <v>0</v>
      </c>
      <c r="Y46" s="5">
        <f>+$P46*BK46</f>
        <v>0</v>
      </c>
      <c r="Z46" s="5">
        <f>+$P46*BL46</f>
        <v>0</v>
      </c>
      <c r="AA46" s="5">
        <f>+$P46*BM46</f>
        <v>0</v>
      </c>
      <c r="AB46" s="5">
        <f>+$P46*BN46</f>
        <v>0</v>
      </c>
      <c r="AC46" s="5">
        <v>0</v>
      </c>
      <c r="AD46" s="5">
        <f>+$AC46*BC46</f>
        <v>0</v>
      </c>
      <c r="AE46" s="5">
        <f>+$AC46*BD46</f>
        <v>0</v>
      </c>
      <c r="AF46" s="5">
        <f>+$AC46*BE46</f>
        <v>0</v>
      </c>
      <c r="AG46" s="5">
        <f>+$AC46*BF46</f>
        <v>0</v>
      </c>
      <c r="AH46" s="5">
        <f>+$AC46*BG46</f>
        <v>0</v>
      </c>
      <c r="AI46" s="5">
        <f>+$AC46*BH46</f>
        <v>0</v>
      </c>
      <c r="AJ46" s="5">
        <f>+$AC46*BI46</f>
        <v>0</v>
      </c>
      <c r="AK46" s="5">
        <f>+$AC46*BJ46</f>
        <v>0</v>
      </c>
      <c r="AL46" s="5">
        <f>+$AC46*BK46</f>
        <v>0</v>
      </c>
      <c r="AM46" s="5">
        <f>+$AC46*BL46</f>
        <v>0</v>
      </c>
      <c r="AN46" s="5">
        <f>+$AC46*BM46</f>
        <v>0</v>
      </c>
      <c r="AO46" s="5">
        <f>+$AC46*BN46</f>
        <v>0</v>
      </c>
      <c r="AP46" s="5">
        <f>+AC46+P46+C46</f>
        <v>0</v>
      </c>
      <c r="AQ46" s="1">
        <v>6688.6174461556684</v>
      </c>
      <c r="AR46" s="1">
        <v>7998.9584125838992</v>
      </c>
      <c r="AS46" s="1">
        <v>7079.1368136410729</v>
      </c>
      <c r="AT46" s="1">
        <v>5362.1737401412865</v>
      </c>
      <c r="AU46" s="1">
        <v>7776.4288579025724</v>
      </c>
      <c r="AV46" s="1">
        <v>6372.7748214408475</v>
      </c>
      <c r="AW46" s="1">
        <v>6344.5409157947024</v>
      </c>
      <c r="AX46" s="1">
        <v>4308.5329097084978</v>
      </c>
      <c r="AY46" s="1">
        <v>6386.5389259168105</v>
      </c>
      <c r="AZ46" s="1">
        <v>5561.8544184776383</v>
      </c>
      <c r="BA46" s="1">
        <v>5678.8641894080374</v>
      </c>
      <c r="BB46" s="1">
        <v>5546.6669524256713</v>
      </c>
      <c r="BC46" s="2">
        <v>8.9181565948742242E-2</v>
      </c>
      <c r="BD46" s="2">
        <v>0.10665277883445198</v>
      </c>
      <c r="BE46" s="2">
        <v>9.438849084854764E-2</v>
      </c>
      <c r="BF46" s="2">
        <v>7.149564986855049E-2</v>
      </c>
      <c r="BG46" s="2">
        <v>0.10368571810536763</v>
      </c>
      <c r="BH46" s="2">
        <v>8.4970330952544637E-2</v>
      </c>
      <c r="BI46" s="2">
        <v>8.4593878877262704E-2</v>
      </c>
      <c r="BJ46" s="2">
        <v>5.7447105462779965E-2</v>
      </c>
      <c r="BK46" s="2">
        <v>8.5153852345557474E-2</v>
      </c>
      <c r="BL46" s="2">
        <v>7.4158058913035174E-2</v>
      </c>
      <c r="BM46" s="2">
        <v>7.5718189192107169E-2</v>
      </c>
      <c r="BN46" s="2">
        <v>7.3955559365675619E-2</v>
      </c>
      <c r="BO46" s="2">
        <f>SUM(BC46:BN46)</f>
        <v>1.0014011787146229</v>
      </c>
    </row>
    <row r="47" spans="1:67" x14ac:dyDescent="0.25">
      <c r="A47" s="8">
        <v>2781</v>
      </c>
      <c r="B47" s="8" t="s">
        <v>947</v>
      </c>
      <c r="C47" s="5">
        <v>7000</v>
      </c>
      <c r="D47" s="5">
        <f>+$C47*BC47</f>
        <v>624.27096164119564</v>
      </c>
      <c r="E47" s="5">
        <f>+$C47*BD47</f>
        <v>746.56945184116387</v>
      </c>
      <c r="F47" s="5">
        <f>+$C47*BE47</f>
        <v>660.71943593983349</v>
      </c>
      <c r="G47" s="5">
        <f>+$C47*BF47</f>
        <v>500.46954907985344</v>
      </c>
      <c r="H47" s="5">
        <f>+$C47*BG47</f>
        <v>725.80002673757338</v>
      </c>
      <c r="I47" s="5">
        <f>+$C47*BH47</f>
        <v>594.79231666781243</v>
      </c>
      <c r="J47" s="5">
        <f>+$C47*BI47</f>
        <v>592.15715214083889</v>
      </c>
      <c r="K47" s="5">
        <f>+$C47*BJ47</f>
        <v>402.12973823945975</v>
      </c>
      <c r="L47" s="5">
        <f>+$C47*BK47</f>
        <v>596.07696641890232</v>
      </c>
      <c r="M47" s="5">
        <f>+$C47*BL47</f>
        <v>519.10641239124618</v>
      </c>
      <c r="N47" s="5">
        <f>+$C47*BM47</f>
        <v>530.02732434475013</v>
      </c>
      <c r="O47" s="5">
        <f>+$C47*BN47</f>
        <v>517.68891555972937</v>
      </c>
      <c r="P47" s="5">
        <v>25000</v>
      </c>
      <c r="Q47" s="5">
        <f>+$P47*BC47</f>
        <v>2229.5391487185561</v>
      </c>
      <c r="R47" s="5">
        <f>+$P47*BD47</f>
        <v>2666.3194708612996</v>
      </c>
      <c r="S47" s="5">
        <f>+$P47*BE47</f>
        <v>2359.7122712136911</v>
      </c>
      <c r="T47" s="5">
        <f>+$P47*BF47</f>
        <v>1787.3912467137623</v>
      </c>
      <c r="U47" s="5">
        <f>+$P47*BG47</f>
        <v>2592.1429526341908</v>
      </c>
      <c r="V47" s="5">
        <f>+$P47*BH47</f>
        <v>2124.2582738136161</v>
      </c>
      <c r="W47" s="5">
        <f>+$P47*BI47</f>
        <v>2114.8469719315676</v>
      </c>
      <c r="X47" s="5">
        <f>+$P47*BJ47</f>
        <v>1436.1776365694991</v>
      </c>
      <c r="Y47" s="5">
        <f>+$P47*BK47</f>
        <v>2128.846308638937</v>
      </c>
      <c r="Z47" s="5">
        <f>+$P47*BL47</f>
        <v>1853.9514728258794</v>
      </c>
      <c r="AA47" s="5">
        <f>+$P47*BM47</f>
        <v>1892.9547298026791</v>
      </c>
      <c r="AB47" s="5">
        <f>+$P47*BN47</f>
        <v>1848.8889841418904</v>
      </c>
      <c r="AC47" s="5">
        <v>0</v>
      </c>
      <c r="AD47" s="5">
        <f>+$AC47*BC47</f>
        <v>0</v>
      </c>
      <c r="AE47" s="5">
        <f>+$AC47*BD47</f>
        <v>0</v>
      </c>
      <c r="AF47" s="5">
        <f>+$AC47*BE47</f>
        <v>0</v>
      </c>
      <c r="AG47" s="5">
        <f>+$AC47*BF47</f>
        <v>0</v>
      </c>
      <c r="AH47" s="5">
        <f>+$AC47*BG47</f>
        <v>0</v>
      </c>
      <c r="AI47" s="5">
        <f>+$AC47*BH47</f>
        <v>0</v>
      </c>
      <c r="AJ47" s="5">
        <f>+$AC47*BI47</f>
        <v>0</v>
      </c>
      <c r="AK47" s="5">
        <f>+$AC47*BJ47</f>
        <v>0</v>
      </c>
      <c r="AL47" s="5">
        <f>+$AC47*BK47</f>
        <v>0</v>
      </c>
      <c r="AM47" s="5">
        <f>+$AC47*BL47</f>
        <v>0</v>
      </c>
      <c r="AN47" s="5">
        <f>+$AC47*BM47</f>
        <v>0</v>
      </c>
      <c r="AO47" s="5">
        <f>+$AC47*BN47</f>
        <v>0</v>
      </c>
      <c r="AP47" s="5">
        <f>+AC47+P47+C47</f>
        <v>32000</v>
      </c>
      <c r="AQ47" s="1">
        <v>6688.6174461556684</v>
      </c>
      <c r="AR47" s="1">
        <v>7998.9584125838992</v>
      </c>
      <c r="AS47" s="1">
        <v>7079.1368136410729</v>
      </c>
      <c r="AT47" s="1">
        <v>5362.1737401412865</v>
      </c>
      <c r="AU47" s="1">
        <v>7776.4288579025724</v>
      </c>
      <c r="AV47" s="1">
        <v>6372.7748214408475</v>
      </c>
      <c r="AW47" s="1">
        <v>6344.5409157947024</v>
      </c>
      <c r="AX47" s="1">
        <v>4308.5329097084978</v>
      </c>
      <c r="AY47" s="1">
        <v>6386.5389259168105</v>
      </c>
      <c r="AZ47" s="1">
        <v>5561.8544184776383</v>
      </c>
      <c r="BA47" s="1">
        <v>5678.8641894080374</v>
      </c>
      <c r="BB47" s="1">
        <v>5546.6669524256713</v>
      </c>
      <c r="BC47" s="2">
        <v>8.9181565948742242E-2</v>
      </c>
      <c r="BD47" s="2">
        <v>0.10665277883445198</v>
      </c>
      <c r="BE47" s="2">
        <v>9.438849084854764E-2</v>
      </c>
      <c r="BF47" s="2">
        <v>7.149564986855049E-2</v>
      </c>
      <c r="BG47" s="2">
        <v>0.10368571810536763</v>
      </c>
      <c r="BH47" s="2">
        <v>8.4970330952544637E-2</v>
      </c>
      <c r="BI47" s="2">
        <v>8.4593878877262704E-2</v>
      </c>
      <c r="BJ47" s="2">
        <v>5.7447105462779965E-2</v>
      </c>
      <c r="BK47" s="2">
        <v>8.5153852345557474E-2</v>
      </c>
      <c r="BL47" s="2">
        <v>7.4158058913035174E-2</v>
      </c>
      <c r="BM47" s="2">
        <v>7.5718189192107169E-2</v>
      </c>
      <c r="BN47" s="2">
        <v>7.3955559365675619E-2</v>
      </c>
      <c r="BO47" s="2">
        <f>SUM(BC47:BN47)</f>
        <v>1.0014011787146229</v>
      </c>
    </row>
    <row r="48" spans="1:67" x14ac:dyDescent="0.25">
      <c r="A48" s="8">
        <v>2006</v>
      </c>
      <c r="B48" s="8" t="s">
        <v>946</v>
      </c>
      <c r="C48" s="5">
        <v>0</v>
      </c>
      <c r="D48" s="5">
        <f>+$C48*BC48</f>
        <v>0</v>
      </c>
      <c r="E48" s="5">
        <f>+$C48*BD48</f>
        <v>0</v>
      </c>
      <c r="F48" s="5">
        <f>+$C48*BE48</f>
        <v>0</v>
      </c>
      <c r="G48" s="5">
        <f>+$C48*BF48</f>
        <v>0</v>
      </c>
      <c r="H48" s="5">
        <f>+$C48*BG48</f>
        <v>0</v>
      </c>
      <c r="I48" s="5">
        <f>+$C48*BH48</f>
        <v>0</v>
      </c>
      <c r="J48" s="5">
        <f>+$C48*BI48</f>
        <v>0</v>
      </c>
      <c r="K48" s="5">
        <f>+$C48*BJ48</f>
        <v>0</v>
      </c>
      <c r="L48" s="5">
        <f>+$C48*BK48</f>
        <v>0</v>
      </c>
      <c r="M48" s="5">
        <f>+$C48*BL48</f>
        <v>0</v>
      </c>
      <c r="N48" s="5">
        <f>+$C48*BM48</f>
        <v>0</v>
      </c>
      <c r="O48" s="5">
        <f>+$C48*BN48</f>
        <v>0</v>
      </c>
      <c r="P48" s="5">
        <v>0</v>
      </c>
      <c r="Q48" s="5">
        <f>+$P48*BC48</f>
        <v>0</v>
      </c>
      <c r="R48" s="5">
        <f>+$P48*BD48</f>
        <v>0</v>
      </c>
      <c r="S48" s="5">
        <f>+$P48*BE48</f>
        <v>0</v>
      </c>
      <c r="T48" s="5">
        <f>+$P48*BF48</f>
        <v>0</v>
      </c>
      <c r="U48" s="5">
        <f>+$P48*BG48</f>
        <v>0</v>
      </c>
      <c r="V48" s="5">
        <f>+$P48*BH48</f>
        <v>0</v>
      </c>
      <c r="W48" s="5">
        <f>+$P48*BI48</f>
        <v>0</v>
      </c>
      <c r="X48" s="5">
        <f>+$P48*BJ48</f>
        <v>0</v>
      </c>
      <c r="Y48" s="5">
        <f>+$P48*BK48</f>
        <v>0</v>
      </c>
      <c r="Z48" s="5">
        <f>+$P48*BL48</f>
        <v>0</v>
      </c>
      <c r="AA48" s="5">
        <f>+$P48*BM48</f>
        <v>0</v>
      </c>
      <c r="AB48" s="5">
        <f>+$P48*BN48</f>
        <v>0</v>
      </c>
      <c r="AC48" s="5">
        <v>70000</v>
      </c>
      <c r="AD48" s="5">
        <f>+$AC48*BC48</f>
        <v>6242.7096164119566</v>
      </c>
      <c r="AE48" s="5">
        <f>+$AC48*BD48</f>
        <v>7465.6945184116385</v>
      </c>
      <c r="AF48" s="5">
        <f>+$AC48*BE48</f>
        <v>6607.1943593983351</v>
      </c>
      <c r="AG48" s="5">
        <f>+$AC48*BF48</f>
        <v>5004.6954907985346</v>
      </c>
      <c r="AH48" s="5">
        <f>+$AC48*BG48</f>
        <v>7258.0002673757335</v>
      </c>
      <c r="AI48" s="5">
        <f>+$AC48*BH48</f>
        <v>5947.9231666781243</v>
      </c>
      <c r="AJ48" s="5">
        <f>+$AC48*BI48</f>
        <v>5921.5715214083893</v>
      </c>
      <c r="AK48" s="5">
        <f>+$AC48*BJ48</f>
        <v>4021.2973823945977</v>
      </c>
      <c r="AL48" s="5">
        <f>+$AC48*BK48</f>
        <v>5960.7696641890234</v>
      </c>
      <c r="AM48" s="5">
        <f>+$AC48*BL48</f>
        <v>5191.0641239124625</v>
      </c>
      <c r="AN48" s="5">
        <f>+$AC48*BM48</f>
        <v>5300.273243447502</v>
      </c>
      <c r="AO48" s="5">
        <f>+$AC48*BN48</f>
        <v>5176.8891555972932</v>
      </c>
      <c r="AP48" s="5">
        <f>+AC48+P48+C48</f>
        <v>70000</v>
      </c>
      <c r="AQ48" s="1">
        <v>3745.6257698471741</v>
      </c>
      <c r="AR48" s="1">
        <v>4479.4167110469834</v>
      </c>
      <c r="AS48" s="1">
        <v>3964.3166156390007</v>
      </c>
      <c r="AT48" s="1">
        <v>3002.8172944791204</v>
      </c>
      <c r="AU48" s="1">
        <v>4354.8001604254405</v>
      </c>
      <c r="AV48" s="1">
        <v>3568.7539000068746</v>
      </c>
      <c r="AW48" s="1">
        <v>3552.9429128450338</v>
      </c>
      <c r="AX48" s="1">
        <v>2412.7784294367584</v>
      </c>
      <c r="AY48" s="1">
        <v>3576.4617985134137</v>
      </c>
      <c r="AZ48" s="1">
        <v>3114.6384743474773</v>
      </c>
      <c r="BA48" s="1">
        <v>3180.163946068501</v>
      </c>
      <c r="BB48" s="1">
        <v>3106.1334933583762</v>
      </c>
      <c r="BC48" s="2">
        <v>8.9181565948742242E-2</v>
      </c>
      <c r="BD48" s="2">
        <v>0.10665277883445198</v>
      </c>
      <c r="BE48" s="2">
        <v>9.438849084854764E-2</v>
      </c>
      <c r="BF48" s="2">
        <v>7.149564986855049E-2</v>
      </c>
      <c r="BG48" s="2">
        <v>0.10368571810536763</v>
      </c>
      <c r="BH48" s="2">
        <v>8.4970330952544637E-2</v>
      </c>
      <c r="BI48" s="2">
        <v>8.4593878877262704E-2</v>
      </c>
      <c r="BJ48" s="2">
        <v>5.7447105462779965E-2</v>
      </c>
      <c r="BK48" s="2">
        <v>8.5153852345557474E-2</v>
      </c>
      <c r="BL48" s="2">
        <v>7.4158058913035174E-2</v>
      </c>
      <c r="BM48" s="2">
        <v>7.5718189192107169E-2</v>
      </c>
      <c r="BN48" s="2">
        <v>7.3955559365675619E-2</v>
      </c>
      <c r="BO48" s="2">
        <f>SUM(BC48:BN48)</f>
        <v>1.0014011787146229</v>
      </c>
    </row>
    <row r="49" spans="1:67" x14ac:dyDescent="0.25">
      <c r="A49" s="8">
        <v>27706</v>
      </c>
      <c r="B49" s="8" t="s">
        <v>945</v>
      </c>
      <c r="C49" s="5">
        <v>8000</v>
      </c>
      <c r="D49" s="5">
        <f>+$C49*BC49</f>
        <v>713.45252758993797</v>
      </c>
      <c r="E49" s="5">
        <f>+$C49*BD49</f>
        <v>853.22223067561583</v>
      </c>
      <c r="F49" s="5">
        <f>+$C49*BE49</f>
        <v>755.10792678838118</v>
      </c>
      <c r="G49" s="5">
        <f>+$C49*BF49</f>
        <v>571.96519894840389</v>
      </c>
      <c r="H49" s="5">
        <f>+$C49*BG49</f>
        <v>829.48574484294102</v>
      </c>
      <c r="I49" s="5">
        <f>+$C49*BH49</f>
        <v>679.76264762035714</v>
      </c>
      <c r="J49" s="5">
        <f>+$C49*BI49</f>
        <v>676.75103101810168</v>
      </c>
      <c r="K49" s="5">
        <f>+$C49*BJ49</f>
        <v>459.57684370223973</v>
      </c>
      <c r="L49" s="5">
        <f>+$C49*BK49</f>
        <v>681.23081876445974</v>
      </c>
      <c r="M49" s="5">
        <f>+$C49*BL49</f>
        <v>593.26447130428141</v>
      </c>
      <c r="N49" s="5">
        <f>+$C49*BM49</f>
        <v>605.7455135368574</v>
      </c>
      <c r="O49" s="5">
        <f>+$C49*BN49</f>
        <v>591.64447492540501</v>
      </c>
      <c r="P49" s="5">
        <v>37000</v>
      </c>
      <c r="Q49" s="5">
        <f>+$P49*BC49</f>
        <v>3299.7179401034628</v>
      </c>
      <c r="R49" s="5">
        <f>+$P49*BD49</f>
        <v>3946.1528168747232</v>
      </c>
      <c r="S49" s="5">
        <f>+$P49*BE49</f>
        <v>3492.3741613962625</v>
      </c>
      <c r="T49" s="5">
        <f>+$P49*BF49</f>
        <v>2645.339045136368</v>
      </c>
      <c r="U49" s="5">
        <f>+$P49*BG49</f>
        <v>3836.371569898602</v>
      </c>
      <c r="V49" s="5">
        <f>+$P49*BH49</f>
        <v>3143.9022452441513</v>
      </c>
      <c r="W49" s="5">
        <f>+$P49*BI49</f>
        <v>3129.9735184587203</v>
      </c>
      <c r="X49" s="5">
        <f>+$P49*BJ49</f>
        <v>2125.5429021228588</v>
      </c>
      <c r="Y49" s="5">
        <f>+$P49*BK49</f>
        <v>3150.6925367856265</v>
      </c>
      <c r="Z49" s="5">
        <f>+$P49*BL49</f>
        <v>2743.8481797823015</v>
      </c>
      <c r="AA49" s="5">
        <f>+$P49*BM49</f>
        <v>2801.5730001079651</v>
      </c>
      <c r="AB49" s="5">
        <f>+$P49*BN49</f>
        <v>2736.3556965299981</v>
      </c>
      <c r="AC49" s="5">
        <v>0</v>
      </c>
      <c r="AD49" s="5">
        <f>+$AC49*BC49</f>
        <v>0</v>
      </c>
      <c r="AE49" s="5">
        <f>+$AC49*BD49</f>
        <v>0</v>
      </c>
      <c r="AF49" s="5">
        <f>+$AC49*BE49</f>
        <v>0</v>
      </c>
      <c r="AG49" s="5">
        <f>+$AC49*BF49</f>
        <v>0</v>
      </c>
      <c r="AH49" s="5">
        <f>+$AC49*BG49</f>
        <v>0</v>
      </c>
      <c r="AI49" s="5">
        <f>+$AC49*BH49</f>
        <v>0</v>
      </c>
      <c r="AJ49" s="5">
        <f>+$AC49*BI49</f>
        <v>0</v>
      </c>
      <c r="AK49" s="5">
        <f>+$AC49*BJ49</f>
        <v>0</v>
      </c>
      <c r="AL49" s="5">
        <f>+$AC49*BK49</f>
        <v>0</v>
      </c>
      <c r="AM49" s="5">
        <f>+$AC49*BL49</f>
        <v>0</v>
      </c>
      <c r="AN49" s="5">
        <f>+$AC49*BM49</f>
        <v>0</v>
      </c>
      <c r="AO49" s="5">
        <f>+$AC49*BN49</f>
        <v>0</v>
      </c>
      <c r="AP49" s="5">
        <f>+AC49+P49+C49</f>
        <v>45000</v>
      </c>
      <c r="AQ49" s="1">
        <v>3567.2626379496896</v>
      </c>
      <c r="AR49" s="1">
        <v>4266.1111533780795</v>
      </c>
      <c r="AS49" s="1">
        <v>3775.5396339419058</v>
      </c>
      <c r="AT49" s="1">
        <v>2859.8259947420197</v>
      </c>
      <c r="AU49" s="1">
        <v>4147.4287242147047</v>
      </c>
      <c r="AV49" s="1">
        <v>3398.8132381017854</v>
      </c>
      <c r="AW49" s="1">
        <v>3383.7551550905082</v>
      </c>
      <c r="AX49" s="1">
        <v>2297.8842185111985</v>
      </c>
      <c r="AY49" s="1">
        <v>3406.1540938222988</v>
      </c>
      <c r="AZ49" s="1">
        <v>2966.3223565214071</v>
      </c>
      <c r="BA49" s="1">
        <v>3028.7275676842869</v>
      </c>
      <c r="BB49" s="1">
        <v>2958.2223746270247</v>
      </c>
      <c r="BC49" s="2">
        <v>8.9181565948742242E-2</v>
      </c>
      <c r="BD49" s="2">
        <v>0.10665277883445198</v>
      </c>
      <c r="BE49" s="2">
        <v>9.438849084854764E-2</v>
      </c>
      <c r="BF49" s="2">
        <v>7.149564986855049E-2</v>
      </c>
      <c r="BG49" s="2">
        <v>0.10368571810536763</v>
      </c>
      <c r="BH49" s="2">
        <v>8.4970330952544637E-2</v>
      </c>
      <c r="BI49" s="2">
        <v>8.4593878877262704E-2</v>
      </c>
      <c r="BJ49" s="2">
        <v>5.7447105462779965E-2</v>
      </c>
      <c r="BK49" s="2">
        <v>8.5153852345557474E-2</v>
      </c>
      <c r="BL49" s="2">
        <v>7.4158058913035174E-2</v>
      </c>
      <c r="BM49" s="2">
        <v>7.5718189192107169E-2</v>
      </c>
      <c r="BN49" s="2">
        <v>7.3955559365675619E-2</v>
      </c>
      <c r="BO49" s="2">
        <f>SUM(BC49:BN49)</f>
        <v>1.0014011787146229</v>
      </c>
    </row>
    <row r="50" spans="1:67" x14ac:dyDescent="0.25">
      <c r="A50" s="8">
        <v>4922</v>
      </c>
      <c r="B50" s="8" t="s">
        <v>944</v>
      </c>
      <c r="C50" s="5">
        <v>0</v>
      </c>
      <c r="D50" s="5">
        <f>+$C50*BC50</f>
        <v>0</v>
      </c>
      <c r="E50" s="5">
        <f>+$C50*BD50</f>
        <v>0</v>
      </c>
      <c r="F50" s="5">
        <f>+$C50*BE50</f>
        <v>0</v>
      </c>
      <c r="G50" s="5">
        <f>+$C50*BF50</f>
        <v>0</v>
      </c>
      <c r="H50" s="5">
        <f>+$C50*BG50</f>
        <v>0</v>
      </c>
      <c r="I50" s="5">
        <f>+$C50*BH50</f>
        <v>0</v>
      </c>
      <c r="J50" s="5">
        <f>+$C50*BI50</f>
        <v>0</v>
      </c>
      <c r="K50" s="5">
        <f>+$C50*BJ50</f>
        <v>0</v>
      </c>
      <c r="L50" s="5">
        <f>+$C50*BK50</f>
        <v>0</v>
      </c>
      <c r="M50" s="5">
        <f>+$C50*BL50</f>
        <v>0</v>
      </c>
      <c r="N50" s="5">
        <f>+$C50*BM50</f>
        <v>0</v>
      </c>
      <c r="O50" s="5">
        <f>+$C50*BN50</f>
        <v>0</v>
      </c>
      <c r="P50" s="5">
        <v>0</v>
      </c>
      <c r="Q50" s="5">
        <f>+$P50*BC50</f>
        <v>0</v>
      </c>
      <c r="R50" s="5">
        <f>+$P50*BD50</f>
        <v>0</v>
      </c>
      <c r="S50" s="5">
        <f>+$P50*BE50</f>
        <v>0</v>
      </c>
      <c r="T50" s="5">
        <f>+$P50*BF50</f>
        <v>0</v>
      </c>
      <c r="U50" s="5">
        <f>+$P50*BG50</f>
        <v>0</v>
      </c>
      <c r="V50" s="5">
        <f>+$P50*BH50</f>
        <v>0</v>
      </c>
      <c r="W50" s="5">
        <f>+$P50*BI50</f>
        <v>0</v>
      </c>
      <c r="X50" s="5">
        <f>+$P50*BJ50</f>
        <v>0</v>
      </c>
      <c r="Y50" s="5">
        <f>+$P50*BK50</f>
        <v>0</v>
      </c>
      <c r="Z50" s="5">
        <f>+$P50*BL50</f>
        <v>0</v>
      </c>
      <c r="AA50" s="5">
        <f>+$P50*BM50</f>
        <v>0</v>
      </c>
      <c r="AB50" s="5">
        <f>+$P50*BN50</f>
        <v>0</v>
      </c>
      <c r="AC50" s="5">
        <v>0</v>
      </c>
      <c r="AD50" s="5">
        <f>+$AC50*BC50</f>
        <v>0</v>
      </c>
      <c r="AE50" s="5">
        <f>+$AC50*BD50</f>
        <v>0</v>
      </c>
      <c r="AF50" s="5">
        <f>+$AC50*BE50</f>
        <v>0</v>
      </c>
      <c r="AG50" s="5">
        <f>+$AC50*BF50</f>
        <v>0</v>
      </c>
      <c r="AH50" s="5">
        <f>+$AC50*BG50</f>
        <v>0</v>
      </c>
      <c r="AI50" s="5">
        <f>+$AC50*BH50</f>
        <v>0</v>
      </c>
      <c r="AJ50" s="5">
        <f>+$AC50*BI50</f>
        <v>0</v>
      </c>
      <c r="AK50" s="5">
        <f>+$AC50*BJ50</f>
        <v>0</v>
      </c>
      <c r="AL50" s="5">
        <f>+$AC50*BK50</f>
        <v>0</v>
      </c>
      <c r="AM50" s="5">
        <f>+$AC50*BL50</f>
        <v>0</v>
      </c>
      <c r="AN50" s="5">
        <f>+$AC50*BM50</f>
        <v>0</v>
      </c>
      <c r="AO50" s="5">
        <f>+$AC50*BN50</f>
        <v>0</v>
      </c>
      <c r="AP50" s="5">
        <f>+AC50+P50+C50</f>
        <v>0</v>
      </c>
      <c r="AQ50" s="1">
        <v>3567.2626379496896</v>
      </c>
      <c r="AR50" s="1">
        <v>4266.1111533780795</v>
      </c>
      <c r="AS50" s="1">
        <v>3775.5396339419058</v>
      </c>
      <c r="AT50" s="1">
        <v>2859.8259947420197</v>
      </c>
      <c r="AU50" s="1">
        <v>4147.4287242147047</v>
      </c>
      <c r="AV50" s="1">
        <v>3398.8132381017854</v>
      </c>
      <c r="AW50" s="1">
        <v>3383.7551550905082</v>
      </c>
      <c r="AX50" s="1">
        <v>2297.8842185111985</v>
      </c>
      <c r="AY50" s="1">
        <v>3406.1540938222988</v>
      </c>
      <c r="AZ50" s="1">
        <v>2966.3223565214071</v>
      </c>
      <c r="BA50" s="1">
        <v>3028.7275676842869</v>
      </c>
      <c r="BB50" s="1">
        <v>2958.2223746270247</v>
      </c>
      <c r="BC50" s="2">
        <v>8.9181565948742242E-2</v>
      </c>
      <c r="BD50" s="2">
        <v>0.10665277883445198</v>
      </c>
      <c r="BE50" s="2">
        <v>9.438849084854764E-2</v>
      </c>
      <c r="BF50" s="2">
        <v>7.149564986855049E-2</v>
      </c>
      <c r="BG50" s="2">
        <v>0.10368571810536763</v>
      </c>
      <c r="BH50" s="2">
        <v>8.4970330952544637E-2</v>
      </c>
      <c r="BI50" s="2">
        <v>8.4593878877262704E-2</v>
      </c>
      <c r="BJ50" s="2">
        <v>5.7447105462779965E-2</v>
      </c>
      <c r="BK50" s="2">
        <v>8.5153852345557474E-2</v>
      </c>
      <c r="BL50" s="2">
        <v>7.4158058913035174E-2</v>
      </c>
      <c r="BM50" s="2">
        <v>7.5718189192107169E-2</v>
      </c>
      <c r="BN50" s="2">
        <v>7.3955559365675619E-2</v>
      </c>
      <c r="BO50" s="2">
        <f>SUM(BC50:BN50)</f>
        <v>1.0014011787146229</v>
      </c>
    </row>
    <row r="51" spans="1:67" x14ac:dyDescent="0.25">
      <c r="A51" s="8">
        <v>2385</v>
      </c>
      <c r="B51" s="8" t="s">
        <v>943</v>
      </c>
      <c r="C51" s="5">
        <v>40000</v>
      </c>
      <c r="D51" s="5">
        <f>+$C51*BC51</f>
        <v>3567.2626379496896</v>
      </c>
      <c r="E51" s="5">
        <f>+$C51*BD51</f>
        <v>4266.1111533780795</v>
      </c>
      <c r="F51" s="5">
        <f>+$C51*BE51</f>
        <v>3775.5396339419058</v>
      </c>
      <c r="G51" s="5">
        <f>+$C51*BF51</f>
        <v>2859.8259947420197</v>
      </c>
      <c r="H51" s="5">
        <f>+$C51*BG51</f>
        <v>4147.4287242147047</v>
      </c>
      <c r="I51" s="5">
        <f>+$C51*BH51</f>
        <v>3398.8132381017854</v>
      </c>
      <c r="J51" s="5">
        <f>+$C51*BI51</f>
        <v>3383.7551550905082</v>
      </c>
      <c r="K51" s="5">
        <f>+$C51*BJ51</f>
        <v>2297.8842185111985</v>
      </c>
      <c r="L51" s="5">
        <f>+$C51*BK51</f>
        <v>3406.1540938222988</v>
      </c>
      <c r="M51" s="5">
        <f>+$C51*BL51</f>
        <v>2966.3223565214071</v>
      </c>
      <c r="N51" s="5">
        <f>+$C51*BM51</f>
        <v>3028.7275676842869</v>
      </c>
      <c r="O51" s="5">
        <f>+$C51*BN51</f>
        <v>2958.2223746270247</v>
      </c>
      <c r="P51" s="5">
        <v>0</v>
      </c>
      <c r="Q51" s="5">
        <f>+$P51*BC51</f>
        <v>0</v>
      </c>
      <c r="R51" s="5">
        <f>+$P51*BD51</f>
        <v>0</v>
      </c>
      <c r="S51" s="5">
        <f>+$P51*BE51</f>
        <v>0</v>
      </c>
      <c r="T51" s="5">
        <f>+$P51*BF51</f>
        <v>0</v>
      </c>
      <c r="U51" s="5">
        <f>+$P51*BG51</f>
        <v>0</v>
      </c>
      <c r="V51" s="5">
        <f>+$P51*BH51</f>
        <v>0</v>
      </c>
      <c r="W51" s="5">
        <f>+$P51*BI51</f>
        <v>0</v>
      </c>
      <c r="X51" s="5">
        <f>+$P51*BJ51</f>
        <v>0</v>
      </c>
      <c r="Y51" s="5">
        <f>+$P51*BK51</f>
        <v>0</v>
      </c>
      <c r="Z51" s="5">
        <f>+$P51*BL51</f>
        <v>0</v>
      </c>
      <c r="AA51" s="5">
        <f>+$P51*BM51</f>
        <v>0</v>
      </c>
      <c r="AB51" s="5">
        <f>+$P51*BN51</f>
        <v>0</v>
      </c>
      <c r="AC51" s="5">
        <v>2900</v>
      </c>
      <c r="AD51" s="5">
        <f>+$AC51*BC51</f>
        <v>258.62654125135248</v>
      </c>
      <c r="AE51" s="5">
        <f>+$AC51*BD51</f>
        <v>309.29305861991077</v>
      </c>
      <c r="AF51" s="5">
        <f>+$AC51*BE51</f>
        <v>273.72662346078818</v>
      </c>
      <c r="AG51" s="5">
        <f>+$AC51*BF51</f>
        <v>207.33738461879642</v>
      </c>
      <c r="AH51" s="5">
        <f>+$AC51*BG51</f>
        <v>300.6885825055661</v>
      </c>
      <c r="AI51" s="5">
        <f>+$AC51*BH51</f>
        <v>246.41395976237945</v>
      </c>
      <c r="AJ51" s="5">
        <f>+$AC51*BI51</f>
        <v>245.32224874406185</v>
      </c>
      <c r="AK51" s="5">
        <f>+$AC51*BJ51</f>
        <v>166.5966058420619</v>
      </c>
      <c r="AL51" s="5">
        <f>+$AC51*BK51</f>
        <v>246.94617180211668</v>
      </c>
      <c r="AM51" s="5">
        <f>+$AC51*BL51</f>
        <v>215.058370847802</v>
      </c>
      <c r="AN51" s="5">
        <f>+$AC51*BM51</f>
        <v>219.58274865711078</v>
      </c>
      <c r="AO51" s="5">
        <f>+$AC51*BN51</f>
        <v>214.47112216045929</v>
      </c>
      <c r="AP51" s="5">
        <f>+AC51+P51+C51</f>
        <v>42900</v>
      </c>
      <c r="AQ51" s="1">
        <v>3215.6375597269885</v>
      </c>
      <c r="AR51" s="1">
        <v>3845.6005769896019</v>
      </c>
      <c r="AS51" s="1">
        <v>3403.3846922242519</v>
      </c>
      <c r="AT51" s="1">
        <v>2577.9329464402986</v>
      </c>
      <c r="AU51" s="1">
        <v>3738.6166748688615</v>
      </c>
      <c r="AV51" s="1">
        <v>3063.7922172220924</v>
      </c>
      <c r="AW51" s="1">
        <v>3050.2184094532367</v>
      </c>
      <c r="AX51" s="1">
        <v>2071.3817710925496</v>
      </c>
      <c r="AY51" s="1">
        <v>3070.4094847942347</v>
      </c>
      <c r="AZ51" s="1">
        <v>2673.9319618390919</v>
      </c>
      <c r="BA51" s="1">
        <v>2730.1858913376464</v>
      </c>
      <c r="BB51" s="1">
        <v>2666.6303951600389</v>
      </c>
      <c r="BC51" s="2">
        <v>8.9181565948742242E-2</v>
      </c>
      <c r="BD51" s="2">
        <v>0.10665277883445198</v>
      </c>
      <c r="BE51" s="2">
        <v>9.438849084854764E-2</v>
      </c>
      <c r="BF51" s="2">
        <v>7.149564986855049E-2</v>
      </c>
      <c r="BG51" s="2">
        <v>0.10368571810536763</v>
      </c>
      <c r="BH51" s="2">
        <v>8.4970330952544637E-2</v>
      </c>
      <c r="BI51" s="2">
        <v>8.4593878877262704E-2</v>
      </c>
      <c r="BJ51" s="2">
        <v>5.7447105462779965E-2</v>
      </c>
      <c r="BK51" s="2">
        <v>8.5153852345557474E-2</v>
      </c>
      <c r="BL51" s="2">
        <v>7.4158058913035174E-2</v>
      </c>
      <c r="BM51" s="2">
        <v>7.5718189192107169E-2</v>
      </c>
      <c r="BN51" s="2">
        <v>7.3955559365675619E-2</v>
      </c>
      <c r="BO51" s="2">
        <f>SUM(BC51:BN51)</f>
        <v>1.0014011787146229</v>
      </c>
    </row>
    <row r="52" spans="1:67" x14ac:dyDescent="0.25">
      <c r="A52" s="8">
        <v>4236</v>
      </c>
      <c r="B52" s="8" t="s">
        <v>942</v>
      </c>
      <c r="C52" s="5">
        <v>15000</v>
      </c>
      <c r="D52" s="5">
        <f>+$C52*BC52</f>
        <v>1337.7234892311337</v>
      </c>
      <c r="E52" s="5">
        <f>+$C52*BD52</f>
        <v>1599.7916825167797</v>
      </c>
      <c r="F52" s="5">
        <f>+$C52*BE52</f>
        <v>1415.8273627282147</v>
      </c>
      <c r="G52" s="5">
        <f>+$C52*BF52</f>
        <v>1072.4347480282574</v>
      </c>
      <c r="H52" s="5">
        <f>+$C52*BG52</f>
        <v>1555.2857715805144</v>
      </c>
      <c r="I52" s="5">
        <f>+$C52*BH52</f>
        <v>1274.5549642881695</v>
      </c>
      <c r="J52" s="5">
        <f>+$C52*BI52</f>
        <v>1268.9081831589406</v>
      </c>
      <c r="K52" s="5">
        <f>+$C52*BJ52</f>
        <v>861.70658194169948</v>
      </c>
      <c r="L52" s="5">
        <f>+$C52*BK52</f>
        <v>1277.3077851833621</v>
      </c>
      <c r="M52" s="5">
        <f>+$C52*BL52</f>
        <v>1112.3708836955277</v>
      </c>
      <c r="N52" s="5">
        <f>+$C52*BM52</f>
        <v>1135.7728378816075</v>
      </c>
      <c r="O52" s="5">
        <f>+$C52*BN52</f>
        <v>1109.3333904851343</v>
      </c>
      <c r="P52" s="5">
        <v>10000</v>
      </c>
      <c r="Q52" s="5">
        <f>+$P52*BC52</f>
        <v>891.81565948742241</v>
      </c>
      <c r="R52" s="5">
        <f>+$P52*BD52</f>
        <v>1066.5277883445199</v>
      </c>
      <c r="S52" s="5">
        <f>+$P52*BE52</f>
        <v>943.88490848547644</v>
      </c>
      <c r="T52" s="5">
        <f>+$P52*BF52</f>
        <v>714.95649868550493</v>
      </c>
      <c r="U52" s="5">
        <f>+$P52*BG52</f>
        <v>1036.8571810536762</v>
      </c>
      <c r="V52" s="5">
        <f>+$P52*BH52</f>
        <v>849.70330952544634</v>
      </c>
      <c r="W52" s="5">
        <f>+$P52*BI52</f>
        <v>845.93878877262705</v>
      </c>
      <c r="X52" s="5">
        <f>+$P52*BJ52</f>
        <v>574.47105462779962</v>
      </c>
      <c r="Y52" s="5">
        <f>+$P52*BK52</f>
        <v>851.5385234555747</v>
      </c>
      <c r="Z52" s="5">
        <f>+$P52*BL52</f>
        <v>741.58058913035177</v>
      </c>
      <c r="AA52" s="5">
        <f>+$P52*BM52</f>
        <v>757.18189192107172</v>
      </c>
      <c r="AB52" s="5">
        <f>+$P52*BN52</f>
        <v>739.55559365675617</v>
      </c>
      <c r="AC52" s="5">
        <v>0</v>
      </c>
      <c r="AD52" s="5">
        <f>+$AC52*BC52</f>
        <v>0</v>
      </c>
      <c r="AE52" s="5">
        <f>+$AC52*BD52</f>
        <v>0</v>
      </c>
      <c r="AF52" s="5">
        <f>+$AC52*BE52</f>
        <v>0</v>
      </c>
      <c r="AG52" s="5">
        <f>+$AC52*BF52</f>
        <v>0</v>
      </c>
      <c r="AH52" s="5">
        <f>+$AC52*BG52</f>
        <v>0</v>
      </c>
      <c r="AI52" s="5">
        <f>+$AC52*BH52</f>
        <v>0</v>
      </c>
      <c r="AJ52" s="5">
        <f>+$AC52*BI52</f>
        <v>0</v>
      </c>
      <c r="AK52" s="5">
        <f>+$AC52*BJ52</f>
        <v>0</v>
      </c>
      <c r="AL52" s="5">
        <f>+$AC52*BK52</f>
        <v>0</v>
      </c>
      <c r="AM52" s="5">
        <f>+$AC52*BL52</f>
        <v>0</v>
      </c>
      <c r="AN52" s="5">
        <f>+$AC52*BM52</f>
        <v>0</v>
      </c>
      <c r="AO52" s="5">
        <f>+$AC52*BN52</f>
        <v>0</v>
      </c>
      <c r="AP52" s="5">
        <f>+AC52+P52+C52</f>
        <v>25000</v>
      </c>
      <c r="AQ52" s="1">
        <v>3140.0408433560865</v>
      </c>
      <c r="AR52" s="1">
        <v>3755.1940026494444</v>
      </c>
      <c r="AS52" s="1">
        <v>3323.3742114096817</v>
      </c>
      <c r="AT52" s="1">
        <v>2517.3280859249248</v>
      </c>
      <c r="AU52" s="1">
        <v>3650.7251948310482</v>
      </c>
      <c r="AV52" s="1">
        <v>2991.7652468428869</v>
      </c>
      <c r="AW52" s="1">
        <v>2978.5105469575897</v>
      </c>
      <c r="AX52" s="1">
        <v>2022.685468310704</v>
      </c>
      <c r="AY52" s="1">
        <v>2998.2269484687713</v>
      </c>
      <c r="AZ52" s="1">
        <v>2611.0702517241616</v>
      </c>
      <c r="BA52" s="1">
        <v>2666.0017024687945</v>
      </c>
      <c r="BB52" s="1">
        <v>2603.940338241418</v>
      </c>
      <c r="BC52" s="2">
        <v>8.9181565948742242E-2</v>
      </c>
      <c r="BD52" s="2">
        <v>0.10665277883445198</v>
      </c>
      <c r="BE52" s="2">
        <v>9.438849084854764E-2</v>
      </c>
      <c r="BF52" s="2">
        <v>7.149564986855049E-2</v>
      </c>
      <c r="BG52" s="2">
        <v>0.10368571810536763</v>
      </c>
      <c r="BH52" s="2">
        <v>8.4970330952544637E-2</v>
      </c>
      <c r="BI52" s="2">
        <v>8.4593878877262704E-2</v>
      </c>
      <c r="BJ52" s="2">
        <v>5.7447105462779965E-2</v>
      </c>
      <c r="BK52" s="2">
        <v>8.5153852345557474E-2</v>
      </c>
      <c r="BL52" s="2">
        <v>7.4158058913035174E-2</v>
      </c>
      <c r="BM52" s="2">
        <v>7.5718189192107169E-2</v>
      </c>
      <c r="BN52" s="2">
        <v>7.3955559365675619E-2</v>
      </c>
      <c r="BO52" s="2">
        <f>SUM(BC52:BN52)</f>
        <v>1.0014011787146229</v>
      </c>
    </row>
    <row r="53" spans="1:67" x14ac:dyDescent="0.25">
      <c r="A53" s="8">
        <v>5086</v>
      </c>
      <c r="B53" s="8" t="s">
        <v>941</v>
      </c>
      <c r="C53" s="5">
        <v>0</v>
      </c>
      <c r="D53" s="5">
        <f>+$C53*BC53</f>
        <v>0</v>
      </c>
      <c r="E53" s="5">
        <f>+$C53*BD53</f>
        <v>0</v>
      </c>
      <c r="F53" s="5">
        <f>+$C53*BE53</f>
        <v>0</v>
      </c>
      <c r="G53" s="5">
        <f>+$C53*BF53</f>
        <v>0</v>
      </c>
      <c r="H53" s="5">
        <f>+$C53*BG53</f>
        <v>0</v>
      </c>
      <c r="I53" s="5">
        <f>+$C53*BH53</f>
        <v>0</v>
      </c>
      <c r="J53" s="5">
        <f>+$C53*BI53</f>
        <v>0</v>
      </c>
      <c r="K53" s="5">
        <f>+$C53*BJ53</f>
        <v>0</v>
      </c>
      <c r="L53" s="5">
        <f>+$C53*BK53</f>
        <v>0</v>
      </c>
      <c r="M53" s="5">
        <f>+$C53*BL53</f>
        <v>0</v>
      </c>
      <c r="N53" s="5">
        <f>+$C53*BM53</f>
        <v>0</v>
      </c>
      <c r="O53" s="5">
        <f>+$C53*BN53</f>
        <v>0</v>
      </c>
      <c r="P53" s="5">
        <v>0</v>
      </c>
      <c r="Q53" s="5">
        <f>+$P53*BC53</f>
        <v>0</v>
      </c>
      <c r="R53" s="5">
        <f>+$P53*BD53</f>
        <v>0</v>
      </c>
      <c r="S53" s="5">
        <f>+$P53*BE53</f>
        <v>0</v>
      </c>
      <c r="T53" s="5">
        <f>+$P53*BF53</f>
        <v>0</v>
      </c>
      <c r="U53" s="5">
        <f>+$P53*BG53</f>
        <v>0</v>
      </c>
      <c r="V53" s="5">
        <f>+$P53*BH53</f>
        <v>0</v>
      </c>
      <c r="W53" s="5">
        <f>+$P53*BI53</f>
        <v>0</v>
      </c>
      <c r="X53" s="5">
        <f>+$P53*BJ53</f>
        <v>0</v>
      </c>
      <c r="Y53" s="5">
        <f>+$P53*BK53</f>
        <v>0</v>
      </c>
      <c r="Z53" s="5">
        <f>+$P53*BL53</f>
        <v>0</v>
      </c>
      <c r="AA53" s="5">
        <f>+$P53*BM53</f>
        <v>0</v>
      </c>
      <c r="AB53" s="5">
        <f>+$P53*BN53</f>
        <v>0</v>
      </c>
      <c r="AC53" s="5">
        <v>50000</v>
      </c>
      <c r="AD53" s="5">
        <f>+$AC53*BC53</f>
        <v>4459.0782974371123</v>
      </c>
      <c r="AE53" s="5">
        <f>+$AC53*BD53</f>
        <v>5332.6389417225992</v>
      </c>
      <c r="AF53" s="5">
        <f>+$AC53*BE53</f>
        <v>4719.4245424273822</v>
      </c>
      <c r="AG53" s="5">
        <f>+$AC53*BF53</f>
        <v>3574.7824934275245</v>
      </c>
      <c r="AH53" s="5">
        <f>+$AC53*BG53</f>
        <v>5184.2859052683816</v>
      </c>
      <c r="AI53" s="5">
        <f>+$AC53*BH53</f>
        <v>4248.5165476272323</v>
      </c>
      <c r="AJ53" s="5">
        <f>+$AC53*BI53</f>
        <v>4229.6939438631352</v>
      </c>
      <c r="AK53" s="5">
        <f>+$AC53*BJ53</f>
        <v>2872.3552731389982</v>
      </c>
      <c r="AL53" s="5">
        <f>+$AC53*BK53</f>
        <v>4257.692617277874</v>
      </c>
      <c r="AM53" s="5">
        <f>+$AC53*BL53</f>
        <v>3707.9029456517587</v>
      </c>
      <c r="AN53" s="5">
        <f>+$AC53*BM53</f>
        <v>3785.9094596053583</v>
      </c>
      <c r="AO53" s="5">
        <f>+$AC53*BN53</f>
        <v>3697.7779682837809</v>
      </c>
      <c r="AP53" s="5">
        <f>+AC53+P53+C53</f>
        <v>50000</v>
      </c>
      <c r="AQ53" s="1">
        <v>3121.3548082059783</v>
      </c>
      <c r="AR53" s="1">
        <v>3732.8472592058192</v>
      </c>
      <c r="AS53" s="1">
        <v>3303.5971796991676</v>
      </c>
      <c r="AT53" s="1">
        <v>2502.3477453992673</v>
      </c>
      <c r="AU53" s="1">
        <v>3629.0001336878668</v>
      </c>
      <c r="AV53" s="1">
        <v>2973.9615833390621</v>
      </c>
      <c r="AW53" s="1">
        <v>2960.7857607041947</v>
      </c>
      <c r="AX53" s="1">
        <v>2010.6486911972988</v>
      </c>
      <c r="AY53" s="1">
        <v>2980.3848320945117</v>
      </c>
      <c r="AZ53" s="1">
        <v>2595.5320619562312</v>
      </c>
      <c r="BA53" s="1">
        <v>2650.136621723751</v>
      </c>
      <c r="BB53" s="1">
        <v>2588.4445777986466</v>
      </c>
      <c r="BC53" s="2">
        <v>8.9181565948742242E-2</v>
      </c>
      <c r="BD53" s="2">
        <v>0.10665277883445198</v>
      </c>
      <c r="BE53" s="2">
        <v>9.438849084854764E-2</v>
      </c>
      <c r="BF53" s="2">
        <v>7.149564986855049E-2</v>
      </c>
      <c r="BG53" s="2">
        <v>0.10368571810536763</v>
      </c>
      <c r="BH53" s="2">
        <v>8.4970330952544637E-2</v>
      </c>
      <c r="BI53" s="2">
        <v>8.4593878877262704E-2</v>
      </c>
      <c r="BJ53" s="2">
        <v>5.7447105462779965E-2</v>
      </c>
      <c r="BK53" s="2">
        <v>8.5153852345557474E-2</v>
      </c>
      <c r="BL53" s="2">
        <v>7.4158058913035174E-2</v>
      </c>
      <c r="BM53" s="2">
        <v>7.5718189192107169E-2</v>
      </c>
      <c r="BN53" s="2">
        <v>7.3955559365675619E-2</v>
      </c>
      <c r="BO53" s="2">
        <f>SUM(BC53:BN53)</f>
        <v>1.0014011787146229</v>
      </c>
    </row>
    <row r="54" spans="1:67" x14ac:dyDescent="0.25">
      <c r="A54" s="8">
        <v>5487</v>
      </c>
      <c r="B54" s="8" t="s">
        <v>940</v>
      </c>
      <c r="C54" s="5">
        <v>0</v>
      </c>
      <c r="D54" s="5">
        <f>+$C54*BC54</f>
        <v>0</v>
      </c>
      <c r="E54" s="5">
        <f>+$C54*BD54</f>
        <v>0</v>
      </c>
      <c r="F54" s="5">
        <f>+$C54*BE54</f>
        <v>0</v>
      </c>
      <c r="G54" s="5">
        <f>+$C54*BF54</f>
        <v>0</v>
      </c>
      <c r="H54" s="5">
        <f>+$C54*BG54</f>
        <v>0</v>
      </c>
      <c r="I54" s="5">
        <f>+$C54*BH54</f>
        <v>0</v>
      </c>
      <c r="J54" s="5">
        <f>+$C54*BI54</f>
        <v>0</v>
      </c>
      <c r="K54" s="5">
        <f>+$C54*BJ54</f>
        <v>0</v>
      </c>
      <c r="L54" s="5">
        <f>+$C54*BK54</f>
        <v>0</v>
      </c>
      <c r="M54" s="5">
        <f>+$C54*BL54</f>
        <v>0</v>
      </c>
      <c r="N54" s="5">
        <f>+$C54*BM54</f>
        <v>0</v>
      </c>
      <c r="O54" s="5">
        <f>+$C54*BN54</f>
        <v>0</v>
      </c>
      <c r="P54" s="5">
        <v>0</v>
      </c>
      <c r="Q54" s="5">
        <f>+$P54*BC54</f>
        <v>0</v>
      </c>
      <c r="R54" s="5">
        <f>+$P54*BD54</f>
        <v>0</v>
      </c>
      <c r="S54" s="5">
        <f>+$P54*BE54</f>
        <v>0</v>
      </c>
      <c r="T54" s="5">
        <f>+$P54*BF54</f>
        <v>0</v>
      </c>
      <c r="U54" s="5">
        <f>+$P54*BG54</f>
        <v>0</v>
      </c>
      <c r="V54" s="5">
        <f>+$P54*BH54</f>
        <v>0</v>
      </c>
      <c r="W54" s="5">
        <f>+$P54*BI54</f>
        <v>0</v>
      </c>
      <c r="X54" s="5">
        <f>+$P54*BJ54</f>
        <v>0</v>
      </c>
      <c r="Y54" s="5">
        <f>+$P54*BK54</f>
        <v>0</v>
      </c>
      <c r="Z54" s="5">
        <f>+$P54*BL54</f>
        <v>0</v>
      </c>
      <c r="AA54" s="5">
        <f>+$P54*BM54</f>
        <v>0</v>
      </c>
      <c r="AB54" s="5">
        <f>+$P54*BN54</f>
        <v>0</v>
      </c>
      <c r="AC54" s="5">
        <v>18000</v>
      </c>
      <c r="AD54" s="5">
        <f>+$AC54*BC54</f>
        <v>1605.2681870773604</v>
      </c>
      <c r="AE54" s="5">
        <f>+$AC54*BD54</f>
        <v>1919.7500190201356</v>
      </c>
      <c r="AF54" s="5">
        <f>+$AC54*BE54</f>
        <v>1698.9928352738575</v>
      </c>
      <c r="AG54" s="5">
        <f>+$AC54*BF54</f>
        <v>1286.9216976339087</v>
      </c>
      <c r="AH54" s="5">
        <f>+$AC54*BG54</f>
        <v>1866.3429258966173</v>
      </c>
      <c r="AI54" s="5">
        <f>+$AC54*BH54</f>
        <v>1529.4659571458035</v>
      </c>
      <c r="AJ54" s="5">
        <f>+$AC54*BI54</f>
        <v>1522.6898197907287</v>
      </c>
      <c r="AK54" s="5">
        <f>+$AC54*BJ54</f>
        <v>1034.0478983300393</v>
      </c>
      <c r="AL54" s="5">
        <f>+$AC54*BK54</f>
        <v>1532.7693422200346</v>
      </c>
      <c r="AM54" s="5">
        <f>+$AC54*BL54</f>
        <v>1334.8450604346331</v>
      </c>
      <c r="AN54" s="5">
        <f>+$AC54*BM54</f>
        <v>1362.9274054579291</v>
      </c>
      <c r="AO54" s="5">
        <f>+$AC54*BN54</f>
        <v>1331.2000685821611</v>
      </c>
      <c r="AP54" s="5">
        <f>+AC54+P54+C54</f>
        <v>18000</v>
      </c>
      <c r="AQ54" s="1">
        <v>3121.3548082059783</v>
      </c>
      <c r="AR54" s="1">
        <v>3732.8472592058192</v>
      </c>
      <c r="AS54" s="1">
        <v>3303.5971796991676</v>
      </c>
      <c r="AT54" s="1">
        <v>2502.3477453992673</v>
      </c>
      <c r="AU54" s="1">
        <v>3629.0001336878668</v>
      </c>
      <c r="AV54" s="1">
        <v>2973.9615833390621</v>
      </c>
      <c r="AW54" s="1">
        <v>2960.7857607041947</v>
      </c>
      <c r="AX54" s="1">
        <v>2010.6486911972988</v>
      </c>
      <c r="AY54" s="1">
        <v>2980.3848320945117</v>
      </c>
      <c r="AZ54" s="1">
        <v>2595.5320619562312</v>
      </c>
      <c r="BA54" s="1">
        <v>2650.136621723751</v>
      </c>
      <c r="BB54" s="1">
        <v>2588.4445777986466</v>
      </c>
      <c r="BC54" s="2">
        <v>8.9181565948742242E-2</v>
      </c>
      <c r="BD54" s="2">
        <v>0.10665277883445198</v>
      </c>
      <c r="BE54" s="2">
        <v>9.438849084854764E-2</v>
      </c>
      <c r="BF54" s="2">
        <v>7.149564986855049E-2</v>
      </c>
      <c r="BG54" s="2">
        <v>0.10368571810536763</v>
      </c>
      <c r="BH54" s="2">
        <v>8.4970330952544637E-2</v>
      </c>
      <c r="BI54" s="2">
        <v>8.4593878877262704E-2</v>
      </c>
      <c r="BJ54" s="2">
        <v>5.7447105462779965E-2</v>
      </c>
      <c r="BK54" s="2">
        <v>8.5153852345557474E-2</v>
      </c>
      <c r="BL54" s="2">
        <v>7.4158058913035174E-2</v>
      </c>
      <c r="BM54" s="2">
        <v>7.5718189192107169E-2</v>
      </c>
      <c r="BN54" s="2">
        <v>7.3955559365675619E-2</v>
      </c>
      <c r="BO54" s="2">
        <f>SUM(BC54:BN54)</f>
        <v>1.0014011787146229</v>
      </c>
    </row>
    <row r="55" spans="1:67" x14ac:dyDescent="0.25">
      <c r="A55" s="8">
        <v>17248</v>
      </c>
      <c r="B55" s="8" t="s">
        <v>939</v>
      </c>
      <c r="C55" s="5">
        <v>20000</v>
      </c>
      <c r="D55" s="5">
        <f>+$C55*BC55</f>
        <v>1783.6313189748448</v>
      </c>
      <c r="E55" s="5">
        <f>+$C55*BD55</f>
        <v>2133.0555766890398</v>
      </c>
      <c r="F55" s="5">
        <f>+$C55*BE55</f>
        <v>1887.7698169709529</v>
      </c>
      <c r="G55" s="5">
        <f>+$C55*BF55</f>
        <v>1429.9129973710099</v>
      </c>
      <c r="H55" s="5">
        <f>+$C55*BG55</f>
        <v>2073.7143621073524</v>
      </c>
      <c r="I55" s="5">
        <f>+$C55*BH55</f>
        <v>1699.4066190508927</v>
      </c>
      <c r="J55" s="5">
        <f>+$C55*BI55</f>
        <v>1691.8775775452541</v>
      </c>
      <c r="K55" s="5">
        <f>+$C55*BJ55</f>
        <v>1148.9421092555992</v>
      </c>
      <c r="L55" s="5">
        <f>+$C55*BK55</f>
        <v>1703.0770469111494</v>
      </c>
      <c r="M55" s="5">
        <f>+$C55*BL55</f>
        <v>1483.1611782607035</v>
      </c>
      <c r="N55" s="5">
        <f>+$C55*BM55</f>
        <v>1514.3637838421434</v>
      </c>
      <c r="O55" s="5">
        <f>+$C55*BN55</f>
        <v>1479.1111873135123</v>
      </c>
      <c r="P55" s="5">
        <v>5000</v>
      </c>
      <c r="Q55" s="5">
        <f>+$P55*BC55</f>
        <v>445.9078297437112</v>
      </c>
      <c r="R55" s="5">
        <f>+$P55*BD55</f>
        <v>533.26389417225994</v>
      </c>
      <c r="S55" s="5">
        <f>+$P55*BE55</f>
        <v>471.94245424273822</v>
      </c>
      <c r="T55" s="5">
        <f>+$P55*BF55</f>
        <v>357.47824934275246</v>
      </c>
      <c r="U55" s="5">
        <f>+$P55*BG55</f>
        <v>518.42859052683809</v>
      </c>
      <c r="V55" s="5">
        <f>+$P55*BH55</f>
        <v>424.85165476272317</v>
      </c>
      <c r="W55" s="5">
        <f>+$P55*BI55</f>
        <v>422.96939438631352</v>
      </c>
      <c r="X55" s="5">
        <f>+$P55*BJ55</f>
        <v>287.23552731389981</v>
      </c>
      <c r="Y55" s="5">
        <f>+$P55*BK55</f>
        <v>425.76926172778735</v>
      </c>
      <c r="Z55" s="5">
        <f>+$P55*BL55</f>
        <v>370.79029456517588</v>
      </c>
      <c r="AA55" s="5">
        <f>+$P55*BM55</f>
        <v>378.59094596053586</v>
      </c>
      <c r="AB55" s="5">
        <f>+$P55*BN55</f>
        <v>369.77779682837809</v>
      </c>
      <c r="AC55" s="5">
        <v>0</v>
      </c>
      <c r="AD55" s="5">
        <f>+$AC55*BC55</f>
        <v>0</v>
      </c>
      <c r="AE55" s="5">
        <f>+$AC55*BD55</f>
        <v>0</v>
      </c>
      <c r="AF55" s="5">
        <f>+$AC55*BE55</f>
        <v>0</v>
      </c>
      <c r="AG55" s="5">
        <f>+$AC55*BF55</f>
        <v>0</v>
      </c>
      <c r="AH55" s="5">
        <f>+$AC55*BG55</f>
        <v>0</v>
      </c>
      <c r="AI55" s="5">
        <f>+$AC55*BH55</f>
        <v>0</v>
      </c>
      <c r="AJ55" s="5">
        <f>+$AC55*BI55</f>
        <v>0</v>
      </c>
      <c r="AK55" s="5">
        <f>+$AC55*BJ55</f>
        <v>0</v>
      </c>
      <c r="AL55" s="5">
        <f>+$AC55*BK55</f>
        <v>0</v>
      </c>
      <c r="AM55" s="5">
        <f>+$AC55*BL55</f>
        <v>0</v>
      </c>
      <c r="AN55" s="5">
        <f>+$AC55*BM55</f>
        <v>0</v>
      </c>
      <c r="AO55" s="5">
        <f>+$AC55*BN55</f>
        <v>0</v>
      </c>
      <c r="AP55" s="5">
        <f>+AC55+P55+C55</f>
        <v>25000</v>
      </c>
      <c r="AQ55" s="1">
        <v>3121.3548082059783</v>
      </c>
      <c r="AR55" s="1">
        <v>3732.8472592058192</v>
      </c>
      <c r="AS55" s="1">
        <v>3303.5971796991676</v>
      </c>
      <c r="AT55" s="1">
        <v>2502.3477453992673</v>
      </c>
      <c r="AU55" s="1">
        <v>3629.0001336878668</v>
      </c>
      <c r="AV55" s="1">
        <v>2973.9615833390621</v>
      </c>
      <c r="AW55" s="1">
        <v>2960.7857607041947</v>
      </c>
      <c r="AX55" s="1">
        <v>2010.6486911972988</v>
      </c>
      <c r="AY55" s="1">
        <v>2980.3848320945117</v>
      </c>
      <c r="AZ55" s="1">
        <v>2595.5320619562312</v>
      </c>
      <c r="BA55" s="1">
        <v>2650.136621723751</v>
      </c>
      <c r="BB55" s="1">
        <v>2588.4445777986466</v>
      </c>
      <c r="BC55" s="2">
        <v>8.9181565948742242E-2</v>
      </c>
      <c r="BD55" s="2">
        <v>0.10665277883445198</v>
      </c>
      <c r="BE55" s="2">
        <v>9.438849084854764E-2</v>
      </c>
      <c r="BF55" s="2">
        <v>7.149564986855049E-2</v>
      </c>
      <c r="BG55" s="2">
        <v>0.10368571810536763</v>
      </c>
      <c r="BH55" s="2">
        <v>8.4970330952544637E-2</v>
      </c>
      <c r="BI55" s="2">
        <v>8.4593878877262704E-2</v>
      </c>
      <c r="BJ55" s="2">
        <v>5.7447105462779965E-2</v>
      </c>
      <c r="BK55" s="2">
        <v>8.5153852345557474E-2</v>
      </c>
      <c r="BL55" s="2">
        <v>7.4158058913035174E-2</v>
      </c>
      <c r="BM55" s="2">
        <v>7.5718189192107169E-2</v>
      </c>
      <c r="BN55" s="2">
        <v>7.3955559365675619E-2</v>
      </c>
      <c r="BO55" s="2">
        <f>SUM(BC55:BN55)</f>
        <v>1.0014011787146229</v>
      </c>
    </row>
    <row r="56" spans="1:67" x14ac:dyDescent="0.25">
      <c r="A56" s="8">
        <v>5318</v>
      </c>
      <c r="B56" s="8" t="s">
        <v>938</v>
      </c>
      <c r="C56" s="5">
        <v>30000</v>
      </c>
      <c r="D56" s="5">
        <f>+$C56*BC56</f>
        <v>2675.4469784622675</v>
      </c>
      <c r="E56" s="5">
        <f>+$C56*BD56</f>
        <v>3199.5833650335594</v>
      </c>
      <c r="F56" s="5">
        <f>+$C56*BE56</f>
        <v>2831.6547254564293</v>
      </c>
      <c r="G56" s="5">
        <f>+$C56*BF56</f>
        <v>2144.8694960565149</v>
      </c>
      <c r="H56" s="5">
        <f>+$C56*BG56</f>
        <v>3110.5715431610288</v>
      </c>
      <c r="I56" s="5">
        <f>+$C56*BH56</f>
        <v>2549.1099285763389</v>
      </c>
      <c r="J56" s="5">
        <f>+$C56*BI56</f>
        <v>2537.8163663178811</v>
      </c>
      <c r="K56" s="5">
        <f>+$C56*BJ56</f>
        <v>1723.413163883399</v>
      </c>
      <c r="L56" s="5">
        <f>+$C56*BK56</f>
        <v>2554.6155703667241</v>
      </c>
      <c r="M56" s="5">
        <f>+$C56*BL56</f>
        <v>2224.7417673910554</v>
      </c>
      <c r="N56" s="5">
        <f>+$C56*BM56</f>
        <v>2271.5456757632151</v>
      </c>
      <c r="O56" s="5">
        <f>+$C56*BN56</f>
        <v>2218.6667809702685</v>
      </c>
      <c r="P56" s="5">
        <v>0</v>
      </c>
      <c r="Q56" s="5">
        <f>+$P56*BC56</f>
        <v>0</v>
      </c>
      <c r="R56" s="5">
        <f>+$P56*BD56</f>
        <v>0</v>
      </c>
      <c r="S56" s="5">
        <f>+$P56*BE56</f>
        <v>0</v>
      </c>
      <c r="T56" s="5">
        <f>+$P56*BF56</f>
        <v>0</v>
      </c>
      <c r="U56" s="5">
        <f>+$P56*BG56</f>
        <v>0</v>
      </c>
      <c r="V56" s="5">
        <f>+$P56*BH56</f>
        <v>0</v>
      </c>
      <c r="W56" s="5">
        <f>+$P56*BI56</f>
        <v>0</v>
      </c>
      <c r="X56" s="5">
        <f>+$P56*BJ56</f>
        <v>0</v>
      </c>
      <c r="Y56" s="5">
        <f>+$P56*BK56</f>
        <v>0</v>
      </c>
      <c r="Z56" s="5">
        <f>+$P56*BL56</f>
        <v>0</v>
      </c>
      <c r="AA56" s="5">
        <f>+$P56*BM56</f>
        <v>0</v>
      </c>
      <c r="AB56" s="5">
        <f>+$P56*BN56</f>
        <v>0</v>
      </c>
      <c r="AC56" s="5">
        <v>0</v>
      </c>
      <c r="AD56" s="5">
        <f>+$AC56*BC56</f>
        <v>0</v>
      </c>
      <c r="AE56" s="5">
        <f>+$AC56*BD56</f>
        <v>0</v>
      </c>
      <c r="AF56" s="5">
        <f>+$AC56*BE56</f>
        <v>0</v>
      </c>
      <c r="AG56" s="5">
        <f>+$AC56*BF56</f>
        <v>0</v>
      </c>
      <c r="AH56" s="5">
        <f>+$AC56*BG56</f>
        <v>0</v>
      </c>
      <c r="AI56" s="5">
        <f>+$AC56*BH56</f>
        <v>0</v>
      </c>
      <c r="AJ56" s="5">
        <f>+$AC56*BI56</f>
        <v>0</v>
      </c>
      <c r="AK56" s="5">
        <f>+$AC56*BJ56</f>
        <v>0</v>
      </c>
      <c r="AL56" s="5">
        <f>+$AC56*BK56</f>
        <v>0</v>
      </c>
      <c r="AM56" s="5">
        <f>+$AC56*BL56</f>
        <v>0</v>
      </c>
      <c r="AN56" s="5">
        <f>+$AC56*BM56</f>
        <v>0</v>
      </c>
      <c r="AO56" s="5">
        <f>+$AC56*BN56</f>
        <v>0</v>
      </c>
      <c r="AP56" s="5">
        <f>+AC56+P56+C56</f>
        <v>30000</v>
      </c>
      <c r="AQ56" s="1">
        <v>3121.3548082059783</v>
      </c>
      <c r="AR56" s="1">
        <v>3732.8472592058192</v>
      </c>
      <c r="AS56" s="1">
        <v>3303.5971796991676</v>
      </c>
      <c r="AT56" s="1">
        <v>2502.3477453992673</v>
      </c>
      <c r="AU56" s="1">
        <v>3629.0001336878668</v>
      </c>
      <c r="AV56" s="1">
        <v>2973.9615833390621</v>
      </c>
      <c r="AW56" s="1">
        <v>2960.7857607041947</v>
      </c>
      <c r="AX56" s="1">
        <v>2010.6486911972988</v>
      </c>
      <c r="AY56" s="1">
        <v>2980.3848320945117</v>
      </c>
      <c r="AZ56" s="1">
        <v>2595.5320619562312</v>
      </c>
      <c r="BA56" s="1">
        <v>2650.136621723751</v>
      </c>
      <c r="BB56" s="1">
        <v>2588.4445777986466</v>
      </c>
      <c r="BC56" s="2">
        <v>8.9181565948742242E-2</v>
      </c>
      <c r="BD56" s="2">
        <v>0.10665277883445198</v>
      </c>
      <c r="BE56" s="2">
        <v>9.438849084854764E-2</v>
      </c>
      <c r="BF56" s="2">
        <v>7.149564986855049E-2</v>
      </c>
      <c r="BG56" s="2">
        <v>0.10368571810536763</v>
      </c>
      <c r="BH56" s="2">
        <v>8.4970330952544637E-2</v>
      </c>
      <c r="BI56" s="2">
        <v>8.4593878877262704E-2</v>
      </c>
      <c r="BJ56" s="2">
        <v>5.7447105462779965E-2</v>
      </c>
      <c r="BK56" s="2">
        <v>8.5153852345557474E-2</v>
      </c>
      <c r="BL56" s="2">
        <v>7.4158058913035174E-2</v>
      </c>
      <c r="BM56" s="2">
        <v>7.5718189192107169E-2</v>
      </c>
      <c r="BN56" s="2">
        <v>7.3955559365675619E-2</v>
      </c>
      <c r="BO56" s="2">
        <f>SUM(BC56:BN56)</f>
        <v>1.0014011787146229</v>
      </c>
    </row>
    <row r="57" spans="1:67" x14ac:dyDescent="0.25">
      <c r="A57" s="8">
        <v>1730</v>
      </c>
      <c r="B57" s="8" t="s">
        <v>937</v>
      </c>
      <c r="C57" s="5">
        <v>50000</v>
      </c>
      <c r="D57" s="5">
        <f>+$C57*BC57</f>
        <v>4459.0782974371123</v>
      </c>
      <c r="E57" s="5">
        <f>+$C57*BD57</f>
        <v>5332.6389417225992</v>
      </c>
      <c r="F57" s="5">
        <f>+$C57*BE57</f>
        <v>4719.4245424273822</v>
      </c>
      <c r="G57" s="5">
        <f>+$C57*BF57</f>
        <v>3574.7824934275245</v>
      </c>
      <c r="H57" s="5">
        <f>+$C57*BG57</f>
        <v>5184.2859052683816</v>
      </c>
      <c r="I57" s="5">
        <f>+$C57*BH57</f>
        <v>4248.5165476272323</v>
      </c>
      <c r="J57" s="5">
        <f>+$C57*BI57</f>
        <v>4229.6939438631352</v>
      </c>
      <c r="K57" s="5">
        <f>+$C57*BJ57</f>
        <v>2872.3552731389982</v>
      </c>
      <c r="L57" s="5">
        <f>+$C57*BK57</f>
        <v>4257.692617277874</v>
      </c>
      <c r="M57" s="5">
        <f>+$C57*BL57</f>
        <v>3707.9029456517587</v>
      </c>
      <c r="N57" s="5">
        <f>+$C57*BM57</f>
        <v>3785.9094596053583</v>
      </c>
      <c r="O57" s="5">
        <f>+$C57*BN57</f>
        <v>3697.7779682837809</v>
      </c>
      <c r="P57" s="5">
        <v>0</v>
      </c>
      <c r="Q57" s="5">
        <f>+$P57*BC57</f>
        <v>0</v>
      </c>
      <c r="R57" s="5">
        <f>+$P57*BD57</f>
        <v>0</v>
      </c>
      <c r="S57" s="5">
        <f>+$P57*BE57</f>
        <v>0</v>
      </c>
      <c r="T57" s="5">
        <f>+$P57*BF57</f>
        <v>0</v>
      </c>
      <c r="U57" s="5">
        <f>+$P57*BG57</f>
        <v>0</v>
      </c>
      <c r="V57" s="5">
        <f>+$P57*BH57</f>
        <v>0</v>
      </c>
      <c r="W57" s="5">
        <f>+$P57*BI57</f>
        <v>0</v>
      </c>
      <c r="X57" s="5">
        <f>+$P57*BJ57</f>
        <v>0</v>
      </c>
      <c r="Y57" s="5">
        <f>+$P57*BK57</f>
        <v>0</v>
      </c>
      <c r="Z57" s="5">
        <f>+$P57*BL57</f>
        <v>0</v>
      </c>
      <c r="AA57" s="5">
        <f>+$P57*BM57</f>
        <v>0</v>
      </c>
      <c r="AB57" s="5">
        <f>+$P57*BN57</f>
        <v>0</v>
      </c>
      <c r="AC57" s="5">
        <v>0</v>
      </c>
      <c r="AD57" s="5">
        <f>+$AC57*BC57</f>
        <v>0</v>
      </c>
      <c r="AE57" s="5">
        <f>+$AC57*BD57</f>
        <v>0</v>
      </c>
      <c r="AF57" s="5">
        <f>+$AC57*BE57</f>
        <v>0</v>
      </c>
      <c r="AG57" s="5">
        <f>+$AC57*BF57</f>
        <v>0</v>
      </c>
      <c r="AH57" s="5">
        <f>+$AC57*BG57</f>
        <v>0</v>
      </c>
      <c r="AI57" s="5">
        <f>+$AC57*BH57</f>
        <v>0</v>
      </c>
      <c r="AJ57" s="5">
        <f>+$AC57*BI57</f>
        <v>0</v>
      </c>
      <c r="AK57" s="5">
        <f>+$AC57*BJ57</f>
        <v>0</v>
      </c>
      <c r="AL57" s="5">
        <f>+$AC57*BK57</f>
        <v>0</v>
      </c>
      <c r="AM57" s="5">
        <f>+$AC57*BL57</f>
        <v>0</v>
      </c>
      <c r="AN57" s="5">
        <f>+$AC57*BM57</f>
        <v>0</v>
      </c>
      <c r="AO57" s="5">
        <f>+$AC57*BN57</f>
        <v>0</v>
      </c>
      <c r="AP57" s="5">
        <f>+AC57+P57+C57</f>
        <v>50000</v>
      </c>
      <c r="AQ57" s="1">
        <v>3032.1732422572363</v>
      </c>
      <c r="AR57" s="1">
        <v>3626.1944803713673</v>
      </c>
      <c r="AS57" s="1">
        <v>3209.2086888506196</v>
      </c>
      <c r="AT57" s="1">
        <v>2430.8520955307167</v>
      </c>
      <c r="AU57" s="1">
        <v>3525.3144155824994</v>
      </c>
      <c r="AV57" s="1">
        <v>2888.9912523865178</v>
      </c>
      <c r="AW57" s="1">
        <v>2876.1918818269319</v>
      </c>
      <c r="AX57" s="1">
        <v>1953.2015857345189</v>
      </c>
      <c r="AY57" s="1">
        <v>2895.2309797489543</v>
      </c>
      <c r="AZ57" s="1">
        <v>2521.3740030431959</v>
      </c>
      <c r="BA57" s="1">
        <v>2574.4184325316437</v>
      </c>
      <c r="BB57" s="1">
        <v>2514.4890184329711</v>
      </c>
      <c r="BC57" s="2">
        <v>8.9181565948742242E-2</v>
      </c>
      <c r="BD57" s="2">
        <v>0.10665277883445198</v>
      </c>
      <c r="BE57" s="2">
        <v>9.438849084854764E-2</v>
      </c>
      <c r="BF57" s="2">
        <v>7.149564986855049E-2</v>
      </c>
      <c r="BG57" s="2">
        <v>0.10368571810536763</v>
      </c>
      <c r="BH57" s="2">
        <v>8.4970330952544637E-2</v>
      </c>
      <c r="BI57" s="2">
        <v>8.4593878877262704E-2</v>
      </c>
      <c r="BJ57" s="2">
        <v>5.7447105462779965E-2</v>
      </c>
      <c r="BK57" s="2">
        <v>8.5153852345557474E-2</v>
      </c>
      <c r="BL57" s="2">
        <v>7.4158058913035174E-2</v>
      </c>
      <c r="BM57" s="2">
        <v>7.5718189192107169E-2</v>
      </c>
      <c r="BN57" s="2">
        <v>7.3955559365675619E-2</v>
      </c>
      <c r="BO57" s="2">
        <f>SUM(BC57:BN57)</f>
        <v>1.0014011787146229</v>
      </c>
    </row>
    <row r="58" spans="1:67" x14ac:dyDescent="0.25">
      <c r="A58" s="8">
        <v>6630</v>
      </c>
      <c r="B58" s="8" t="s">
        <v>936</v>
      </c>
      <c r="C58" s="5">
        <v>33000</v>
      </c>
      <c r="D58" s="5">
        <f>+$C58*BC58</f>
        <v>2942.9916763084939</v>
      </c>
      <c r="E58" s="5">
        <f>+$C58*BD58</f>
        <v>3519.5417015369153</v>
      </c>
      <c r="F58" s="5">
        <f>+$C58*BE58</f>
        <v>3114.8201980020722</v>
      </c>
      <c r="G58" s="5">
        <f>+$C58*BF58</f>
        <v>2359.3564456621662</v>
      </c>
      <c r="H58" s="5">
        <f>+$C58*BG58</f>
        <v>3421.6286974771315</v>
      </c>
      <c r="I58" s="5">
        <f>+$C58*BH58</f>
        <v>2804.0209214339729</v>
      </c>
      <c r="J58" s="5">
        <f>+$C58*BI58</f>
        <v>2791.5980029496691</v>
      </c>
      <c r="K58" s="5">
        <f>+$C58*BJ58</f>
        <v>1895.7544802717389</v>
      </c>
      <c r="L58" s="5">
        <f>+$C58*BK58</f>
        <v>2810.0771274033968</v>
      </c>
      <c r="M58" s="5">
        <f>+$C58*BL58</f>
        <v>2447.2159441301606</v>
      </c>
      <c r="N58" s="5">
        <f>+$C58*BM58</f>
        <v>2498.7002433395364</v>
      </c>
      <c r="O58" s="5">
        <f>+$C58*BN58</f>
        <v>2440.5334590672956</v>
      </c>
      <c r="P58" s="5">
        <v>0</v>
      </c>
      <c r="Q58" s="5">
        <f>+$P58*BC58</f>
        <v>0</v>
      </c>
      <c r="R58" s="5">
        <f>+$P58*BD58</f>
        <v>0</v>
      </c>
      <c r="S58" s="5">
        <f>+$P58*BE58</f>
        <v>0</v>
      </c>
      <c r="T58" s="5">
        <f>+$P58*BF58</f>
        <v>0</v>
      </c>
      <c r="U58" s="5">
        <f>+$P58*BG58</f>
        <v>0</v>
      </c>
      <c r="V58" s="5">
        <f>+$P58*BH58</f>
        <v>0</v>
      </c>
      <c r="W58" s="5">
        <f>+$P58*BI58</f>
        <v>0</v>
      </c>
      <c r="X58" s="5">
        <f>+$P58*BJ58</f>
        <v>0</v>
      </c>
      <c r="Y58" s="5">
        <f>+$P58*BK58</f>
        <v>0</v>
      </c>
      <c r="Z58" s="5">
        <f>+$P58*BL58</f>
        <v>0</v>
      </c>
      <c r="AA58" s="5">
        <f>+$P58*BM58</f>
        <v>0</v>
      </c>
      <c r="AB58" s="5">
        <f>+$P58*BN58</f>
        <v>0</v>
      </c>
      <c r="AC58" s="5">
        <v>0</v>
      </c>
      <c r="AD58" s="5">
        <f>+$AC58*BC58</f>
        <v>0</v>
      </c>
      <c r="AE58" s="5">
        <f>+$AC58*BD58</f>
        <v>0</v>
      </c>
      <c r="AF58" s="5">
        <f>+$AC58*BE58</f>
        <v>0</v>
      </c>
      <c r="AG58" s="5">
        <f>+$AC58*BF58</f>
        <v>0</v>
      </c>
      <c r="AH58" s="5">
        <f>+$AC58*BG58</f>
        <v>0</v>
      </c>
      <c r="AI58" s="5">
        <f>+$AC58*BH58</f>
        <v>0</v>
      </c>
      <c r="AJ58" s="5">
        <f>+$AC58*BI58</f>
        <v>0</v>
      </c>
      <c r="AK58" s="5">
        <f>+$AC58*BJ58</f>
        <v>0</v>
      </c>
      <c r="AL58" s="5">
        <f>+$AC58*BK58</f>
        <v>0</v>
      </c>
      <c r="AM58" s="5">
        <f>+$AC58*BL58</f>
        <v>0</v>
      </c>
      <c r="AN58" s="5">
        <f>+$AC58*BM58</f>
        <v>0</v>
      </c>
      <c r="AO58" s="5">
        <f>+$AC58*BN58</f>
        <v>0</v>
      </c>
      <c r="AP58" s="5">
        <f>+AC58+P58+C58</f>
        <v>33000</v>
      </c>
      <c r="AQ58" s="1">
        <v>2942.9916763084939</v>
      </c>
      <c r="AR58" s="1">
        <v>3519.5417015369153</v>
      </c>
      <c r="AS58" s="1">
        <v>3114.8201980020722</v>
      </c>
      <c r="AT58" s="1">
        <v>2359.3564456621662</v>
      </c>
      <c r="AU58" s="1">
        <v>3421.6286974771315</v>
      </c>
      <c r="AV58" s="1">
        <v>2804.0209214339729</v>
      </c>
      <c r="AW58" s="1">
        <v>2791.5980029496691</v>
      </c>
      <c r="AX58" s="1">
        <v>1895.7544802717389</v>
      </c>
      <c r="AY58" s="1">
        <v>2810.0771274033968</v>
      </c>
      <c r="AZ58" s="1">
        <v>2447.2159441301606</v>
      </c>
      <c r="BA58" s="1">
        <v>2498.7002433395364</v>
      </c>
      <c r="BB58" s="1">
        <v>2440.5334590672956</v>
      </c>
      <c r="BC58" s="2">
        <v>8.9181565948742242E-2</v>
      </c>
      <c r="BD58" s="2">
        <v>0.10665277883445198</v>
      </c>
      <c r="BE58" s="2">
        <v>9.438849084854764E-2</v>
      </c>
      <c r="BF58" s="2">
        <v>7.149564986855049E-2</v>
      </c>
      <c r="BG58" s="2">
        <v>0.10368571810536763</v>
      </c>
      <c r="BH58" s="2">
        <v>8.4970330952544637E-2</v>
      </c>
      <c r="BI58" s="2">
        <v>8.4593878877262704E-2</v>
      </c>
      <c r="BJ58" s="2">
        <v>5.7447105462779965E-2</v>
      </c>
      <c r="BK58" s="2">
        <v>8.5153852345557474E-2</v>
      </c>
      <c r="BL58" s="2">
        <v>7.4158058913035174E-2</v>
      </c>
      <c r="BM58" s="2">
        <v>7.5718189192107169E-2</v>
      </c>
      <c r="BN58" s="2">
        <v>7.3955559365675619E-2</v>
      </c>
      <c r="BO58" s="2">
        <f>SUM(BC58:BN58)</f>
        <v>1.0014011787146229</v>
      </c>
    </row>
    <row r="59" spans="1:67" x14ac:dyDescent="0.25">
      <c r="A59" s="8">
        <v>2427</v>
      </c>
      <c r="B59" s="8" t="s">
        <v>935</v>
      </c>
      <c r="C59" s="5">
        <v>0</v>
      </c>
      <c r="D59" s="5">
        <f>+$C59*BC59</f>
        <v>0</v>
      </c>
      <c r="E59" s="5">
        <f>+$C59*BD59</f>
        <v>0</v>
      </c>
      <c r="F59" s="5">
        <f>+$C59*BE59</f>
        <v>0</v>
      </c>
      <c r="G59" s="5">
        <f>+$C59*BF59</f>
        <v>0</v>
      </c>
      <c r="H59" s="5">
        <f>+$C59*BG59</f>
        <v>0</v>
      </c>
      <c r="I59" s="5">
        <f>+$C59*BH59</f>
        <v>0</v>
      </c>
      <c r="J59" s="5">
        <f>+$C59*BI59</f>
        <v>0</v>
      </c>
      <c r="K59" s="5">
        <f>+$C59*BJ59</f>
        <v>0</v>
      </c>
      <c r="L59" s="5">
        <f>+$C59*BK59</f>
        <v>0</v>
      </c>
      <c r="M59" s="5">
        <f>+$C59*BL59</f>
        <v>0</v>
      </c>
      <c r="N59" s="5">
        <f>+$C59*BM59</f>
        <v>0</v>
      </c>
      <c r="O59" s="5">
        <f>+$C59*BN59</f>
        <v>0</v>
      </c>
      <c r="P59" s="5">
        <v>0</v>
      </c>
      <c r="Q59" s="5">
        <f>+$P59*BC59</f>
        <v>0</v>
      </c>
      <c r="R59" s="5">
        <f>+$P59*BD59</f>
        <v>0</v>
      </c>
      <c r="S59" s="5">
        <f>+$P59*BE59</f>
        <v>0</v>
      </c>
      <c r="T59" s="5">
        <f>+$P59*BF59</f>
        <v>0</v>
      </c>
      <c r="U59" s="5">
        <f>+$P59*BG59</f>
        <v>0</v>
      </c>
      <c r="V59" s="5">
        <f>+$P59*BH59</f>
        <v>0</v>
      </c>
      <c r="W59" s="5">
        <f>+$P59*BI59</f>
        <v>0</v>
      </c>
      <c r="X59" s="5">
        <f>+$P59*BJ59</f>
        <v>0</v>
      </c>
      <c r="Y59" s="5">
        <f>+$P59*BK59</f>
        <v>0</v>
      </c>
      <c r="Z59" s="5">
        <f>+$P59*BL59</f>
        <v>0</v>
      </c>
      <c r="AA59" s="5">
        <f>+$P59*BM59</f>
        <v>0</v>
      </c>
      <c r="AB59" s="5">
        <f>+$P59*BN59</f>
        <v>0</v>
      </c>
      <c r="AC59" s="5">
        <v>40000</v>
      </c>
      <c r="AD59" s="5">
        <f>+$AC59*BC59</f>
        <v>3567.2626379496896</v>
      </c>
      <c r="AE59" s="5">
        <f>+$AC59*BD59</f>
        <v>4266.1111533780795</v>
      </c>
      <c r="AF59" s="5">
        <f>+$AC59*BE59</f>
        <v>3775.5396339419058</v>
      </c>
      <c r="AG59" s="5">
        <f>+$AC59*BF59</f>
        <v>2859.8259947420197</v>
      </c>
      <c r="AH59" s="5">
        <f>+$AC59*BG59</f>
        <v>4147.4287242147047</v>
      </c>
      <c r="AI59" s="5">
        <f>+$AC59*BH59</f>
        <v>3398.8132381017854</v>
      </c>
      <c r="AJ59" s="5">
        <f>+$AC59*BI59</f>
        <v>3383.7551550905082</v>
      </c>
      <c r="AK59" s="5">
        <f>+$AC59*BJ59</f>
        <v>2297.8842185111985</v>
      </c>
      <c r="AL59" s="5">
        <f>+$AC59*BK59</f>
        <v>3406.1540938222988</v>
      </c>
      <c r="AM59" s="5">
        <f>+$AC59*BL59</f>
        <v>2966.3223565214071</v>
      </c>
      <c r="AN59" s="5">
        <f>+$AC59*BM59</f>
        <v>3028.7275676842869</v>
      </c>
      <c r="AO59" s="5">
        <f>+$AC59*BN59</f>
        <v>2958.2223746270247</v>
      </c>
      <c r="AP59" s="5">
        <f>+AC59+P59+C59</f>
        <v>40000</v>
      </c>
      <c r="AQ59" s="1">
        <v>2942.9916763084939</v>
      </c>
      <c r="AR59" s="1">
        <v>3519.5417015369153</v>
      </c>
      <c r="AS59" s="1">
        <v>3114.8201980020722</v>
      </c>
      <c r="AT59" s="1">
        <v>2359.3564456621662</v>
      </c>
      <c r="AU59" s="1">
        <v>3421.6286974771315</v>
      </c>
      <c r="AV59" s="1">
        <v>2804.0209214339729</v>
      </c>
      <c r="AW59" s="1">
        <v>2791.5980029496691</v>
      </c>
      <c r="AX59" s="1">
        <v>1895.7544802717389</v>
      </c>
      <c r="AY59" s="1">
        <v>2810.0771274033968</v>
      </c>
      <c r="AZ59" s="1">
        <v>2447.2159441301606</v>
      </c>
      <c r="BA59" s="1">
        <v>2498.7002433395364</v>
      </c>
      <c r="BB59" s="1">
        <v>2440.5334590672956</v>
      </c>
      <c r="BC59" s="2">
        <v>8.9181565948742242E-2</v>
      </c>
      <c r="BD59" s="2">
        <v>0.10665277883445198</v>
      </c>
      <c r="BE59" s="2">
        <v>9.438849084854764E-2</v>
      </c>
      <c r="BF59" s="2">
        <v>7.149564986855049E-2</v>
      </c>
      <c r="BG59" s="2">
        <v>0.10368571810536763</v>
      </c>
      <c r="BH59" s="2">
        <v>8.4970330952544637E-2</v>
      </c>
      <c r="BI59" s="2">
        <v>8.4593878877262704E-2</v>
      </c>
      <c r="BJ59" s="2">
        <v>5.7447105462779965E-2</v>
      </c>
      <c r="BK59" s="2">
        <v>8.5153852345557474E-2</v>
      </c>
      <c r="BL59" s="2">
        <v>7.4158058913035174E-2</v>
      </c>
      <c r="BM59" s="2">
        <v>7.5718189192107169E-2</v>
      </c>
      <c r="BN59" s="2">
        <v>7.3955559365675619E-2</v>
      </c>
      <c r="BO59" s="2">
        <f>SUM(BC59:BN59)</f>
        <v>1.0014011787146229</v>
      </c>
    </row>
    <row r="60" spans="1:67" x14ac:dyDescent="0.25">
      <c r="A60" s="8">
        <v>3088</v>
      </c>
      <c r="B60" s="8" t="s">
        <v>934</v>
      </c>
      <c r="C60" s="5">
        <v>0</v>
      </c>
      <c r="D60" s="5">
        <f>+$C60*BC60</f>
        <v>0</v>
      </c>
      <c r="E60" s="5">
        <f>+$C60*BD60</f>
        <v>0</v>
      </c>
      <c r="F60" s="5">
        <f>+$C60*BE60</f>
        <v>0</v>
      </c>
      <c r="G60" s="5">
        <f>+$C60*BF60</f>
        <v>0</v>
      </c>
      <c r="H60" s="5">
        <f>+$C60*BG60</f>
        <v>0</v>
      </c>
      <c r="I60" s="5">
        <f>+$C60*BH60</f>
        <v>0</v>
      </c>
      <c r="J60" s="5">
        <f>+$C60*BI60</f>
        <v>0</v>
      </c>
      <c r="K60" s="5">
        <f>+$C60*BJ60</f>
        <v>0</v>
      </c>
      <c r="L60" s="5">
        <f>+$C60*BK60</f>
        <v>0</v>
      </c>
      <c r="M60" s="5">
        <f>+$C60*BL60</f>
        <v>0</v>
      </c>
      <c r="N60" s="5">
        <f>+$C60*BM60</f>
        <v>0</v>
      </c>
      <c r="O60" s="5">
        <f>+$C60*BN60</f>
        <v>0</v>
      </c>
      <c r="P60" s="5">
        <v>40000</v>
      </c>
      <c r="Q60" s="5">
        <f>+$P60*BC60</f>
        <v>3567.2626379496896</v>
      </c>
      <c r="R60" s="5">
        <f>+$P60*BD60</f>
        <v>4266.1111533780795</v>
      </c>
      <c r="S60" s="5">
        <f>+$P60*BE60</f>
        <v>3775.5396339419058</v>
      </c>
      <c r="T60" s="5">
        <f>+$P60*BF60</f>
        <v>2859.8259947420197</v>
      </c>
      <c r="U60" s="5">
        <f>+$P60*BG60</f>
        <v>4147.4287242147047</v>
      </c>
      <c r="V60" s="5">
        <f>+$P60*BH60</f>
        <v>3398.8132381017854</v>
      </c>
      <c r="W60" s="5">
        <f>+$P60*BI60</f>
        <v>3383.7551550905082</v>
      </c>
      <c r="X60" s="5">
        <f>+$P60*BJ60</f>
        <v>2297.8842185111985</v>
      </c>
      <c r="Y60" s="5">
        <f>+$P60*BK60</f>
        <v>3406.1540938222988</v>
      </c>
      <c r="Z60" s="5">
        <f>+$P60*BL60</f>
        <v>2966.3223565214071</v>
      </c>
      <c r="AA60" s="5">
        <f>+$P60*BM60</f>
        <v>3028.7275676842869</v>
      </c>
      <c r="AB60" s="5">
        <f>+$P60*BN60</f>
        <v>2958.2223746270247</v>
      </c>
      <c r="AC60" s="5">
        <v>0</v>
      </c>
      <c r="AD60" s="5">
        <f>+$AC60*BC60</f>
        <v>0</v>
      </c>
      <c r="AE60" s="5">
        <f>+$AC60*BD60</f>
        <v>0</v>
      </c>
      <c r="AF60" s="5">
        <f>+$AC60*BE60</f>
        <v>0</v>
      </c>
      <c r="AG60" s="5">
        <f>+$AC60*BF60</f>
        <v>0</v>
      </c>
      <c r="AH60" s="5">
        <f>+$AC60*BG60</f>
        <v>0</v>
      </c>
      <c r="AI60" s="5">
        <f>+$AC60*BH60</f>
        <v>0</v>
      </c>
      <c r="AJ60" s="5">
        <f>+$AC60*BI60</f>
        <v>0</v>
      </c>
      <c r="AK60" s="5">
        <f>+$AC60*BJ60</f>
        <v>0</v>
      </c>
      <c r="AL60" s="5">
        <f>+$AC60*BK60</f>
        <v>0</v>
      </c>
      <c r="AM60" s="5">
        <f>+$AC60*BL60</f>
        <v>0</v>
      </c>
      <c r="AN60" s="5">
        <f>+$AC60*BM60</f>
        <v>0</v>
      </c>
      <c r="AO60" s="5">
        <f>+$AC60*BN60</f>
        <v>0</v>
      </c>
      <c r="AP60" s="5">
        <f>+AC60+P60+C60</f>
        <v>40000</v>
      </c>
      <c r="AQ60" s="1">
        <v>2684.3651350571413</v>
      </c>
      <c r="AR60" s="1">
        <v>3210.2486429170049</v>
      </c>
      <c r="AS60" s="1">
        <v>2841.0935745412839</v>
      </c>
      <c r="AT60" s="1">
        <v>2152.0190610433697</v>
      </c>
      <c r="AU60" s="1">
        <v>3120.9401149715654</v>
      </c>
      <c r="AV60" s="1">
        <v>2557.6069616715936</v>
      </c>
      <c r="AW60" s="1">
        <v>2546.2757542056074</v>
      </c>
      <c r="AX60" s="1">
        <v>1729.1578744296769</v>
      </c>
      <c r="AY60" s="1">
        <v>2563.1309556012798</v>
      </c>
      <c r="AZ60" s="1">
        <v>2232.157573282359</v>
      </c>
      <c r="BA60" s="1">
        <v>2279.1174946824258</v>
      </c>
      <c r="BB60" s="1">
        <v>2226.0623369068362</v>
      </c>
      <c r="BC60" s="2">
        <v>8.9181565948742242E-2</v>
      </c>
      <c r="BD60" s="2">
        <v>0.10665277883445198</v>
      </c>
      <c r="BE60" s="2">
        <v>9.438849084854764E-2</v>
      </c>
      <c r="BF60" s="2">
        <v>7.149564986855049E-2</v>
      </c>
      <c r="BG60" s="2">
        <v>0.10368571810536763</v>
      </c>
      <c r="BH60" s="2">
        <v>8.4970330952544637E-2</v>
      </c>
      <c r="BI60" s="2">
        <v>8.4593878877262704E-2</v>
      </c>
      <c r="BJ60" s="2">
        <v>5.7447105462779965E-2</v>
      </c>
      <c r="BK60" s="2">
        <v>8.5153852345557474E-2</v>
      </c>
      <c r="BL60" s="2">
        <v>7.4158058913035174E-2</v>
      </c>
      <c r="BM60" s="2">
        <v>7.5718189192107169E-2</v>
      </c>
      <c r="BN60" s="2">
        <v>7.3955559365675619E-2</v>
      </c>
      <c r="BO60" s="2">
        <f>SUM(BC60:BN60)</f>
        <v>1.0014011787146229</v>
      </c>
    </row>
    <row r="61" spans="1:67" x14ac:dyDescent="0.25">
      <c r="A61" s="8">
        <v>300</v>
      </c>
      <c r="B61" s="8" t="s">
        <v>933</v>
      </c>
      <c r="C61" s="5">
        <v>0</v>
      </c>
      <c r="D61" s="5">
        <f>+$C61*BC61</f>
        <v>0</v>
      </c>
      <c r="E61" s="5">
        <f>+$C61*BD61</f>
        <v>0</v>
      </c>
      <c r="F61" s="5">
        <f>+$C61*BE61</f>
        <v>0</v>
      </c>
      <c r="G61" s="5">
        <f>+$C61*BF61</f>
        <v>0</v>
      </c>
      <c r="H61" s="5">
        <f>+$C61*BG61</f>
        <v>0</v>
      </c>
      <c r="I61" s="5">
        <f>+$C61*BH61</f>
        <v>0</v>
      </c>
      <c r="J61" s="5">
        <f>+$C61*BI61</f>
        <v>0</v>
      </c>
      <c r="K61" s="5">
        <f>+$C61*BJ61</f>
        <v>0</v>
      </c>
      <c r="L61" s="5">
        <f>+$C61*BK61</f>
        <v>0</v>
      </c>
      <c r="M61" s="5">
        <f>+$C61*BL61</f>
        <v>0</v>
      </c>
      <c r="N61" s="5">
        <f>+$C61*BM61</f>
        <v>0</v>
      </c>
      <c r="O61" s="5">
        <f>+$C61*BN61</f>
        <v>0</v>
      </c>
      <c r="P61" s="5">
        <v>0</v>
      </c>
      <c r="Q61" s="5">
        <f>+$P61*BC61</f>
        <v>0</v>
      </c>
      <c r="R61" s="5">
        <f>+$P61*BD61</f>
        <v>0</v>
      </c>
      <c r="S61" s="5">
        <f>+$P61*BE61</f>
        <v>0</v>
      </c>
      <c r="T61" s="5">
        <f>+$P61*BF61</f>
        <v>0</v>
      </c>
      <c r="U61" s="5">
        <f>+$P61*BG61</f>
        <v>0</v>
      </c>
      <c r="V61" s="5">
        <f>+$P61*BH61</f>
        <v>0</v>
      </c>
      <c r="W61" s="5">
        <f>+$P61*BI61</f>
        <v>0</v>
      </c>
      <c r="X61" s="5">
        <f>+$P61*BJ61</f>
        <v>0</v>
      </c>
      <c r="Y61" s="5">
        <f>+$P61*BK61</f>
        <v>0</v>
      </c>
      <c r="Z61" s="5">
        <f>+$P61*BL61</f>
        <v>0</v>
      </c>
      <c r="AA61" s="5">
        <f>+$P61*BM61</f>
        <v>0</v>
      </c>
      <c r="AB61" s="5">
        <f>+$P61*BN61</f>
        <v>0</v>
      </c>
      <c r="AC61" s="5">
        <v>0</v>
      </c>
      <c r="AD61" s="5">
        <f>+$AC61*BC61</f>
        <v>0</v>
      </c>
      <c r="AE61" s="5">
        <f>+$AC61*BD61</f>
        <v>0</v>
      </c>
      <c r="AF61" s="5">
        <f>+$AC61*BE61</f>
        <v>0</v>
      </c>
      <c r="AG61" s="5">
        <f>+$AC61*BF61</f>
        <v>0</v>
      </c>
      <c r="AH61" s="5">
        <f>+$AC61*BG61</f>
        <v>0</v>
      </c>
      <c r="AI61" s="5">
        <f>+$AC61*BH61</f>
        <v>0</v>
      </c>
      <c r="AJ61" s="5">
        <f>+$AC61*BI61</f>
        <v>0</v>
      </c>
      <c r="AK61" s="5">
        <f>+$AC61*BJ61</f>
        <v>0</v>
      </c>
      <c r="AL61" s="5">
        <f>+$AC61*BK61</f>
        <v>0</v>
      </c>
      <c r="AM61" s="5">
        <f>+$AC61*BL61</f>
        <v>0</v>
      </c>
      <c r="AN61" s="5">
        <f>+$AC61*BM61</f>
        <v>0</v>
      </c>
      <c r="AO61" s="5">
        <f>+$AC61*BN61</f>
        <v>0</v>
      </c>
      <c r="AP61" s="5">
        <f>+AC61+P61+C61</f>
        <v>0</v>
      </c>
      <c r="AQ61" s="1">
        <v>3576.1807945445639</v>
      </c>
      <c r="AR61" s="1">
        <v>4276.7764312615245</v>
      </c>
      <c r="AS61" s="1">
        <v>3784.9784830267604</v>
      </c>
      <c r="AT61" s="1">
        <v>2866.9755597288745</v>
      </c>
      <c r="AU61" s="1">
        <v>4157.7972960252418</v>
      </c>
      <c r="AV61" s="1">
        <v>3407.31027119704</v>
      </c>
      <c r="AW61" s="1">
        <v>3392.2145429782345</v>
      </c>
      <c r="AX61" s="1">
        <v>2303.6289290574764</v>
      </c>
      <c r="AY61" s="1">
        <v>3414.6694790568545</v>
      </c>
      <c r="AZ61" s="1">
        <v>2973.7381624127106</v>
      </c>
      <c r="BA61" s="1">
        <v>3036.2993866034976</v>
      </c>
      <c r="BB61" s="1">
        <v>2965.6179305635924</v>
      </c>
      <c r="BC61" s="2">
        <v>8.9181565948742242E-2</v>
      </c>
      <c r="BD61" s="2">
        <v>0.10665277883445198</v>
      </c>
      <c r="BE61" s="2">
        <v>9.438849084854764E-2</v>
      </c>
      <c r="BF61" s="2">
        <v>7.149564986855049E-2</v>
      </c>
      <c r="BG61" s="2">
        <v>0.10368571810536763</v>
      </c>
      <c r="BH61" s="2">
        <v>8.4970330952544637E-2</v>
      </c>
      <c r="BI61" s="2">
        <v>8.4593878877262704E-2</v>
      </c>
      <c r="BJ61" s="2">
        <v>5.7447105462779965E-2</v>
      </c>
      <c r="BK61" s="2">
        <v>8.5153852345557474E-2</v>
      </c>
      <c r="BL61" s="2">
        <v>7.4158058913035174E-2</v>
      </c>
      <c r="BM61" s="2">
        <v>7.5718189192107169E-2</v>
      </c>
      <c r="BN61" s="2">
        <v>7.3955559365675619E-2</v>
      </c>
      <c r="BO61" s="2">
        <f>SUM(BC61:BN61)</f>
        <v>1.0014011787146229</v>
      </c>
    </row>
    <row r="62" spans="1:67" x14ac:dyDescent="0.25">
      <c r="A62" s="8">
        <v>2497</v>
      </c>
      <c r="B62" s="8" t="s">
        <v>932</v>
      </c>
      <c r="C62" s="5">
        <v>0</v>
      </c>
      <c r="D62" s="5">
        <f>+$C62*BC62</f>
        <v>0</v>
      </c>
      <c r="E62" s="5">
        <f>+$C62*BD62</f>
        <v>0</v>
      </c>
      <c r="F62" s="5">
        <f>+$C62*BE62</f>
        <v>0</v>
      </c>
      <c r="G62" s="5">
        <f>+$C62*BF62</f>
        <v>0</v>
      </c>
      <c r="H62" s="5">
        <f>+$C62*BG62</f>
        <v>0</v>
      </c>
      <c r="I62" s="5">
        <f>+$C62*BH62</f>
        <v>0</v>
      </c>
      <c r="J62" s="5">
        <f>+$C62*BI62</f>
        <v>0</v>
      </c>
      <c r="K62" s="5">
        <f>+$C62*BJ62</f>
        <v>0</v>
      </c>
      <c r="L62" s="5">
        <f>+$C62*BK62</f>
        <v>0</v>
      </c>
      <c r="M62" s="5">
        <f>+$C62*BL62</f>
        <v>0</v>
      </c>
      <c r="N62" s="5">
        <f>+$C62*BM62</f>
        <v>0</v>
      </c>
      <c r="O62" s="5">
        <f>+$C62*BN62</f>
        <v>0</v>
      </c>
      <c r="P62" s="5">
        <v>20000</v>
      </c>
      <c r="Q62" s="5">
        <f>+$P62*BC62</f>
        <v>1783.6313189748448</v>
      </c>
      <c r="R62" s="5">
        <f>+$P62*BD62</f>
        <v>2133.0555766890398</v>
      </c>
      <c r="S62" s="5">
        <f>+$P62*BE62</f>
        <v>1887.7698169709529</v>
      </c>
      <c r="T62" s="5">
        <f>+$P62*BF62</f>
        <v>1429.9129973710099</v>
      </c>
      <c r="U62" s="5">
        <f>+$P62*BG62</f>
        <v>2073.7143621073524</v>
      </c>
      <c r="V62" s="5">
        <f>+$P62*BH62</f>
        <v>1699.4066190508927</v>
      </c>
      <c r="W62" s="5">
        <f>+$P62*BI62</f>
        <v>1691.8775775452541</v>
      </c>
      <c r="X62" s="5">
        <f>+$P62*BJ62</f>
        <v>1148.9421092555992</v>
      </c>
      <c r="Y62" s="5">
        <f>+$P62*BK62</f>
        <v>1703.0770469111494</v>
      </c>
      <c r="Z62" s="5">
        <f>+$P62*BL62</f>
        <v>1483.1611782607035</v>
      </c>
      <c r="AA62" s="5">
        <f>+$P62*BM62</f>
        <v>1514.3637838421434</v>
      </c>
      <c r="AB62" s="5">
        <f>+$P62*BN62</f>
        <v>1479.1111873135123</v>
      </c>
      <c r="AC62" s="5">
        <v>0</v>
      </c>
      <c r="AD62" s="5">
        <f>+$AC62*BC62</f>
        <v>0</v>
      </c>
      <c r="AE62" s="5">
        <f>+$AC62*BD62</f>
        <v>0</v>
      </c>
      <c r="AF62" s="5">
        <f>+$AC62*BE62</f>
        <v>0</v>
      </c>
      <c r="AG62" s="5">
        <f>+$AC62*BF62</f>
        <v>0</v>
      </c>
      <c r="AH62" s="5">
        <f>+$AC62*BG62</f>
        <v>0</v>
      </c>
      <c r="AI62" s="5">
        <f>+$AC62*BH62</f>
        <v>0</v>
      </c>
      <c r="AJ62" s="5">
        <f>+$AC62*BI62</f>
        <v>0</v>
      </c>
      <c r="AK62" s="5">
        <f>+$AC62*BJ62</f>
        <v>0</v>
      </c>
      <c r="AL62" s="5">
        <f>+$AC62*BK62</f>
        <v>0</v>
      </c>
      <c r="AM62" s="5">
        <f>+$AC62*BL62</f>
        <v>0</v>
      </c>
      <c r="AN62" s="5">
        <f>+$AC62*BM62</f>
        <v>0</v>
      </c>
      <c r="AO62" s="5">
        <f>+$AC62*BN62</f>
        <v>0</v>
      </c>
      <c r="AP62" s="5">
        <f>+AC62+P62+C62</f>
        <v>20000</v>
      </c>
      <c r="AQ62" s="1">
        <v>3567.2626379496896</v>
      </c>
      <c r="AR62" s="1">
        <v>4266.1111533780795</v>
      </c>
      <c r="AS62" s="1">
        <v>3775.5396339419058</v>
      </c>
      <c r="AT62" s="1">
        <v>2859.8259947420197</v>
      </c>
      <c r="AU62" s="1">
        <v>4147.4287242147047</v>
      </c>
      <c r="AV62" s="1">
        <v>3398.8132381017854</v>
      </c>
      <c r="AW62" s="1">
        <v>3383.7551550905082</v>
      </c>
      <c r="AX62" s="1">
        <v>2297.8842185111985</v>
      </c>
      <c r="AY62" s="1">
        <v>3406.1540938222988</v>
      </c>
      <c r="AZ62" s="1">
        <v>2966.3223565214071</v>
      </c>
      <c r="BA62" s="1">
        <v>3028.7275676842869</v>
      </c>
      <c r="BB62" s="1">
        <v>2958.2223746270247</v>
      </c>
      <c r="BC62" s="2">
        <v>8.9181565948742242E-2</v>
      </c>
      <c r="BD62" s="2">
        <v>0.10665277883445198</v>
      </c>
      <c r="BE62" s="2">
        <v>9.438849084854764E-2</v>
      </c>
      <c r="BF62" s="2">
        <v>7.149564986855049E-2</v>
      </c>
      <c r="BG62" s="2">
        <v>0.10368571810536763</v>
      </c>
      <c r="BH62" s="2">
        <v>8.4970330952544637E-2</v>
      </c>
      <c r="BI62" s="2">
        <v>8.4593878877262704E-2</v>
      </c>
      <c r="BJ62" s="2">
        <v>5.7447105462779965E-2</v>
      </c>
      <c r="BK62" s="2">
        <v>8.5153852345557474E-2</v>
      </c>
      <c r="BL62" s="2">
        <v>7.4158058913035174E-2</v>
      </c>
      <c r="BM62" s="2">
        <v>7.5718189192107169E-2</v>
      </c>
      <c r="BN62" s="2">
        <v>7.3955559365675619E-2</v>
      </c>
      <c r="BO62" s="2">
        <f>SUM(BC62:BN62)</f>
        <v>1.0014011787146229</v>
      </c>
    </row>
    <row r="63" spans="1:67" x14ac:dyDescent="0.25">
      <c r="A63" s="8">
        <v>3821</v>
      </c>
      <c r="B63" s="8" t="s">
        <v>931</v>
      </c>
      <c r="C63" s="5">
        <v>30000</v>
      </c>
      <c r="D63" s="5">
        <f>+$C63*BC63</f>
        <v>2675.4469784622675</v>
      </c>
      <c r="E63" s="5">
        <f>+$C63*BD63</f>
        <v>3199.5833650335594</v>
      </c>
      <c r="F63" s="5">
        <f>+$C63*BE63</f>
        <v>2831.6547254564293</v>
      </c>
      <c r="G63" s="5">
        <f>+$C63*BF63</f>
        <v>2144.8694960565149</v>
      </c>
      <c r="H63" s="5">
        <f>+$C63*BG63</f>
        <v>3110.5715431610288</v>
      </c>
      <c r="I63" s="5">
        <f>+$C63*BH63</f>
        <v>2549.1099285763389</v>
      </c>
      <c r="J63" s="5">
        <f>+$C63*BI63</f>
        <v>2537.8163663178811</v>
      </c>
      <c r="K63" s="5">
        <f>+$C63*BJ63</f>
        <v>1723.413163883399</v>
      </c>
      <c r="L63" s="5">
        <f>+$C63*BK63</f>
        <v>2554.6155703667241</v>
      </c>
      <c r="M63" s="5">
        <f>+$C63*BL63</f>
        <v>2224.7417673910554</v>
      </c>
      <c r="N63" s="5">
        <f>+$C63*BM63</f>
        <v>2271.5456757632151</v>
      </c>
      <c r="O63" s="5">
        <f>+$C63*BN63</f>
        <v>2218.6667809702685</v>
      </c>
      <c r="P63" s="5">
        <v>500</v>
      </c>
      <c r="Q63" s="5">
        <f>+$P63*BC63</f>
        <v>44.590782974371123</v>
      </c>
      <c r="R63" s="5">
        <f>+$P63*BD63</f>
        <v>53.32638941722599</v>
      </c>
      <c r="S63" s="5">
        <f>+$P63*BE63</f>
        <v>47.194245424273824</v>
      </c>
      <c r="T63" s="5">
        <f>+$P63*BF63</f>
        <v>35.747824934275243</v>
      </c>
      <c r="U63" s="5">
        <f>+$P63*BG63</f>
        <v>51.842859052683814</v>
      </c>
      <c r="V63" s="5">
        <f>+$P63*BH63</f>
        <v>42.485165476272321</v>
      </c>
      <c r="W63" s="5">
        <f>+$P63*BI63</f>
        <v>42.296939438631355</v>
      </c>
      <c r="X63" s="5">
        <f>+$P63*BJ63</f>
        <v>28.723552731389983</v>
      </c>
      <c r="Y63" s="5">
        <f>+$P63*BK63</f>
        <v>42.576926172778734</v>
      </c>
      <c r="Z63" s="5">
        <f>+$P63*BL63</f>
        <v>37.079029456517588</v>
      </c>
      <c r="AA63" s="5">
        <f>+$P63*BM63</f>
        <v>37.859094596053588</v>
      </c>
      <c r="AB63" s="5">
        <f>+$P63*BN63</f>
        <v>36.977779682837813</v>
      </c>
      <c r="AC63" s="5">
        <v>0</v>
      </c>
      <c r="AD63" s="5">
        <f>+$AC63*BC63</f>
        <v>0</v>
      </c>
      <c r="AE63" s="5">
        <f>+$AC63*BD63</f>
        <v>0</v>
      </c>
      <c r="AF63" s="5">
        <f>+$AC63*BE63</f>
        <v>0</v>
      </c>
      <c r="AG63" s="5">
        <f>+$AC63*BF63</f>
        <v>0</v>
      </c>
      <c r="AH63" s="5">
        <f>+$AC63*BG63</f>
        <v>0</v>
      </c>
      <c r="AI63" s="5">
        <f>+$AC63*BH63</f>
        <v>0</v>
      </c>
      <c r="AJ63" s="5">
        <f>+$AC63*BI63</f>
        <v>0</v>
      </c>
      <c r="AK63" s="5">
        <f>+$AC63*BJ63</f>
        <v>0</v>
      </c>
      <c r="AL63" s="5">
        <f>+$AC63*BK63</f>
        <v>0</v>
      </c>
      <c r="AM63" s="5">
        <f>+$AC63*BL63</f>
        <v>0</v>
      </c>
      <c r="AN63" s="5">
        <f>+$AC63*BM63</f>
        <v>0</v>
      </c>
      <c r="AO63" s="5">
        <f>+$AC63*BN63</f>
        <v>0</v>
      </c>
      <c r="AP63" s="5">
        <f>+AC63+P63+C63</f>
        <v>30500</v>
      </c>
      <c r="AQ63" s="1">
        <v>2675.4469784622675</v>
      </c>
      <c r="AR63" s="1">
        <v>3199.5833650335594</v>
      </c>
      <c r="AS63" s="1">
        <v>2831.6547254564293</v>
      </c>
      <c r="AT63" s="1">
        <v>2144.8694960565149</v>
      </c>
      <c r="AU63" s="1">
        <v>3110.5715431610288</v>
      </c>
      <c r="AV63" s="1">
        <v>2549.1099285763389</v>
      </c>
      <c r="AW63" s="1">
        <v>2537.8163663178811</v>
      </c>
      <c r="AX63" s="1">
        <v>1723.413163883399</v>
      </c>
      <c r="AY63" s="1">
        <v>2554.6155703667241</v>
      </c>
      <c r="AZ63" s="1">
        <v>2224.7417673910554</v>
      </c>
      <c r="BA63" s="1">
        <v>2271.5456757632151</v>
      </c>
      <c r="BB63" s="1">
        <v>2218.6667809702685</v>
      </c>
      <c r="BC63" s="2">
        <v>8.9181565948742242E-2</v>
      </c>
      <c r="BD63" s="2">
        <v>0.10665277883445198</v>
      </c>
      <c r="BE63" s="2">
        <v>9.438849084854764E-2</v>
      </c>
      <c r="BF63" s="2">
        <v>7.149564986855049E-2</v>
      </c>
      <c r="BG63" s="2">
        <v>0.10368571810536763</v>
      </c>
      <c r="BH63" s="2">
        <v>8.4970330952544637E-2</v>
      </c>
      <c r="BI63" s="2">
        <v>8.4593878877262704E-2</v>
      </c>
      <c r="BJ63" s="2">
        <v>5.7447105462779965E-2</v>
      </c>
      <c r="BK63" s="2">
        <v>8.5153852345557474E-2</v>
      </c>
      <c r="BL63" s="2">
        <v>7.4158058913035174E-2</v>
      </c>
      <c r="BM63" s="2">
        <v>7.5718189192107169E-2</v>
      </c>
      <c r="BN63" s="2">
        <v>7.3955559365675619E-2</v>
      </c>
      <c r="BO63" s="2">
        <f>SUM(BC63:BN63)</f>
        <v>1.0014011787146229</v>
      </c>
    </row>
    <row r="64" spans="1:67" x14ac:dyDescent="0.25">
      <c r="A64" s="8">
        <v>5029</v>
      </c>
      <c r="B64" s="8" t="s">
        <v>930</v>
      </c>
      <c r="C64" s="5">
        <v>0</v>
      </c>
      <c r="D64" s="5">
        <f>+$C64*BC64</f>
        <v>0</v>
      </c>
      <c r="E64" s="5">
        <f>+$C64*BD64</f>
        <v>0</v>
      </c>
      <c r="F64" s="5">
        <f>+$C64*BE64</f>
        <v>0</v>
      </c>
      <c r="G64" s="5">
        <f>+$C64*BF64</f>
        <v>0</v>
      </c>
      <c r="H64" s="5">
        <f>+$C64*BG64</f>
        <v>0</v>
      </c>
      <c r="I64" s="5">
        <f>+$C64*BH64</f>
        <v>0</v>
      </c>
      <c r="J64" s="5">
        <f>+$C64*BI64</f>
        <v>0</v>
      </c>
      <c r="K64" s="5">
        <f>+$C64*BJ64</f>
        <v>0</v>
      </c>
      <c r="L64" s="5">
        <f>+$C64*BK64</f>
        <v>0</v>
      </c>
      <c r="M64" s="5">
        <f>+$C64*BL64</f>
        <v>0</v>
      </c>
      <c r="N64" s="5">
        <f>+$C64*BM64</f>
        <v>0</v>
      </c>
      <c r="O64" s="5">
        <f>+$C64*BN64</f>
        <v>0</v>
      </c>
      <c r="P64" s="5">
        <v>0</v>
      </c>
      <c r="Q64" s="5">
        <f>+$P64*BC64</f>
        <v>0</v>
      </c>
      <c r="R64" s="5">
        <f>+$P64*BD64</f>
        <v>0</v>
      </c>
      <c r="S64" s="5">
        <f>+$P64*BE64</f>
        <v>0</v>
      </c>
      <c r="T64" s="5">
        <f>+$P64*BF64</f>
        <v>0</v>
      </c>
      <c r="U64" s="5">
        <f>+$P64*BG64</f>
        <v>0</v>
      </c>
      <c r="V64" s="5">
        <f>+$P64*BH64</f>
        <v>0</v>
      </c>
      <c r="W64" s="5">
        <f>+$P64*BI64</f>
        <v>0</v>
      </c>
      <c r="X64" s="5">
        <f>+$P64*BJ64</f>
        <v>0</v>
      </c>
      <c r="Y64" s="5">
        <f>+$P64*BK64</f>
        <v>0</v>
      </c>
      <c r="Z64" s="5">
        <f>+$P64*BL64</f>
        <v>0</v>
      </c>
      <c r="AA64" s="5">
        <f>+$P64*BM64</f>
        <v>0</v>
      </c>
      <c r="AB64" s="5">
        <f>+$P64*BN64</f>
        <v>0</v>
      </c>
      <c r="AC64" s="5">
        <v>0</v>
      </c>
      <c r="AD64" s="5">
        <f>+$AC64*BC64</f>
        <v>0</v>
      </c>
      <c r="AE64" s="5">
        <f>+$AC64*BD64</f>
        <v>0</v>
      </c>
      <c r="AF64" s="5">
        <f>+$AC64*BE64</f>
        <v>0</v>
      </c>
      <c r="AG64" s="5">
        <f>+$AC64*BF64</f>
        <v>0</v>
      </c>
      <c r="AH64" s="5">
        <f>+$AC64*BG64</f>
        <v>0</v>
      </c>
      <c r="AI64" s="5">
        <f>+$AC64*BH64</f>
        <v>0</v>
      </c>
      <c r="AJ64" s="5">
        <f>+$AC64*BI64</f>
        <v>0</v>
      </c>
      <c r="AK64" s="5">
        <f>+$AC64*BJ64</f>
        <v>0</v>
      </c>
      <c r="AL64" s="5">
        <f>+$AC64*BK64</f>
        <v>0</v>
      </c>
      <c r="AM64" s="5">
        <f>+$AC64*BL64</f>
        <v>0</v>
      </c>
      <c r="AN64" s="5">
        <f>+$AC64*BM64</f>
        <v>0</v>
      </c>
      <c r="AO64" s="5">
        <f>+$AC64*BN64</f>
        <v>0</v>
      </c>
      <c r="AP64" s="5">
        <f>+AC64+P64+C64</f>
        <v>0</v>
      </c>
      <c r="AQ64" s="1">
        <v>2675.4469784622675</v>
      </c>
      <c r="AR64" s="1">
        <v>3199.5833650335594</v>
      </c>
      <c r="AS64" s="1">
        <v>2831.6547254564293</v>
      </c>
      <c r="AT64" s="1">
        <v>2144.8694960565149</v>
      </c>
      <c r="AU64" s="1">
        <v>3110.5715431610288</v>
      </c>
      <c r="AV64" s="1">
        <v>2549.1099285763389</v>
      </c>
      <c r="AW64" s="1">
        <v>2537.8163663178811</v>
      </c>
      <c r="AX64" s="1">
        <v>1723.413163883399</v>
      </c>
      <c r="AY64" s="1">
        <v>2554.6155703667241</v>
      </c>
      <c r="AZ64" s="1">
        <v>2224.7417673910554</v>
      </c>
      <c r="BA64" s="1">
        <v>2271.5456757632151</v>
      </c>
      <c r="BB64" s="1">
        <v>2218.6667809702685</v>
      </c>
      <c r="BC64" s="2">
        <v>8.9181565948742242E-2</v>
      </c>
      <c r="BD64" s="2">
        <v>0.10665277883445198</v>
      </c>
      <c r="BE64" s="2">
        <v>9.438849084854764E-2</v>
      </c>
      <c r="BF64" s="2">
        <v>7.149564986855049E-2</v>
      </c>
      <c r="BG64" s="2">
        <v>0.10368571810536763</v>
      </c>
      <c r="BH64" s="2">
        <v>8.4970330952544637E-2</v>
      </c>
      <c r="BI64" s="2">
        <v>8.4593878877262704E-2</v>
      </c>
      <c r="BJ64" s="2">
        <v>5.7447105462779965E-2</v>
      </c>
      <c r="BK64" s="2">
        <v>8.5153852345557474E-2</v>
      </c>
      <c r="BL64" s="2">
        <v>7.4158058913035174E-2</v>
      </c>
      <c r="BM64" s="2">
        <v>7.5718189192107169E-2</v>
      </c>
      <c r="BN64" s="2">
        <v>7.3955559365675619E-2</v>
      </c>
      <c r="BO64" s="2">
        <f>SUM(BC64:BN64)</f>
        <v>1.0014011787146229</v>
      </c>
    </row>
    <row r="65" spans="1:67" x14ac:dyDescent="0.25">
      <c r="A65" s="8">
        <v>11410</v>
      </c>
      <c r="B65" s="8" t="s">
        <v>929</v>
      </c>
      <c r="C65" s="5">
        <v>0</v>
      </c>
      <c r="D65" s="5">
        <f>+$C65*BC65</f>
        <v>0</v>
      </c>
      <c r="E65" s="5">
        <f>+$C65*BD65</f>
        <v>0</v>
      </c>
      <c r="F65" s="5">
        <f>+$C65*BE65</f>
        <v>0</v>
      </c>
      <c r="G65" s="5">
        <f>+$C65*BF65</f>
        <v>0</v>
      </c>
      <c r="H65" s="5">
        <f>+$C65*BG65</f>
        <v>0</v>
      </c>
      <c r="I65" s="5">
        <f>+$C65*BH65</f>
        <v>0</v>
      </c>
      <c r="J65" s="5">
        <f>+$C65*BI65</f>
        <v>0</v>
      </c>
      <c r="K65" s="5">
        <f>+$C65*BJ65</f>
        <v>0</v>
      </c>
      <c r="L65" s="5">
        <f>+$C65*BK65</f>
        <v>0</v>
      </c>
      <c r="M65" s="5">
        <f>+$C65*BL65</f>
        <v>0</v>
      </c>
      <c r="N65" s="5">
        <f>+$C65*BM65</f>
        <v>0</v>
      </c>
      <c r="O65" s="5">
        <f>+$C65*BN65</f>
        <v>0</v>
      </c>
      <c r="P65" s="5">
        <v>30000</v>
      </c>
      <c r="Q65" s="5">
        <f>+$P65*BC65</f>
        <v>2675.4469784622675</v>
      </c>
      <c r="R65" s="5">
        <f>+$P65*BD65</f>
        <v>3199.5833650335594</v>
      </c>
      <c r="S65" s="5">
        <f>+$P65*BE65</f>
        <v>2831.6547254564293</v>
      </c>
      <c r="T65" s="5">
        <f>+$P65*BF65</f>
        <v>2144.8694960565149</v>
      </c>
      <c r="U65" s="5">
        <f>+$P65*BG65</f>
        <v>3110.5715431610288</v>
      </c>
      <c r="V65" s="5">
        <f>+$P65*BH65</f>
        <v>2549.1099285763389</v>
      </c>
      <c r="W65" s="5">
        <f>+$P65*BI65</f>
        <v>2537.8163663178811</v>
      </c>
      <c r="X65" s="5">
        <f>+$P65*BJ65</f>
        <v>1723.413163883399</v>
      </c>
      <c r="Y65" s="5">
        <f>+$P65*BK65</f>
        <v>2554.6155703667241</v>
      </c>
      <c r="Z65" s="5">
        <f>+$P65*BL65</f>
        <v>2224.7417673910554</v>
      </c>
      <c r="AA65" s="5">
        <f>+$P65*BM65</f>
        <v>2271.5456757632151</v>
      </c>
      <c r="AB65" s="5">
        <f>+$P65*BN65</f>
        <v>2218.6667809702685</v>
      </c>
      <c r="AC65" s="5">
        <v>0</v>
      </c>
      <c r="AD65" s="5">
        <f>+$AC65*BC65</f>
        <v>0</v>
      </c>
      <c r="AE65" s="5">
        <f>+$AC65*BD65</f>
        <v>0</v>
      </c>
      <c r="AF65" s="5">
        <f>+$AC65*BE65</f>
        <v>0</v>
      </c>
      <c r="AG65" s="5">
        <f>+$AC65*BF65</f>
        <v>0</v>
      </c>
      <c r="AH65" s="5">
        <f>+$AC65*BG65</f>
        <v>0</v>
      </c>
      <c r="AI65" s="5">
        <f>+$AC65*BH65</f>
        <v>0</v>
      </c>
      <c r="AJ65" s="5">
        <f>+$AC65*BI65</f>
        <v>0</v>
      </c>
      <c r="AK65" s="5">
        <f>+$AC65*BJ65</f>
        <v>0</v>
      </c>
      <c r="AL65" s="5">
        <f>+$AC65*BK65</f>
        <v>0</v>
      </c>
      <c r="AM65" s="5">
        <f>+$AC65*BL65</f>
        <v>0</v>
      </c>
      <c r="AN65" s="5">
        <f>+$AC65*BM65</f>
        <v>0</v>
      </c>
      <c r="AO65" s="5">
        <f>+$AC65*BN65</f>
        <v>0</v>
      </c>
      <c r="AP65" s="5">
        <f>+AC65+P65+C65</f>
        <v>30000</v>
      </c>
      <c r="AQ65" s="1">
        <v>2675.4469784622675</v>
      </c>
      <c r="AR65" s="1">
        <v>3199.5833650335594</v>
      </c>
      <c r="AS65" s="1">
        <v>2831.6547254564293</v>
      </c>
      <c r="AT65" s="1">
        <v>2144.8694960565149</v>
      </c>
      <c r="AU65" s="1">
        <v>3110.5715431610288</v>
      </c>
      <c r="AV65" s="1">
        <v>2549.1099285763389</v>
      </c>
      <c r="AW65" s="1">
        <v>2537.8163663178811</v>
      </c>
      <c r="AX65" s="1">
        <v>1723.413163883399</v>
      </c>
      <c r="AY65" s="1">
        <v>2554.6155703667241</v>
      </c>
      <c r="AZ65" s="1">
        <v>2224.7417673910554</v>
      </c>
      <c r="BA65" s="1">
        <v>2271.5456757632151</v>
      </c>
      <c r="BB65" s="1">
        <v>2218.6667809702685</v>
      </c>
      <c r="BC65" s="2">
        <v>8.9181565948742242E-2</v>
      </c>
      <c r="BD65" s="2">
        <v>0.10665277883445198</v>
      </c>
      <c r="BE65" s="2">
        <v>9.438849084854764E-2</v>
      </c>
      <c r="BF65" s="2">
        <v>7.149564986855049E-2</v>
      </c>
      <c r="BG65" s="2">
        <v>0.10368571810536763</v>
      </c>
      <c r="BH65" s="2">
        <v>8.4970330952544637E-2</v>
      </c>
      <c r="BI65" s="2">
        <v>8.4593878877262704E-2</v>
      </c>
      <c r="BJ65" s="2">
        <v>5.7447105462779965E-2</v>
      </c>
      <c r="BK65" s="2">
        <v>8.5153852345557474E-2</v>
      </c>
      <c r="BL65" s="2">
        <v>7.4158058913035174E-2</v>
      </c>
      <c r="BM65" s="2">
        <v>7.5718189192107169E-2</v>
      </c>
      <c r="BN65" s="2">
        <v>7.3955559365675619E-2</v>
      </c>
      <c r="BO65" s="2">
        <f>SUM(BC65:BN65)</f>
        <v>1.0014011787146229</v>
      </c>
    </row>
    <row r="66" spans="1:67" x14ac:dyDescent="0.25">
      <c r="A66" s="8">
        <v>16814</v>
      </c>
      <c r="B66" s="8" t="s">
        <v>928</v>
      </c>
      <c r="C66" s="5">
        <v>0</v>
      </c>
      <c r="D66" s="5">
        <f>+$C66*BC66</f>
        <v>0</v>
      </c>
      <c r="E66" s="5">
        <f>+$C66*BD66</f>
        <v>0</v>
      </c>
      <c r="F66" s="5">
        <f>+$C66*BE66</f>
        <v>0</v>
      </c>
      <c r="G66" s="5">
        <f>+$C66*BF66</f>
        <v>0</v>
      </c>
      <c r="H66" s="5">
        <f>+$C66*BG66</f>
        <v>0</v>
      </c>
      <c r="I66" s="5">
        <f>+$C66*BH66</f>
        <v>0</v>
      </c>
      <c r="J66" s="5">
        <f>+$C66*BI66</f>
        <v>0</v>
      </c>
      <c r="K66" s="5">
        <f>+$C66*BJ66</f>
        <v>0</v>
      </c>
      <c r="L66" s="5">
        <f>+$C66*BK66</f>
        <v>0</v>
      </c>
      <c r="M66" s="5">
        <f>+$C66*BL66</f>
        <v>0</v>
      </c>
      <c r="N66" s="5">
        <f>+$C66*BM66</f>
        <v>0</v>
      </c>
      <c r="O66" s="5">
        <f>+$C66*BN66</f>
        <v>0</v>
      </c>
      <c r="P66" s="5">
        <v>25000</v>
      </c>
      <c r="Q66" s="5">
        <f>+$P66*BC66</f>
        <v>2229.5391487185561</v>
      </c>
      <c r="R66" s="5">
        <f>+$P66*BD66</f>
        <v>2666.3194708612996</v>
      </c>
      <c r="S66" s="5">
        <f>+$P66*BE66</f>
        <v>2359.7122712136911</v>
      </c>
      <c r="T66" s="5">
        <f>+$P66*BF66</f>
        <v>1787.3912467137623</v>
      </c>
      <c r="U66" s="5">
        <f>+$P66*BG66</f>
        <v>2592.1429526341908</v>
      </c>
      <c r="V66" s="5">
        <f>+$P66*BH66</f>
        <v>2124.2582738136161</v>
      </c>
      <c r="W66" s="5">
        <f>+$P66*BI66</f>
        <v>2114.8469719315676</v>
      </c>
      <c r="X66" s="5">
        <f>+$P66*BJ66</f>
        <v>1436.1776365694991</v>
      </c>
      <c r="Y66" s="5">
        <f>+$P66*BK66</f>
        <v>2128.846308638937</v>
      </c>
      <c r="Z66" s="5">
        <f>+$P66*BL66</f>
        <v>1853.9514728258794</v>
      </c>
      <c r="AA66" s="5">
        <f>+$P66*BM66</f>
        <v>1892.9547298026791</v>
      </c>
      <c r="AB66" s="5">
        <f>+$P66*BN66</f>
        <v>1848.8889841418904</v>
      </c>
      <c r="AC66" s="5">
        <v>0</v>
      </c>
      <c r="AD66" s="5">
        <f>+$AC66*BC66</f>
        <v>0</v>
      </c>
      <c r="AE66" s="5">
        <f>+$AC66*BD66</f>
        <v>0</v>
      </c>
      <c r="AF66" s="5">
        <f>+$AC66*BE66</f>
        <v>0</v>
      </c>
      <c r="AG66" s="5">
        <f>+$AC66*BF66</f>
        <v>0</v>
      </c>
      <c r="AH66" s="5">
        <f>+$AC66*BG66</f>
        <v>0</v>
      </c>
      <c r="AI66" s="5">
        <f>+$AC66*BH66</f>
        <v>0</v>
      </c>
      <c r="AJ66" s="5">
        <f>+$AC66*BI66</f>
        <v>0</v>
      </c>
      <c r="AK66" s="5">
        <f>+$AC66*BJ66</f>
        <v>0</v>
      </c>
      <c r="AL66" s="5">
        <f>+$AC66*BK66</f>
        <v>0</v>
      </c>
      <c r="AM66" s="5">
        <f>+$AC66*BL66</f>
        <v>0</v>
      </c>
      <c r="AN66" s="5">
        <f>+$AC66*BM66</f>
        <v>0</v>
      </c>
      <c r="AO66" s="5">
        <f>+$AC66*BN66</f>
        <v>0</v>
      </c>
      <c r="AP66" s="5">
        <f>+AC66+P66+C66</f>
        <v>25000</v>
      </c>
      <c r="AQ66" s="1">
        <v>2675.4469784622675</v>
      </c>
      <c r="AR66" s="1">
        <v>3199.5833650335594</v>
      </c>
      <c r="AS66" s="1">
        <v>2831.6547254564293</v>
      </c>
      <c r="AT66" s="1">
        <v>2144.8694960565149</v>
      </c>
      <c r="AU66" s="1">
        <v>3110.5715431610288</v>
      </c>
      <c r="AV66" s="1">
        <v>2549.1099285763389</v>
      </c>
      <c r="AW66" s="1">
        <v>2537.8163663178811</v>
      </c>
      <c r="AX66" s="1">
        <v>1723.413163883399</v>
      </c>
      <c r="AY66" s="1">
        <v>2554.6155703667241</v>
      </c>
      <c r="AZ66" s="1">
        <v>2224.7417673910554</v>
      </c>
      <c r="BA66" s="1">
        <v>2271.5456757632151</v>
      </c>
      <c r="BB66" s="1">
        <v>2218.6667809702685</v>
      </c>
      <c r="BC66" s="2">
        <v>8.9181565948742242E-2</v>
      </c>
      <c r="BD66" s="2">
        <v>0.10665277883445198</v>
      </c>
      <c r="BE66" s="2">
        <v>9.438849084854764E-2</v>
      </c>
      <c r="BF66" s="2">
        <v>7.149564986855049E-2</v>
      </c>
      <c r="BG66" s="2">
        <v>0.10368571810536763</v>
      </c>
      <c r="BH66" s="2">
        <v>8.4970330952544637E-2</v>
      </c>
      <c r="BI66" s="2">
        <v>8.4593878877262704E-2</v>
      </c>
      <c r="BJ66" s="2">
        <v>5.7447105462779965E-2</v>
      </c>
      <c r="BK66" s="2">
        <v>8.5153852345557474E-2</v>
      </c>
      <c r="BL66" s="2">
        <v>7.4158058913035174E-2</v>
      </c>
      <c r="BM66" s="2">
        <v>7.5718189192107169E-2</v>
      </c>
      <c r="BN66" s="2">
        <v>7.3955559365675619E-2</v>
      </c>
      <c r="BO66" s="2">
        <f>SUM(BC66:BN66)</f>
        <v>1.0014011787146229</v>
      </c>
    </row>
    <row r="67" spans="1:67" x14ac:dyDescent="0.25">
      <c r="A67" s="8">
        <v>17323</v>
      </c>
      <c r="B67" s="8" t="s">
        <v>927</v>
      </c>
      <c r="C67" s="5">
        <v>30000</v>
      </c>
      <c r="D67" s="5">
        <f>+$C67*BC67</f>
        <v>2675.4469784622675</v>
      </c>
      <c r="E67" s="5">
        <f>+$C67*BD67</f>
        <v>3199.5833650335594</v>
      </c>
      <c r="F67" s="5">
        <f>+$C67*BE67</f>
        <v>2831.6547254564293</v>
      </c>
      <c r="G67" s="5">
        <f>+$C67*BF67</f>
        <v>2144.8694960565149</v>
      </c>
      <c r="H67" s="5">
        <f>+$C67*BG67</f>
        <v>3110.5715431610288</v>
      </c>
      <c r="I67" s="5">
        <f>+$C67*BH67</f>
        <v>2549.1099285763389</v>
      </c>
      <c r="J67" s="5">
        <f>+$C67*BI67</f>
        <v>2537.8163663178811</v>
      </c>
      <c r="K67" s="5">
        <f>+$C67*BJ67</f>
        <v>1723.413163883399</v>
      </c>
      <c r="L67" s="5">
        <f>+$C67*BK67</f>
        <v>2554.6155703667241</v>
      </c>
      <c r="M67" s="5">
        <f>+$C67*BL67</f>
        <v>2224.7417673910554</v>
      </c>
      <c r="N67" s="5">
        <f>+$C67*BM67</f>
        <v>2271.5456757632151</v>
      </c>
      <c r="O67" s="5">
        <f>+$C67*BN67</f>
        <v>2218.6667809702685</v>
      </c>
      <c r="P67" s="5">
        <v>0</v>
      </c>
      <c r="Q67" s="5">
        <f>+$P67*BC67</f>
        <v>0</v>
      </c>
      <c r="R67" s="5">
        <f>+$P67*BD67</f>
        <v>0</v>
      </c>
      <c r="S67" s="5">
        <f>+$P67*BE67</f>
        <v>0</v>
      </c>
      <c r="T67" s="5">
        <f>+$P67*BF67</f>
        <v>0</v>
      </c>
      <c r="U67" s="5">
        <f>+$P67*BG67</f>
        <v>0</v>
      </c>
      <c r="V67" s="5">
        <f>+$P67*BH67</f>
        <v>0</v>
      </c>
      <c r="W67" s="5">
        <f>+$P67*BI67</f>
        <v>0</v>
      </c>
      <c r="X67" s="5">
        <f>+$P67*BJ67</f>
        <v>0</v>
      </c>
      <c r="Y67" s="5">
        <f>+$P67*BK67</f>
        <v>0</v>
      </c>
      <c r="Z67" s="5">
        <f>+$P67*BL67</f>
        <v>0</v>
      </c>
      <c r="AA67" s="5">
        <f>+$P67*BM67</f>
        <v>0</v>
      </c>
      <c r="AB67" s="5">
        <f>+$P67*BN67</f>
        <v>0</v>
      </c>
      <c r="AC67" s="5">
        <v>0</v>
      </c>
      <c r="AD67" s="5">
        <f>+$AC67*BC67</f>
        <v>0</v>
      </c>
      <c r="AE67" s="5">
        <f>+$AC67*BD67</f>
        <v>0</v>
      </c>
      <c r="AF67" s="5">
        <f>+$AC67*BE67</f>
        <v>0</v>
      </c>
      <c r="AG67" s="5">
        <f>+$AC67*BF67</f>
        <v>0</v>
      </c>
      <c r="AH67" s="5">
        <f>+$AC67*BG67</f>
        <v>0</v>
      </c>
      <c r="AI67" s="5">
        <f>+$AC67*BH67</f>
        <v>0</v>
      </c>
      <c r="AJ67" s="5">
        <f>+$AC67*BI67</f>
        <v>0</v>
      </c>
      <c r="AK67" s="5">
        <f>+$AC67*BJ67</f>
        <v>0</v>
      </c>
      <c r="AL67" s="5">
        <f>+$AC67*BK67</f>
        <v>0</v>
      </c>
      <c r="AM67" s="5">
        <f>+$AC67*BL67</f>
        <v>0</v>
      </c>
      <c r="AN67" s="5">
        <f>+$AC67*BM67</f>
        <v>0</v>
      </c>
      <c r="AO67" s="5">
        <f>+$AC67*BN67</f>
        <v>0</v>
      </c>
      <c r="AP67" s="5">
        <f>+AC67+P67+C67</f>
        <v>30000</v>
      </c>
      <c r="AQ67" s="1">
        <v>2675.4469784622675</v>
      </c>
      <c r="AR67" s="1">
        <v>3199.5833650335594</v>
      </c>
      <c r="AS67" s="1">
        <v>2831.6547254564293</v>
      </c>
      <c r="AT67" s="1">
        <v>2144.8694960565149</v>
      </c>
      <c r="AU67" s="1">
        <v>3110.5715431610288</v>
      </c>
      <c r="AV67" s="1">
        <v>2549.1099285763389</v>
      </c>
      <c r="AW67" s="1">
        <v>2537.8163663178811</v>
      </c>
      <c r="AX67" s="1">
        <v>1723.413163883399</v>
      </c>
      <c r="AY67" s="1">
        <v>2554.6155703667241</v>
      </c>
      <c r="AZ67" s="1">
        <v>2224.7417673910554</v>
      </c>
      <c r="BA67" s="1">
        <v>2271.5456757632151</v>
      </c>
      <c r="BB67" s="1">
        <v>2218.6667809702685</v>
      </c>
      <c r="BC67" s="2">
        <v>8.9181565948742242E-2</v>
      </c>
      <c r="BD67" s="2">
        <v>0.10665277883445198</v>
      </c>
      <c r="BE67" s="2">
        <v>9.438849084854764E-2</v>
      </c>
      <c r="BF67" s="2">
        <v>7.149564986855049E-2</v>
      </c>
      <c r="BG67" s="2">
        <v>0.10368571810536763</v>
      </c>
      <c r="BH67" s="2">
        <v>8.4970330952544637E-2</v>
      </c>
      <c r="BI67" s="2">
        <v>8.4593878877262704E-2</v>
      </c>
      <c r="BJ67" s="2">
        <v>5.7447105462779965E-2</v>
      </c>
      <c r="BK67" s="2">
        <v>8.5153852345557474E-2</v>
      </c>
      <c r="BL67" s="2">
        <v>7.4158058913035174E-2</v>
      </c>
      <c r="BM67" s="2">
        <v>7.5718189192107169E-2</v>
      </c>
      <c r="BN67" s="2">
        <v>7.3955559365675619E-2</v>
      </c>
      <c r="BO67" s="2">
        <f>SUM(BC67:BN67)</f>
        <v>1.0014011787146229</v>
      </c>
    </row>
    <row r="68" spans="1:67" x14ac:dyDescent="0.25">
      <c r="A68" s="8">
        <v>31012</v>
      </c>
      <c r="B68" s="8" t="s">
        <v>926</v>
      </c>
      <c r="C68" s="5">
        <v>0</v>
      </c>
      <c r="D68" s="5">
        <f>+$C68*BC68</f>
        <v>0</v>
      </c>
      <c r="E68" s="5">
        <f>+$C68*BD68</f>
        <v>0</v>
      </c>
      <c r="F68" s="5">
        <f>+$C68*BE68</f>
        <v>0</v>
      </c>
      <c r="G68" s="5">
        <f>+$C68*BF68</f>
        <v>0</v>
      </c>
      <c r="H68" s="5">
        <f>+$C68*BG68</f>
        <v>0</v>
      </c>
      <c r="I68" s="5">
        <f>+$C68*BH68</f>
        <v>0</v>
      </c>
      <c r="J68" s="5">
        <f>+$C68*BI68</f>
        <v>0</v>
      </c>
      <c r="K68" s="5">
        <f>+$C68*BJ68</f>
        <v>0</v>
      </c>
      <c r="L68" s="5">
        <f>+$C68*BK68</f>
        <v>0</v>
      </c>
      <c r="M68" s="5">
        <f>+$C68*BL68</f>
        <v>0</v>
      </c>
      <c r="N68" s="5">
        <f>+$C68*BM68</f>
        <v>0</v>
      </c>
      <c r="O68" s="5">
        <f>+$C68*BN68</f>
        <v>0</v>
      </c>
      <c r="P68" s="5">
        <v>55000</v>
      </c>
      <c r="Q68" s="5">
        <f>+$P68*BC68</f>
        <v>4904.9861271808231</v>
      </c>
      <c r="R68" s="5">
        <f>+$P68*BD68</f>
        <v>5865.902835894859</v>
      </c>
      <c r="S68" s="5">
        <f>+$P68*BE68</f>
        <v>5191.36699667012</v>
      </c>
      <c r="T68" s="5">
        <f>+$P68*BF68</f>
        <v>3932.2607427702769</v>
      </c>
      <c r="U68" s="5">
        <f>+$P68*BG68</f>
        <v>5702.7144957952196</v>
      </c>
      <c r="V68" s="5">
        <f>+$P68*BH68</f>
        <v>4673.3682023899546</v>
      </c>
      <c r="W68" s="5">
        <f>+$P68*BI68</f>
        <v>4652.6633382494483</v>
      </c>
      <c r="X68" s="5">
        <f>+$P68*BJ68</f>
        <v>3159.5908004528983</v>
      </c>
      <c r="Y68" s="5">
        <f>+$P68*BK68</f>
        <v>4683.4618790056611</v>
      </c>
      <c r="Z68" s="5">
        <f>+$P68*BL68</f>
        <v>4078.6932402169346</v>
      </c>
      <c r="AA68" s="5">
        <f>+$P68*BM68</f>
        <v>4164.5004055658947</v>
      </c>
      <c r="AB68" s="5">
        <f>+$P68*BN68</f>
        <v>4067.555765112159</v>
      </c>
      <c r="AC68" s="5">
        <v>0</v>
      </c>
      <c r="AD68" s="5">
        <f>+$AC68*BC68</f>
        <v>0</v>
      </c>
      <c r="AE68" s="5">
        <f>+$AC68*BD68</f>
        <v>0</v>
      </c>
      <c r="AF68" s="5">
        <f>+$AC68*BE68</f>
        <v>0</v>
      </c>
      <c r="AG68" s="5">
        <f>+$AC68*BF68</f>
        <v>0</v>
      </c>
      <c r="AH68" s="5">
        <f>+$AC68*BG68</f>
        <v>0</v>
      </c>
      <c r="AI68" s="5">
        <f>+$AC68*BH68</f>
        <v>0</v>
      </c>
      <c r="AJ68" s="5">
        <f>+$AC68*BI68</f>
        <v>0</v>
      </c>
      <c r="AK68" s="5">
        <f>+$AC68*BJ68</f>
        <v>0</v>
      </c>
      <c r="AL68" s="5">
        <f>+$AC68*BK68</f>
        <v>0</v>
      </c>
      <c r="AM68" s="5">
        <f>+$AC68*BL68</f>
        <v>0</v>
      </c>
      <c r="AN68" s="5">
        <f>+$AC68*BM68</f>
        <v>0</v>
      </c>
      <c r="AO68" s="5">
        <f>+$AC68*BN68</f>
        <v>0</v>
      </c>
      <c r="AP68" s="5">
        <f>+AC68+P68+C68</f>
        <v>55000</v>
      </c>
      <c r="AQ68" s="1">
        <v>2675.4469784622675</v>
      </c>
      <c r="AR68" s="1">
        <v>3199.5833650335594</v>
      </c>
      <c r="AS68" s="1">
        <v>2831.6547254564293</v>
      </c>
      <c r="AT68" s="1">
        <v>2144.8694960565149</v>
      </c>
      <c r="AU68" s="1">
        <v>3110.5715431610288</v>
      </c>
      <c r="AV68" s="1">
        <v>2549.1099285763389</v>
      </c>
      <c r="AW68" s="1">
        <v>2537.8163663178811</v>
      </c>
      <c r="AX68" s="1">
        <v>1723.413163883399</v>
      </c>
      <c r="AY68" s="1">
        <v>2554.6155703667241</v>
      </c>
      <c r="AZ68" s="1">
        <v>2224.7417673910554</v>
      </c>
      <c r="BA68" s="1">
        <v>2271.5456757632151</v>
      </c>
      <c r="BB68" s="1">
        <v>2218.6667809702685</v>
      </c>
      <c r="BC68" s="2">
        <v>8.9181565948742242E-2</v>
      </c>
      <c r="BD68" s="2">
        <v>0.10665277883445198</v>
      </c>
      <c r="BE68" s="2">
        <v>9.438849084854764E-2</v>
      </c>
      <c r="BF68" s="2">
        <v>7.149564986855049E-2</v>
      </c>
      <c r="BG68" s="2">
        <v>0.10368571810536763</v>
      </c>
      <c r="BH68" s="2">
        <v>8.4970330952544637E-2</v>
      </c>
      <c r="BI68" s="2">
        <v>8.4593878877262704E-2</v>
      </c>
      <c r="BJ68" s="2">
        <v>5.7447105462779965E-2</v>
      </c>
      <c r="BK68" s="2">
        <v>8.5153852345557474E-2</v>
      </c>
      <c r="BL68" s="2">
        <v>7.4158058913035174E-2</v>
      </c>
      <c r="BM68" s="2">
        <v>7.5718189192107169E-2</v>
      </c>
      <c r="BN68" s="2">
        <v>7.3955559365675619E-2</v>
      </c>
      <c r="BO68" s="2">
        <f>SUM(BC68:BN68)</f>
        <v>1.0014011787146229</v>
      </c>
    </row>
    <row r="69" spans="1:67" x14ac:dyDescent="0.25">
      <c r="A69" s="8">
        <v>2898</v>
      </c>
      <c r="B69" s="8" t="s">
        <v>925</v>
      </c>
      <c r="C69" s="5">
        <v>12000</v>
      </c>
      <c r="D69" s="5">
        <f>+$C69*BC69</f>
        <v>1070.1787913849068</v>
      </c>
      <c r="E69" s="5">
        <f>+$C69*BD69</f>
        <v>1279.8333460134238</v>
      </c>
      <c r="F69" s="5">
        <f>+$C69*BE69</f>
        <v>1132.6618901825716</v>
      </c>
      <c r="G69" s="5">
        <f>+$C69*BF69</f>
        <v>857.94779842260584</v>
      </c>
      <c r="H69" s="5">
        <f>+$C69*BG69</f>
        <v>1244.2286172644115</v>
      </c>
      <c r="I69" s="5">
        <f>+$C69*BH69</f>
        <v>1019.6439714305357</v>
      </c>
      <c r="J69" s="5">
        <f>+$C69*BI69</f>
        <v>1015.1265465271524</v>
      </c>
      <c r="K69" s="5">
        <f>+$C69*BJ69</f>
        <v>689.36526555335956</v>
      </c>
      <c r="L69" s="5">
        <f>+$C69*BK69</f>
        <v>1021.8462281466897</v>
      </c>
      <c r="M69" s="5">
        <f>+$C69*BL69</f>
        <v>889.89670695642212</v>
      </c>
      <c r="N69" s="5">
        <f>+$C69*BM69</f>
        <v>908.61827030528605</v>
      </c>
      <c r="O69" s="5">
        <f>+$C69*BN69</f>
        <v>887.46671238810745</v>
      </c>
      <c r="P69" s="5">
        <v>9000</v>
      </c>
      <c r="Q69" s="5">
        <f>+$P69*BC69</f>
        <v>802.63409353868019</v>
      </c>
      <c r="R69" s="5">
        <f>+$P69*BD69</f>
        <v>959.8750095100678</v>
      </c>
      <c r="S69" s="5">
        <f>+$P69*BE69</f>
        <v>849.49641763692875</v>
      </c>
      <c r="T69" s="5">
        <f>+$P69*BF69</f>
        <v>643.46084881695435</v>
      </c>
      <c r="U69" s="5">
        <f>+$P69*BG69</f>
        <v>933.17146294830866</v>
      </c>
      <c r="V69" s="5">
        <f>+$P69*BH69</f>
        <v>764.73297857290174</v>
      </c>
      <c r="W69" s="5">
        <f>+$P69*BI69</f>
        <v>761.34490989536437</v>
      </c>
      <c r="X69" s="5">
        <f>+$P69*BJ69</f>
        <v>517.02394916501964</v>
      </c>
      <c r="Y69" s="5">
        <f>+$P69*BK69</f>
        <v>766.38467111001728</v>
      </c>
      <c r="Z69" s="5">
        <f>+$P69*BL69</f>
        <v>667.42253021731653</v>
      </c>
      <c r="AA69" s="5">
        <f>+$P69*BM69</f>
        <v>681.46370272896456</v>
      </c>
      <c r="AB69" s="5">
        <f>+$P69*BN69</f>
        <v>665.60003429108053</v>
      </c>
      <c r="AC69" s="5">
        <v>0</v>
      </c>
      <c r="AD69" s="5">
        <f>+$AC69*BC69</f>
        <v>0</v>
      </c>
      <c r="AE69" s="5">
        <f>+$AC69*BD69</f>
        <v>0</v>
      </c>
      <c r="AF69" s="5">
        <f>+$AC69*BE69</f>
        <v>0</v>
      </c>
      <c r="AG69" s="5">
        <f>+$AC69*BF69</f>
        <v>0</v>
      </c>
      <c r="AH69" s="5">
        <f>+$AC69*BG69</f>
        <v>0</v>
      </c>
      <c r="AI69" s="5">
        <f>+$AC69*BH69</f>
        <v>0</v>
      </c>
      <c r="AJ69" s="5">
        <f>+$AC69*BI69</f>
        <v>0</v>
      </c>
      <c r="AK69" s="5">
        <f>+$AC69*BJ69</f>
        <v>0</v>
      </c>
      <c r="AL69" s="5">
        <f>+$AC69*BK69</f>
        <v>0</v>
      </c>
      <c r="AM69" s="5">
        <f>+$AC69*BL69</f>
        <v>0</v>
      </c>
      <c r="AN69" s="5">
        <f>+$AC69*BM69</f>
        <v>0</v>
      </c>
      <c r="AO69" s="5">
        <f>+$AC69*BN69</f>
        <v>0</v>
      </c>
      <c r="AP69" s="5">
        <f>+AC69+P69+C69</f>
        <v>21000</v>
      </c>
      <c r="AQ69" s="1">
        <v>2853.8101103597519</v>
      </c>
      <c r="AR69" s="1">
        <v>3412.8889227024633</v>
      </c>
      <c r="AS69" s="1">
        <v>3020.4317071535247</v>
      </c>
      <c r="AT69" s="1">
        <v>2287.8607957936156</v>
      </c>
      <c r="AU69" s="1">
        <v>3317.9429793717641</v>
      </c>
      <c r="AV69" s="1">
        <v>2719.0505904814286</v>
      </c>
      <c r="AW69" s="1">
        <v>2707.0041240724067</v>
      </c>
      <c r="AX69" s="1">
        <v>1838.3073748089589</v>
      </c>
      <c r="AY69" s="1">
        <v>2724.923275057839</v>
      </c>
      <c r="AZ69" s="1">
        <v>2373.0578852171257</v>
      </c>
      <c r="BA69" s="1">
        <v>2422.9820541474296</v>
      </c>
      <c r="BB69" s="1">
        <v>2366.57789970162</v>
      </c>
      <c r="BC69" s="2">
        <v>8.9181565948742242E-2</v>
      </c>
      <c r="BD69" s="2">
        <v>0.10665277883445198</v>
      </c>
      <c r="BE69" s="2">
        <v>9.438849084854764E-2</v>
      </c>
      <c r="BF69" s="2">
        <v>7.149564986855049E-2</v>
      </c>
      <c r="BG69" s="2">
        <v>0.10368571810536763</v>
      </c>
      <c r="BH69" s="2">
        <v>8.4970330952544637E-2</v>
      </c>
      <c r="BI69" s="2">
        <v>8.4593878877262704E-2</v>
      </c>
      <c r="BJ69" s="2">
        <v>5.7447105462779965E-2</v>
      </c>
      <c r="BK69" s="2">
        <v>8.5153852345557474E-2</v>
      </c>
      <c r="BL69" s="2">
        <v>7.4158058913035174E-2</v>
      </c>
      <c r="BM69" s="2">
        <v>7.5718189192107169E-2</v>
      </c>
      <c r="BN69" s="2">
        <v>7.3955559365675619E-2</v>
      </c>
      <c r="BO69" s="2">
        <f>SUM(BC69:BN69)</f>
        <v>1.0014011787146229</v>
      </c>
    </row>
    <row r="70" spans="1:67" x14ac:dyDescent="0.25">
      <c r="A70" s="8">
        <v>3705</v>
      </c>
      <c r="B70" s="8" t="s">
        <v>924</v>
      </c>
      <c r="C70" s="5">
        <v>28000</v>
      </c>
      <c r="D70" s="5">
        <f>+$C70*BC70</f>
        <v>2497.0838465647826</v>
      </c>
      <c r="E70" s="5">
        <f>+$C70*BD70</f>
        <v>2986.2778073646555</v>
      </c>
      <c r="F70" s="5">
        <f>+$C70*BE70</f>
        <v>2642.877743759334</v>
      </c>
      <c r="G70" s="5">
        <f>+$C70*BF70</f>
        <v>2001.8781963194137</v>
      </c>
      <c r="H70" s="5">
        <f>+$C70*BG70</f>
        <v>2903.2001069502935</v>
      </c>
      <c r="I70" s="5">
        <f>+$C70*BH70</f>
        <v>2379.1692666712497</v>
      </c>
      <c r="J70" s="5">
        <f>+$C70*BI70</f>
        <v>2368.6286085633556</v>
      </c>
      <c r="K70" s="5">
        <f>+$C70*BJ70</f>
        <v>1608.518952957839</v>
      </c>
      <c r="L70" s="5">
        <f>+$C70*BK70</f>
        <v>2384.3078656756093</v>
      </c>
      <c r="M70" s="5">
        <f>+$C70*BL70</f>
        <v>2076.4256495649847</v>
      </c>
      <c r="N70" s="5">
        <f>+$C70*BM70</f>
        <v>2120.1092973790005</v>
      </c>
      <c r="O70" s="5">
        <f>+$C70*BN70</f>
        <v>2070.7556622389175</v>
      </c>
      <c r="P70" s="5">
        <v>0</v>
      </c>
      <c r="Q70" s="5">
        <f>+$P70*BC70</f>
        <v>0</v>
      </c>
      <c r="R70" s="5">
        <f>+$P70*BD70</f>
        <v>0</v>
      </c>
      <c r="S70" s="5">
        <f>+$P70*BE70</f>
        <v>0</v>
      </c>
      <c r="T70" s="5">
        <f>+$P70*BF70</f>
        <v>0</v>
      </c>
      <c r="U70" s="5">
        <f>+$P70*BG70</f>
        <v>0</v>
      </c>
      <c r="V70" s="5">
        <f>+$P70*BH70</f>
        <v>0</v>
      </c>
      <c r="W70" s="5">
        <f>+$P70*BI70</f>
        <v>0</v>
      </c>
      <c r="X70" s="5">
        <f>+$P70*BJ70</f>
        <v>0</v>
      </c>
      <c r="Y70" s="5">
        <f>+$P70*BK70</f>
        <v>0</v>
      </c>
      <c r="Z70" s="5">
        <f>+$P70*BL70</f>
        <v>0</v>
      </c>
      <c r="AA70" s="5">
        <f>+$P70*BM70</f>
        <v>0</v>
      </c>
      <c r="AB70" s="5">
        <f>+$P70*BN70</f>
        <v>0</v>
      </c>
      <c r="AC70" s="5">
        <v>3500</v>
      </c>
      <c r="AD70" s="5">
        <f>+$AC70*BC70</f>
        <v>312.13548082059782</v>
      </c>
      <c r="AE70" s="5">
        <f>+$AC70*BD70</f>
        <v>373.28472592058193</v>
      </c>
      <c r="AF70" s="5">
        <f>+$AC70*BE70</f>
        <v>330.35971796991674</v>
      </c>
      <c r="AG70" s="5">
        <f>+$AC70*BF70</f>
        <v>250.23477453992672</v>
      </c>
      <c r="AH70" s="5">
        <f>+$AC70*BG70</f>
        <v>362.90001336878669</v>
      </c>
      <c r="AI70" s="5">
        <f>+$AC70*BH70</f>
        <v>297.39615833390621</v>
      </c>
      <c r="AJ70" s="5">
        <f>+$AC70*BI70</f>
        <v>296.07857607041944</v>
      </c>
      <c r="AK70" s="5">
        <f>+$AC70*BJ70</f>
        <v>201.06486911972988</v>
      </c>
      <c r="AL70" s="5">
        <f>+$AC70*BK70</f>
        <v>298.03848320945116</v>
      </c>
      <c r="AM70" s="5">
        <f>+$AC70*BL70</f>
        <v>259.55320619562309</v>
      </c>
      <c r="AN70" s="5">
        <f>+$AC70*BM70</f>
        <v>265.01366217237506</v>
      </c>
      <c r="AO70" s="5">
        <f>+$AC70*BN70</f>
        <v>258.84445777986468</v>
      </c>
      <c r="AP70" s="5">
        <f>+AC70+P70+C70</f>
        <v>31500</v>
      </c>
      <c r="AQ70" s="1">
        <v>2407.9022806160406</v>
      </c>
      <c r="AR70" s="1">
        <v>2879.6250285302035</v>
      </c>
      <c r="AS70" s="1">
        <v>2548.4892529107865</v>
      </c>
      <c r="AT70" s="1">
        <v>1930.3825464508632</v>
      </c>
      <c r="AU70" s="1">
        <v>2799.5143888449261</v>
      </c>
      <c r="AV70" s="1">
        <v>2294.1989357187053</v>
      </c>
      <c r="AW70" s="1">
        <v>2284.0347296860932</v>
      </c>
      <c r="AX70" s="1">
        <v>1551.071847495059</v>
      </c>
      <c r="AY70" s="1">
        <v>2299.1540133300518</v>
      </c>
      <c r="AZ70" s="1">
        <v>2002.2675906519496</v>
      </c>
      <c r="BA70" s="1">
        <v>2044.3911081868935</v>
      </c>
      <c r="BB70" s="1">
        <v>1996.8001028732417</v>
      </c>
      <c r="BC70" s="2">
        <v>8.9181565948742242E-2</v>
      </c>
      <c r="BD70" s="2">
        <v>0.10665277883445198</v>
      </c>
      <c r="BE70" s="2">
        <v>9.438849084854764E-2</v>
      </c>
      <c r="BF70" s="2">
        <v>7.149564986855049E-2</v>
      </c>
      <c r="BG70" s="2">
        <v>0.10368571810536763</v>
      </c>
      <c r="BH70" s="2">
        <v>8.4970330952544637E-2</v>
      </c>
      <c r="BI70" s="2">
        <v>8.4593878877262704E-2</v>
      </c>
      <c r="BJ70" s="2">
        <v>5.7447105462779965E-2</v>
      </c>
      <c r="BK70" s="2">
        <v>8.5153852345557474E-2</v>
      </c>
      <c r="BL70" s="2">
        <v>7.4158058913035174E-2</v>
      </c>
      <c r="BM70" s="2">
        <v>7.5718189192107169E-2</v>
      </c>
      <c r="BN70" s="2">
        <v>7.3955559365675619E-2</v>
      </c>
      <c r="BO70" s="2">
        <f>SUM(BC70:BN70)</f>
        <v>1.0014011787146229</v>
      </c>
    </row>
    <row r="71" spans="1:67" x14ac:dyDescent="0.25">
      <c r="A71" s="8">
        <v>2148</v>
      </c>
      <c r="B71" s="8" t="s">
        <v>923</v>
      </c>
      <c r="C71" s="5">
        <v>170000</v>
      </c>
      <c r="D71" s="5">
        <f>+$C71*BC71</f>
        <v>15160.86621128618</v>
      </c>
      <c r="E71" s="5">
        <f>+$C71*BD71</f>
        <v>18130.972401856838</v>
      </c>
      <c r="F71" s="5">
        <f>+$C71*BE71</f>
        <v>16046.043444253099</v>
      </c>
      <c r="G71" s="5">
        <f>+$C71*BF71</f>
        <v>12154.260477653583</v>
      </c>
      <c r="H71" s="5">
        <f>+$C71*BG71</f>
        <v>17626.572077912497</v>
      </c>
      <c r="I71" s="5">
        <f>+$C71*BH71</f>
        <v>14444.956261932588</v>
      </c>
      <c r="J71" s="5">
        <f>+$C71*BI71</f>
        <v>14380.959409134659</v>
      </c>
      <c r="K71" s="5">
        <f>+$C71*BJ71</f>
        <v>9766.0079286725941</v>
      </c>
      <c r="L71" s="5">
        <f>+$C71*BK71</f>
        <v>14476.154898744771</v>
      </c>
      <c r="M71" s="5">
        <f>+$C71*BL71</f>
        <v>12606.87001521598</v>
      </c>
      <c r="N71" s="5">
        <f>+$C71*BM71</f>
        <v>12872.092162658219</v>
      </c>
      <c r="O71" s="5">
        <f>+$C71*BN71</f>
        <v>12572.445092164855</v>
      </c>
      <c r="P71" s="5">
        <v>4500</v>
      </c>
      <c r="Q71" s="5">
        <f>+$P71*BC71</f>
        <v>401.3170467693401</v>
      </c>
      <c r="R71" s="5">
        <f>+$P71*BD71</f>
        <v>479.9375047550339</v>
      </c>
      <c r="S71" s="5">
        <f>+$P71*BE71</f>
        <v>424.74820881846438</v>
      </c>
      <c r="T71" s="5">
        <f>+$P71*BF71</f>
        <v>321.73042440847718</v>
      </c>
      <c r="U71" s="5">
        <f>+$P71*BG71</f>
        <v>466.58573147415433</v>
      </c>
      <c r="V71" s="5">
        <f>+$P71*BH71</f>
        <v>382.36648928645087</v>
      </c>
      <c r="W71" s="5">
        <f>+$P71*BI71</f>
        <v>380.67245494768218</v>
      </c>
      <c r="X71" s="5">
        <f>+$P71*BJ71</f>
        <v>258.51197458250982</v>
      </c>
      <c r="Y71" s="5">
        <f>+$P71*BK71</f>
        <v>383.19233555500864</v>
      </c>
      <c r="Z71" s="5">
        <f>+$P71*BL71</f>
        <v>333.71126510865827</v>
      </c>
      <c r="AA71" s="5">
        <f>+$P71*BM71</f>
        <v>340.73185136448228</v>
      </c>
      <c r="AB71" s="5">
        <f>+$P71*BN71</f>
        <v>332.80001714554027</v>
      </c>
      <c r="AC71" s="5">
        <v>0</v>
      </c>
      <c r="AD71" s="5">
        <f>+$AC71*BC71</f>
        <v>0</v>
      </c>
      <c r="AE71" s="5">
        <f>+$AC71*BD71</f>
        <v>0</v>
      </c>
      <c r="AF71" s="5">
        <f>+$AC71*BE71</f>
        <v>0</v>
      </c>
      <c r="AG71" s="5">
        <f>+$AC71*BF71</f>
        <v>0</v>
      </c>
      <c r="AH71" s="5">
        <f>+$AC71*BG71</f>
        <v>0</v>
      </c>
      <c r="AI71" s="5">
        <f>+$AC71*BH71</f>
        <v>0</v>
      </c>
      <c r="AJ71" s="5">
        <f>+$AC71*BI71</f>
        <v>0</v>
      </c>
      <c r="AK71" s="5">
        <f>+$AC71*BJ71</f>
        <v>0</v>
      </c>
      <c r="AL71" s="5">
        <f>+$AC71*BK71</f>
        <v>0</v>
      </c>
      <c r="AM71" s="5">
        <f>+$AC71*BL71</f>
        <v>0</v>
      </c>
      <c r="AN71" s="5">
        <f>+$AC71*BM71</f>
        <v>0</v>
      </c>
      <c r="AO71" s="5">
        <f>+$AC71*BN71</f>
        <v>0</v>
      </c>
      <c r="AP71" s="5">
        <f>+AC71+P71+C71</f>
        <v>174500</v>
      </c>
      <c r="AQ71" s="1">
        <v>2429.6401981344807</v>
      </c>
      <c r="AR71" s="1">
        <v>2905.6215367183222</v>
      </c>
      <c r="AS71" s="1">
        <v>2571.496353166629</v>
      </c>
      <c r="AT71" s="1">
        <v>1947.8095396106726</v>
      </c>
      <c r="AU71" s="1">
        <v>2824.7876789473912</v>
      </c>
      <c r="AV71" s="1">
        <v>2314.910368918057</v>
      </c>
      <c r="AW71" s="1">
        <v>2304.6544030685468</v>
      </c>
      <c r="AX71" s="1">
        <v>1565.0745220045062</v>
      </c>
      <c r="AY71" s="1">
        <v>2319.9101796854293</v>
      </c>
      <c r="AZ71" s="1">
        <v>2020.343543353943</v>
      </c>
      <c r="BA71" s="1">
        <v>2062.8473410842803</v>
      </c>
      <c r="BB71" s="1">
        <v>2014.8266965130658</v>
      </c>
      <c r="BC71" s="2">
        <v>8.9181565948742242E-2</v>
      </c>
      <c r="BD71" s="2">
        <v>0.10665277883445198</v>
      </c>
      <c r="BE71" s="2">
        <v>9.438849084854764E-2</v>
      </c>
      <c r="BF71" s="2">
        <v>7.149564986855049E-2</v>
      </c>
      <c r="BG71" s="2">
        <v>0.10368571810536763</v>
      </c>
      <c r="BH71" s="2">
        <v>8.4970330952544637E-2</v>
      </c>
      <c r="BI71" s="2">
        <v>8.4593878877262704E-2</v>
      </c>
      <c r="BJ71" s="2">
        <v>5.7447105462779965E-2</v>
      </c>
      <c r="BK71" s="2">
        <v>8.5153852345557474E-2</v>
      </c>
      <c r="BL71" s="2">
        <v>7.4158058913035174E-2</v>
      </c>
      <c r="BM71" s="2">
        <v>7.5718189192107169E-2</v>
      </c>
      <c r="BN71" s="2">
        <v>7.3955559365675619E-2</v>
      </c>
      <c r="BO71" s="2">
        <f>SUM(BC71:BN71)</f>
        <v>1.0014011787146229</v>
      </c>
    </row>
    <row r="72" spans="1:67" x14ac:dyDescent="0.25">
      <c r="A72" s="8">
        <v>2500</v>
      </c>
      <c r="B72" s="8" t="s">
        <v>567</v>
      </c>
      <c r="C72" s="5">
        <v>0</v>
      </c>
      <c r="D72" s="5">
        <f>+$C72*BC72</f>
        <v>0</v>
      </c>
      <c r="E72" s="5">
        <f>+$C72*BD72</f>
        <v>0</v>
      </c>
      <c r="F72" s="5">
        <f>+$C72*BE72</f>
        <v>0</v>
      </c>
      <c r="G72" s="5">
        <f>+$C72*BF72</f>
        <v>0</v>
      </c>
      <c r="H72" s="5">
        <f>+$C72*BG72</f>
        <v>0</v>
      </c>
      <c r="I72" s="5">
        <f>+$C72*BH72</f>
        <v>0</v>
      </c>
      <c r="J72" s="5">
        <f>+$C72*BI72</f>
        <v>0</v>
      </c>
      <c r="K72" s="5">
        <f>+$C72*BJ72</f>
        <v>0</v>
      </c>
      <c r="L72" s="5">
        <f>+$C72*BK72</f>
        <v>0</v>
      </c>
      <c r="M72" s="5">
        <f>+$C72*BL72</f>
        <v>0</v>
      </c>
      <c r="N72" s="5">
        <f>+$C72*BM72</f>
        <v>0</v>
      </c>
      <c r="O72" s="5">
        <f>+$C72*BN72</f>
        <v>0</v>
      </c>
      <c r="P72" s="5">
        <v>0</v>
      </c>
      <c r="Q72" s="5">
        <f>+$P72*BC72</f>
        <v>0</v>
      </c>
      <c r="R72" s="5">
        <f>+$P72*BD72</f>
        <v>0</v>
      </c>
      <c r="S72" s="5">
        <f>+$P72*BE72</f>
        <v>0</v>
      </c>
      <c r="T72" s="5">
        <f>+$P72*BF72</f>
        <v>0</v>
      </c>
      <c r="U72" s="5">
        <f>+$P72*BG72</f>
        <v>0</v>
      </c>
      <c r="V72" s="5">
        <f>+$P72*BH72</f>
        <v>0</v>
      </c>
      <c r="W72" s="5">
        <f>+$P72*BI72</f>
        <v>0</v>
      </c>
      <c r="X72" s="5">
        <f>+$P72*BJ72</f>
        <v>0</v>
      </c>
      <c r="Y72" s="5">
        <f>+$P72*BK72</f>
        <v>0</v>
      </c>
      <c r="Z72" s="5">
        <f>+$P72*BL72</f>
        <v>0</v>
      </c>
      <c r="AA72" s="5">
        <f>+$P72*BM72</f>
        <v>0</v>
      </c>
      <c r="AB72" s="5">
        <f>+$P72*BN72</f>
        <v>0</v>
      </c>
      <c r="AC72" s="5">
        <v>0</v>
      </c>
      <c r="AD72" s="5">
        <f>+$AC72*BC72</f>
        <v>0</v>
      </c>
      <c r="AE72" s="5">
        <f>+$AC72*BD72</f>
        <v>0</v>
      </c>
      <c r="AF72" s="5">
        <f>+$AC72*BE72</f>
        <v>0</v>
      </c>
      <c r="AG72" s="5">
        <f>+$AC72*BF72</f>
        <v>0</v>
      </c>
      <c r="AH72" s="5">
        <f>+$AC72*BG72</f>
        <v>0</v>
      </c>
      <c r="AI72" s="5">
        <f>+$AC72*BH72</f>
        <v>0</v>
      </c>
      <c r="AJ72" s="5">
        <f>+$AC72*BI72</f>
        <v>0</v>
      </c>
      <c r="AK72" s="5">
        <f>+$AC72*BJ72</f>
        <v>0</v>
      </c>
      <c r="AL72" s="5">
        <f>+$AC72*BK72</f>
        <v>0</v>
      </c>
      <c r="AM72" s="5">
        <f>+$AC72*BL72</f>
        <v>0</v>
      </c>
      <c r="AN72" s="5">
        <f>+$AC72*BM72</f>
        <v>0</v>
      </c>
      <c r="AO72" s="5">
        <f>+$AC72*BN72</f>
        <v>0</v>
      </c>
      <c r="AP72" s="5">
        <f>+AC72+P72+C72</f>
        <v>0</v>
      </c>
      <c r="AQ72" s="1">
        <v>2238.1670193162672</v>
      </c>
      <c r="AR72" s="1">
        <v>2676.6375939496384</v>
      </c>
      <c r="AS72" s="1">
        <v>2368.8438857608335</v>
      </c>
      <c r="AT72" s="1">
        <v>1794.3080933602951</v>
      </c>
      <c r="AU72" s="1">
        <v>2602.1740274322942</v>
      </c>
      <c r="AV72" s="1">
        <v>2132.4787284816198</v>
      </c>
      <c r="AW72" s="1">
        <v>2123.0310067435485</v>
      </c>
      <c r="AX72" s="1">
        <v>1441.7353567874957</v>
      </c>
      <c r="AY72" s="1">
        <v>2137.0845180841079</v>
      </c>
      <c r="AZ72" s="1">
        <v>1861.1258942354209</v>
      </c>
      <c r="BA72" s="1">
        <v>1900.2800860160696</v>
      </c>
      <c r="BB72" s="1">
        <v>1856.0438147327227</v>
      </c>
      <c r="BC72" s="2">
        <v>8.9181565948742242E-2</v>
      </c>
      <c r="BD72" s="2">
        <v>0.10665277883445198</v>
      </c>
      <c r="BE72" s="2">
        <v>9.438849084854764E-2</v>
      </c>
      <c r="BF72" s="2">
        <v>7.149564986855049E-2</v>
      </c>
      <c r="BG72" s="2">
        <v>0.10368571810536763</v>
      </c>
      <c r="BH72" s="2">
        <v>8.4970330952544637E-2</v>
      </c>
      <c r="BI72" s="2">
        <v>8.4593878877262704E-2</v>
      </c>
      <c r="BJ72" s="2">
        <v>5.7447105462779965E-2</v>
      </c>
      <c r="BK72" s="2">
        <v>8.5153852345557474E-2</v>
      </c>
      <c r="BL72" s="2">
        <v>7.4158058913035174E-2</v>
      </c>
      <c r="BM72" s="2">
        <v>7.5718189192107169E-2</v>
      </c>
      <c r="BN72" s="2">
        <v>7.3955559365675619E-2</v>
      </c>
      <c r="BO72" s="2">
        <f>SUM(BC72:BN72)</f>
        <v>1.0014011787146229</v>
      </c>
    </row>
    <row r="73" spans="1:67" x14ac:dyDescent="0.25">
      <c r="A73" s="8">
        <v>4881</v>
      </c>
      <c r="B73" s="8" t="s">
        <v>922</v>
      </c>
      <c r="C73" s="5">
        <v>25000</v>
      </c>
      <c r="D73" s="5">
        <f>+$C73*BC73</f>
        <v>2229.5391487185561</v>
      </c>
      <c r="E73" s="5">
        <f>+$C73*BD73</f>
        <v>2666.3194708612996</v>
      </c>
      <c r="F73" s="5">
        <f>+$C73*BE73</f>
        <v>2359.7122712136911</v>
      </c>
      <c r="G73" s="5">
        <f>+$C73*BF73</f>
        <v>1787.3912467137623</v>
      </c>
      <c r="H73" s="5">
        <f>+$C73*BG73</f>
        <v>2592.1429526341908</v>
      </c>
      <c r="I73" s="5">
        <f>+$C73*BH73</f>
        <v>2124.2582738136161</v>
      </c>
      <c r="J73" s="5">
        <f>+$C73*BI73</f>
        <v>2114.8469719315676</v>
      </c>
      <c r="K73" s="5">
        <f>+$C73*BJ73</f>
        <v>1436.1776365694991</v>
      </c>
      <c r="L73" s="5">
        <f>+$C73*BK73</f>
        <v>2128.846308638937</v>
      </c>
      <c r="M73" s="5">
        <f>+$C73*BL73</f>
        <v>1853.9514728258794</v>
      </c>
      <c r="N73" s="5">
        <f>+$C73*BM73</f>
        <v>1892.9547298026791</v>
      </c>
      <c r="O73" s="5">
        <f>+$C73*BN73</f>
        <v>1848.8889841418904</v>
      </c>
      <c r="P73" s="5">
        <v>0</v>
      </c>
      <c r="Q73" s="5">
        <f>+$P73*BC73</f>
        <v>0</v>
      </c>
      <c r="R73" s="5">
        <f>+$P73*BD73</f>
        <v>0</v>
      </c>
      <c r="S73" s="5">
        <f>+$P73*BE73</f>
        <v>0</v>
      </c>
      <c r="T73" s="5">
        <f>+$P73*BF73</f>
        <v>0</v>
      </c>
      <c r="U73" s="5">
        <f>+$P73*BG73</f>
        <v>0</v>
      </c>
      <c r="V73" s="5">
        <f>+$P73*BH73</f>
        <v>0</v>
      </c>
      <c r="W73" s="5">
        <f>+$P73*BI73</f>
        <v>0</v>
      </c>
      <c r="X73" s="5">
        <f>+$P73*BJ73</f>
        <v>0</v>
      </c>
      <c r="Y73" s="5">
        <f>+$P73*BK73</f>
        <v>0</v>
      </c>
      <c r="Z73" s="5">
        <f>+$P73*BL73</f>
        <v>0</v>
      </c>
      <c r="AA73" s="5">
        <f>+$P73*BM73</f>
        <v>0</v>
      </c>
      <c r="AB73" s="5">
        <f>+$P73*BN73</f>
        <v>0</v>
      </c>
      <c r="AC73" s="5">
        <v>8000</v>
      </c>
      <c r="AD73" s="5">
        <f>+$AC73*BC73</f>
        <v>713.45252758993797</v>
      </c>
      <c r="AE73" s="5">
        <f>+$AC73*BD73</f>
        <v>853.22223067561583</v>
      </c>
      <c r="AF73" s="5">
        <f>+$AC73*BE73</f>
        <v>755.10792678838118</v>
      </c>
      <c r="AG73" s="5">
        <f>+$AC73*BF73</f>
        <v>571.96519894840389</v>
      </c>
      <c r="AH73" s="5">
        <f>+$AC73*BG73</f>
        <v>829.48574484294102</v>
      </c>
      <c r="AI73" s="5">
        <f>+$AC73*BH73</f>
        <v>679.76264762035714</v>
      </c>
      <c r="AJ73" s="5">
        <f>+$AC73*BI73</f>
        <v>676.75103101810168</v>
      </c>
      <c r="AK73" s="5">
        <f>+$AC73*BJ73</f>
        <v>459.57684370223973</v>
      </c>
      <c r="AL73" s="5">
        <f>+$AC73*BK73</f>
        <v>681.23081876445974</v>
      </c>
      <c r="AM73" s="5">
        <f>+$AC73*BL73</f>
        <v>593.26447130428141</v>
      </c>
      <c r="AN73" s="5">
        <f>+$AC73*BM73</f>
        <v>605.7455135368574</v>
      </c>
      <c r="AO73" s="5">
        <f>+$AC73*BN73</f>
        <v>591.64447492540501</v>
      </c>
      <c r="AP73" s="5">
        <f>+AC73+P73+C73</f>
        <v>33000</v>
      </c>
      <c r="AQ73" s="1">
        <v>2229.5391487185561</v>
      </c>
      <c r="AR73" s="1">
        <v>2666.3194708612996</v>
      </c>
      <c r="AS73" s="1">
        <v>2359.7122712136911</v>
      </c>
      <c r="AT73" s="1">
        <v>1787.3912467137623</v>
      </c>
      <c r="AU73" s="1">
        <v>2592.1429526341908</v>
      </c>
      <c r="AV73" s="1">
        <v>2124.2582738136161</v>
      </c>
      <c r="AW73" s="1">
        <v>2114.8469719315676</v>
      </c>
      <c r="AX73" s="1">
        <v>1436.1776365694991</v>
      </c>
      <c r="AY73" s="1">
        <v>2128.846308638937</v>
      </c>
      <c r="AZ73" s="1">
        <v>1853.9514728258794</v>
      </c>
      <c r="BA73" s="1">
        <v>1892.9547298026791</v>
      </c>
      <c r="BB73" s="1">
        <v>1848.8889841418904</v>
      </c>
      <c r="BC73" s="2">
        <v>8.9181565948742242E-2</v>
      </c>
      <c r="BD73" s="2">
        <v>0.10665277883445198</v>
      </c>
      <c r="BE73" s="2">
        <v>9.438849084854764E-2</v>
      </c>
      <c r="BF73" s="2">
        <v>7.149564986855049E-2</v>
      </c>
      <c r="BG73" s="2">
        <v>0.10368571810536763</v>
      </c>
      <c r="BH73" s="2">
        <v>8.4970330952544637E-2</v>
      </c>
      <c r="BI73" s="2">
        <v>8.4593878877262704E-2</v>
      </c>
      <c r="BJ73" s="2">
        <v>5.7447105462779965E-2</v>
      </c>
      <c r="BK73" s="2">
        <v>8.5153852345557474E-2</v>
      </c>
      <c r="BL73" s="2">
        <v>7.4158058913035174E-2</v>
      </c>
      <c r="BM73" s="2">
        <v>7.5718189192107169E-2</v>
      </c>
      <c r="BN73" s="2">
        <v>7.3955559365675619E-2</v>
      </c>
      <c r="BO73" s="2">
        <f>SUM(BC73:BN73)</f>
        <v>1.0014011787146229</v>
      </c>
    </row>
    <row r="74" spans="1:67" x14ac:dyDescent="0.25">
      <c r="A74" s="8">
        <v>1693</v>
      </c>
      <c r="B74" s="8" t="s">
        <v>921</v>
      </c>
      <c r="C74" s="5">
        <v>10000</v>
      </c>
      <c r="D74" s="5">
        <f>+$C74*BC74</f>
        <v>891.81565948742241</v>
      </c>
      <c r="E74" s="5">
        <f>+$C74*BD74</f>
        <v>1066.5277883445199</v>
      </c>
      <c r="F74" s="5">
        <f>+$C74*BE74</f>
        <v>943.88490848547644</v>
      </c>
      <c r="G74" s="5">
        <f>+$C74*BF74</f>
        <v>714.95649868550493</v>
      </c>
      <c r="H74" s="5">
        <f>+$C74*BG74</f>
        <v>1036.8571810536762</v>
      </c>
      <c r="I74" s="5">
        <f>+$C74*BH74</f>
        <v>849.70330952544634</v>
      </c>
      <c r="J74" s="5">
        <f>+$C74*BI74</f>
        <v>845.93878877262705</v>
      </c>
      <c r="K74" s="5">
        <f>+$C74*BJ74</f>
        <v>574.47105462779962</v>
      </c>
      <c r="L74" s="5">
        <f>+$C74*BK74</f>
        <v>851.5385234555747</v>
      </c>
      <c r="M74" s="5">
        <f>+$C74*BL74</f>
        <v>741.58058913035177</v>
      </c>
      <c r="N74" s="5">
        <f>+$C74*BM74</f>
        <v>757.18189192107172</v>
      </c>
      <c r="O74" s="5">
        <f>+$C74*BN74</f>
        <v>739.55559365675617</v>
      </c>
      <c r="P74" s="5">
        <v>15000</v>
      </c>
      <c r="Q74" s="5">
        <f>+$P74*BC74</f>
        <v>1337.7234892311337</v>
      </c>
      <c r="R74" s="5">
        <f>+$P74*BD74</f>
        <v>1599.7916825167797</v>
      </c>
      <c r="S74" s="5">
        <f>+$P74*BE74</f>
        <v>1415.8273627282147</v>
      </c>
      <c r="T74" s="5">
        <f>+$P74*BF74</f>
        <v>1072.4347480282574</v>
      </c>
      <c r="U74" s="5">
        <f>+$P74*BG74</f>
        <v>1555.2857715805144</v>
      </c>
      <c r="V74" s="5">
        <f>+$P74*BH74</f>
        <v>1274.5549642881695</v>
      </c>
      <c r="W74" s="5">
        <f>+$P74*BI74</f>
        <v>1268.9081831589406</v>
      </c>
      <c r="X74" s="5">
        <f>+$P74*BJ74</f>
        <v>861.70658194169948</v>
      </c>
      <c r="Y74" s="5">
        <f>+$P74*BK74</f>
        <v>1277.3077851833621</v>
      </c>
      <c r="Z74" s="5">
        <f>+$P74*BL74</f>
        <v>1112.3708836955277</v>
      </c>
      <c r="AA74" s="5">
        <f>+$P74*BM74</f>
        <v>1135.7728378816075</v>
      </c>
      <c r="AB74" s="5">
        <f>+$P74*BN74</f>
        <v>1109.3333904851343</v>
      </c>
      <c r="AC74" s="5">
        <v>0</v>
      </c>
      <c r="AD74" s="5">
        <f>+$AC74*BC74</f>
        <v>0</v>
      </c>
      <c r="AE74" s="5">
        <f>+$AC74*BD74</f>
        <v>0</v>
      </c>
      <c r="AF74" s="5">
        <f>+$AC74*BE74</f>
        <v>0</v>
      </c>
      <c r="AG74" s="5">
        <f>+$AC74*BF74</f>
        <v>0</v>
      </c>
      <c r="AH74" s="5">
        <f>+$AC74*BG74</f>
        <v>0</v>
      </c>
      <c r="AI74" s="5">
        <f>+$AC74*BH74</f>
        <v>0</v>
      </c>
      <c r="AJ74" s="5">
        <f>+$AC74*BI74</f>
        <v>0</v>
      </c>
      <c r="AK74" s="5">
        <f>+$AC74*BJ74</f>
        <v>0</v>
      </c>
      <c r="AL74" s="5">
        <f>+$AC74*BK74</f>
        <v>0</v>
      </c>
      <c r="AM74" s="5">
        <f>+$AC74*BL74</f>
        <v>0</v>
      </c>
      <c r="AN74" s="5">
        <f>+$AC74*BM74</f>
        <v>0</v>
      </c>
      <c r="AO74" s="5">
        <f>+$AC74*BN74</f>
        <v>0</v>
      </c>
      <c r="AP74" s="5">
        <f>+AC74+P74+C74</f>
        <v>25000</v>
      </c>
      <c r="AQ74" s="1">
        <v>2229.5391487185561</v>
      </c>
      <c r="AR74" s="1">
        <v>2666.3194708612996</v>
      </c>
      <c r="AS74" s="1">
        <v>2359.7122712136911</v>
      </c>
      <c r="AT74" s="1">
        <v>1787.3912467137623</v>
      </c>
      <c r="AU74" s="1">
        <v>2592.1429526341908</v>
      </c>
      <c r="AV74" s="1">
        <v>2124.2582738136161</v>
      </c>
      <c r="AW74" s="1">
        <v>2114.8469719315676</v>
      </c>
      <c r="AX74" s="1">
        <v>1436.1776365694991</v>
      </c>
      <c r="AY74" s="1">
        <v>2128.846308638937</v>
      </c>
      <c r="AZ74" s="1">
        <v>1853.9514728258794</v>
      </c>
      <c r="BA74" s="1">
        <v>1892.9547298026791</v>
      </c>
      <c r="BB74" s="1">
        <v>1848.8889841418904</v>
      </c>
      <c r="BC74" s="2">
        <v>8.9181565948742242E-2</v>
      </c>
      <c r="BD74" s="2">
        <v>0.10665277883445198</v>
      </c>
      <c r="BE74" s="2">
        <v>9.438849084854764E-2</v>
      </c>
      <c r="BF74" s="2">
        <v>7.149564986855049E-2</v>
      </c>
      <c r="BG74" s="2">
        <v>0.10368571810536763</v>
      </c>
      <c r="BH74" s="2">
        <v>8.4970330952544637E-2</v>
      </c>
      <c r="BI74" s="2">
        <v>8.4593878877262704E-2</v>
      </c>
      <c r="BJ74" s="2">
        <v>5.7447105462779965E-2</v>
      </c>
      <c r="BK74" s="2">
        <v>8.5153852345557474E-2</v>
      </c>
      <c r="BL74" s="2">
        <v>7.4158058913035174E-2</v>
      </c>
      <c r="BM74" s="2">
        <v>7.5718189192107169E-2</v>
      </c>
      <c r="BN74" s="2">
        <v>7.3955559365675619E-2</v>
      </c>
      <c r="BO74" s="2">
        <f>SUM(BC74:BN74)</f>
        <v>1.0014011787146229</v>
      </c>
    </row>
    <row r="75" spans="1:67" x14ac:dyDescent="0.25">
      <c r="A75" s="8">
        <v>2924</v>
      </c>
      <c r="B75" s="8" t="s">
        <v>920</v>
      </c>
      <c r="C75" s="5">
        <v>35000</v>
      </c>
      <c r="D75" s="5">
        <f>+$C75*BC75</f>
        <v>3121.3548082059783</v>
      </c>
      <c r="E75" s="5">
        <f>+$C75*BD75</f>
        <v>3732.8472592058192</v>
      </c>
      <c r="F75" s="5">
        <f>+$C75*BE75</f>
        <v>3303.5971796991676</v>
      </c>
      <c r="G75" s="5">
        <f>+$C75*BF75</f>
        <v>2502.3477453992673</v>
      </c>
      <c r="H75" s="5">
        <f>+$C75*BG75</f>
        <v>3629.0001336878668</v>
      </c>
      <c r="I75" s="5">
        <f>+$C75*BH75</f>
        <v>2973.9615833390621</v>
      </c>
      <c r="J75" s="5">
        <f>+$C75*BI75</f>
        <v>2960.7857607041947</v>
      </c>
      <c r="K75" s="5">
        <f>+$C75*BJ75</f>
        <v>2010.6486911972988</v>
      </c>
      <c r="L75" s="5">
        <f>+$C75*BK75</f>
        <v>2980.3848320945117</v>
      </c>
      <c r="M75" s="5">
        <f>+$C75*BL75</f>
        <v>2595.5320619562312</v>
      </c>
      <c r="N75" s="5">
        <f>+$C75*BM75</f>
        <v>2650.136621723751</v>
      </c>
      <c r="O75" s="5">
        <f>+$C75*BN75</f>
        <v>2588.4445777986466</v>
      </c>
      <c r="P75" s="5">
        <v>0</v>
      </c>
      <c r="Q75" s="5">
        <f>+$P75*BC75</f>
        <v>0</v>
      </c>
      <c r="R75" s="5">
        <f>+$P75*BD75</f>
        <v>0</v>
      </c>
      <c r="S75" s="5">
        <f>+$P75*BE75</f>
        <v>0</v>
      </c>
      <c r="T75" s="5">
        <f>+$P75*BF75</f>
        <v>0</v>
      </c>
      <c r="U75" s="5">
        <f>+$P75*BG75</f>
        <v>0</v>
      </c>
      <c r="V75" s="5">
        <f>+$P75*BH75</f>
        <v>0</v>
      </c>
      <c r="W75" s="5">
        <f>+$P75*BI75</f>
        <v>0</v>
      </c>
      <c r="X75" s="5">
        <f>+$P75*BJ75</f>
        <v>0</v>
      </c>
      <c r="Y75" s="5">
        <f>+$P75*BK75</f>
        <v>0</v>
      </c>
      <c r="Z75" s="5">
        <f>+$P75*BL75</f>
        <v>0</v>
      </c>
      <c r="AA75" s="5">
        <f>+$P75*BM75</f>
        <v>0</v>
      </c>
      <c r="AB75" s="5">
        <f>+$P75*BN75</f>
        <v>0</v>
      </c>
      <c r="AC75" s="5">
        <v>0</v>
      </c>
      <c r="AD75" s="5">
        <f>+$AC75*BC75</f>
        <v>0</v>
      </c>
      <c r="AE75" s="5">
        <f>+$AC75*BD75</f>
        <v>0</v>
      </c>
      <c r="AF75" s="5">
        <f>+$AC75*BE75</f>
        <v>0</v>
      </c>
      <c r="AG75" s="5">
        <f>+$AC75*BF75</f>
        <v>0</v>
      </c>
      <c r="AH75" s="5">
        <f>+$AC75*BG75</f>
        <v>0</v>
      </c>
      <c r="AI75" s="5">
        <f>+$AC75*BH75</f>
        <v>0</v>
      </c>
      <c r="AJ75" s="5">
        <f>+$AC75*BI75</f>
        <v>0</v>
      </c>
      <c r="AK75" s="5">
        <f>+$AC75*BJ75</f>
        <v>0</v>
      </c>
      <c r="AL75" s="5">
        <f>+$AC75*BK75</f>
        <v>0</v>
      </c>
      <c r="AM75" s="5">
        <f>+$AC75*BL75</f>
        <v>0</v>
      </c>
      <c r="AN75" s="5">
        <f>+$AC75*BM75</f>
        <v>0</v>
      </c>
      <c r="AO75" s="5">
        <f>+$AC75*BN75</f>
        <v>0</v>
      </c>
      <c r="AP75" s="5">
        <f>+AC75+P75+C75</f>
        <v>35000</v>
      </c>
      <c r="AQ75" s="1">
        <v>2140.3575827698137</v>
      </c>
      <c r="AR75" s="1">
        <v>2559.6666920268476</v>
      </c>
      <c r="AS75" s="1">
        <v>2265.3237803651432</v>
      </c>
      <c r="AT75" s="1">
        <v>1715.8955968452117</v>
      </c>
      <c r="AU75" s="1">
        <v>2488.4572345288229</v>
      </c>
      <c r="AV75" s="1">
        <v>2039.2879428610713</v>
      </c>
      <c r="AW75" s="1">
        <v>2030.2530930543048</v>
      </c>
      <c r="AX75" s="1">
        <v>1378.7305311067191</v>
      </c>
      <c r="AY75" s="1">
        <v>2043.6924562933793</v>
      </c>
      <c r="AZ75" s="1">
        <v>1779.7934139128442</v>
      </c>
      <c r="BA75" s="1">
        <v>1817.2365406105721</v>
      </c>
      <c r="BB75" s="1">
        <v>1774.9334247762149</v>
      </c>
      <c r="BC75" s="2">
        <v>8.9181565948742242E-2</v>
      </c>
      <c r="BD75" s="2">
        <v>0.10665277883445198</v>
      </c>
      <c r="BE75" s="2">
        <v>9.438849084854764E-2</v>
      </c>
      <c r="BF75" s="2">
        <v>7.149564986855049E-2</v>
      </c>
      <c r="BG75" s="2">
        <v>0.10368571810536763</v>
      </c>
      <c r="BH75" s="2">
        <v>8.4970330952544637E-2</v>
      </c>
      <c r="BI75" s="2">
        <v>8.4593878877262704E-2</v>
      </c>
      <c r="BJ75" s="2">
        <v>5.7447105462779965E-2</v>
      </c>
      <c r="BK75" s="2">
        <v>8.5153852345557474E-2</v>
      </c>
      <c r="BL75" s="2">
        <v>7.4158058913035174E-2</v>
      </c>
      <c r="BM75" s="2">
        <v>7.5718189192107169E-2</v>
      </c>
      <c r="BN75" s="2">
        <v>7.3955559365675619E-2</v>
      </c>
      <c r="BO75" s="2">
        <f>SUM(BC75:BN75)</f>
        <v>1.0014011787146229</v>
      </c>
    </row>
    <row r="76" spans="1:67" x14ac:dyDescent="0.25">
      <c r="A76" s="8">
        <v>5227</v>
      </c>
      <c r="B76" s="8" t="s">
        <v>919</v>
      </c>
      <c r="C76" s="5">
        <v>24000</v>
      </c>
      <c r="D76" s="5">
        <f>+$C76*BC76</f>
        <v>2140.3575827698137</v>
      </c>
      <c r="E76" s="5">
        <f>+$C76*BD76</f>
        <v>2559.6666920268476</v>
      </c>
      <c r="F76" s="5">
        <f>+$C76*BE76</f>
        <v>2265.3237803651432</v>
      </c>
      <c r="G76" s="5">
        <f>+$C76*BF76</f>
        <v>1715.8955968452117</v>
      </c>
      <c r="H76" s="5">
        <f>+$C76*BG76</f>
        <v>2488.4572345288229</v>
      </c>
      <c r="I76" s="5">
        <f>+$C76*BH76</f>
        <v>2039.2879428610713</v>
      </c>
      <c r="J76" s="5">
        <f>+$C76*BI76</f>
        <v>2030.2530930543048</v>
      </c>
      <c r="K76" s="5">
        <f>+$C76*BJ76</f>
        <v>1378.7305311067191</v>
      </c>
      <c r="L76" s="5">
        <f>+$C76*BK76</f>
        <v>2043.6924562933793</v>
      </c>
      <c r="M76" s="5">
        <f>+$C76*BL76</f>
        <v>1779.7934139128442</v>
      </c>
      <c r="N76" s="5">
        <f>+$C76*BM76</f>
        <v>1817.2365406105721</v>
      </c>
      <c r="O76" s="5">
        <f>+$C76*BN76</f>
        <v>1774.9334247762149</v>
      </c>
      <c r="P76" s="5">
        <v>0</v>
      </c>
      <c r="Q76" s="5">
        <f>+$P76*BC76</f>
        <v>0</v>
      </c>
      <c r="R76" s="5">
        <f>+$P76*BD76</f>
        <v>0</v>
      </c>
      <c r="S76" s="5">
        <f>+$P76*BE76</f>
        <v>0</v>
      </c>
      <c r="T76" s="5">
        <f>+$P76*BF76</f>
        <v>0</v>
      </c>
      <c r="U76" s="5">
        <f>+$P76*BG76</f>
        <v>0</v>
      </c>
      <c r="V76" s="5">
        <f>+$P76*BH76</f>
        <v>0</v>
      </c>
      <c r="W76" s="5">
        <f>+$P76*BI76</f>
        <v>0</v>
      </c>
      <c r="X76" s="5">
        <f>+$P76*BJ76</f>
        <v>0</v>
      </c>
      <c r="Y76" s="5">
        <f>+$P76*BK76</f>
        <v>0</v>
      </c>
      <c r="Z76" s="5">
        <f>+$P76*BL76</f>
        <v>0</v>
      </c>
      <c r="AA76" s="5">
        <f>+$P76*BM76</f>
        <v>0</v>
      </c>
      <c r="AB76" s="5">
        <f>+$P76*BN76</f>
        <v>0</v>
      </c>
      <c r="AC76" s="5">
        <v>0</v>
      </c>
      <c r="AD76" s="5">
        <f>+$AC76*BC76</f>
        <v>0</v>
      </c>
      <c r="AE76" s="5">
        <f>+$AC76*BD76</f>
        <v>0</v>
      </c>
      <c r="AF76" s="5">
        <f>+$AC76*BE76</f>
        <v>0</v>
      </c>
      <c r="AG76" s="5">
        <f>+$AC76*BF76</f>
        <v>0</v>
      </c>
      <c r="AH76" s="5">
        <f>+$AC76*BG76</f>
        <v>0</v>
      </c>
      <c r="AI76" s="5">
        <f>+$AC76*BH76</f>
        <v>0</v>
      </c>
      <c r="AJ76" s="5">
        <f>+$AC76*BI76</f>
        <v>0</v>
      </c>
      <c r="AK76" s="5">
        <f>+$AC76*BJ76</f>
        <v>0</v>
      </c>
      <c r="AL76" s="5">
        <f>+$AC76*BK76</f>
        <v>0</v>
      </c>
      <c r="AM76" s="5">
        <f>+$AC76*BL76</f>
        <v>0</v>
      </c>
      <c r="AN76" s="5">
        <f>+$AC76*BM76</f>
        <v>0</v>
      </c>
      <c r="AO76" s="5">
        <f>+$AC76*BN76</f>
        <v>0</v>
      </c>
      <c r="AP76" s="5">
        <f>+AC76+P76+C76</f>
        <v>24000</v>
      </c>
      <c r="AQ76" s="1">
        <v>2140.3575827698137</v>
      </c>
      <c r="AR76" s="1">
        <v>2559.6666920268476</v>
      </c>
      <c r="AS76" s="1">
        <v>2265.3237803651432</v>
      </c>
      <c r="AT76" s="1">
        <v>1715.8955968452117</v>
      </c>
      <c r="AU76" s="1">
        <v>2488.4572345288229</v>
      </c>
      <c r="AV76" s="1">
        <v>2039.2879428610713</v>
      </c>
      <c r="AW76" s="1">
        <v>2030.2530930543048</v>
      </c>
      <c r="AX76" s="1">
        <v>1378.7305311067191</v>
      </c>
      <c r="AY76" s="1">
        <v>2043.6924562933793</v>
      </c>
      <c r="AZ76" s="1">
        <v>1779.7934139128442</v>
      </c>
      <c r="BA76" s="1">
        <v>1817.2365406105721</v>
      </c>
      <c r="BB76" s="1">
        <v>1774.9334247762149</v>
      </c>
      <c r="BC76" s="2">
        <v>8.9181565948742242E-2</v>
      </c>
      <c r="BD76" s="2">
        <v>0.10665277883445198</v>
      </c>
      <c r="BE76" s="2">
        <v>9.438849084854764E-2</v>
      </c>
      <c r="BF76" s="2">
        <v>7.149564986855049E-2</v>
      </c>
      <c r="BG76" s="2">
        <v>0.10368571810536763</v>
      </c>
      <c r="BH76" s="2">
        <v>8.4970330952544637E-2</v>
      </c>
      <c r="BI76" s="2">
        <v>8.4593878877262704E-2</v>
      </c>
      <c r="BJ76" s="2">
        <v>5.7447105462779965E-2</v>
      </c>
      <c r="BK76" s="2">
        <v>8.5153852345557474E-2</v>
      </c>
      <c r="BL76" s="2">
        <v>7.4158058913035174E-2</v>
      </c>
      <c r="BM76" s="2">
        <v>7.5718189192107169E-2</v>
      </c>
      <c r="BN76" s="2">
        <v>7.3955559365675619E-2</v>
      </c>
    </row>
    <row r="77" spans="1:67" x14ac:dyDescent="0.25">
      <c r="A77" s="8">
        <v>4178</v>
      </c>
      <c r="B77" s="8" t="s">
        <v>918</v>
      </c>
      <c r="C77" s="5">
        <v>25000</v>
      </c>
      <c r="D77" s="5">
        <f>+$C77*BC77</f>
        <v>2229.5391487185561</v>
      </c>
      <c r="E77" s="5">
        <f>+$C77*BD77</f>
        <v>2666.3194708612996</v>
      </c>
      <c r="F77" s="5">
        <f>+$C77*BE77</f>
        <v>2359.7122712136911</v>
      </c>
      <c r="G77" s="5">
        <f>+$C77*BF77</f>
        <v>1787.3912467137623</v>
      </c>
      <c r="H77" s="5">
        <f>+$C77*BG77</f>
        <v>2592.1429526341908</v>
      </c>
      <c r="I77" s="5">
        <f>+$C77*BH77</f>
        <v>2124.2582738136161</v>
      </c>
      <c r="J77" s="5">
        <f>+$C77*BI77</f>
        <v>2114.8469719315676</v>
      </c>
      <c r="K77" s="5">
        <f>+$C77*BJ77</f>
        <v>1436.1776365694991</v>
      </c>
      <c r="L77" s="5">
        <f>+$C77*BK77</f>
        <v>2128.846308638937</v>
      </c>
      <c r="M77" s="5">
        <f>+$C77*BL77</f>
        <v>1853.9514728258794</v>
      </c>
      <c r="N77" s="5">
        <f>+$C77*BM77</f>
        <v>1892.9547298026791</v>
      </c>
      <c r="O77" s="5">
        <f>+$C77*BN77</f>
        <v>1848.8889841418904</v>
      </c>
      <c r="P77" s="5">
        <v>3000</v>
      </c>
      <c r="Q77" s="5">
        <f>+$P77*BC77</f>
        <v>267.54469784622671</v>
      </c>
      <c r="R77" s="5">
        <f>+$P77*BD77</f>
        <v>319.95833650335595</v>
      </c>
      <c r="S77" s="5">
        <f>+$P77*BE77</f>
        <v>283.1654725456429</v>
      </c>
      <c r="T77" s="5">
        <f>+$P77*BF77</f>
        <v>214.48694960565146</v>
      </c>
      <c r="U77" s="5">
        <f>+$P77*BG77</f>
        <v>311.05715431610287</v>
      </c>
      <c r="V77" s="5">
        <f>+$P77*BH77</f>
        <v>254.91099285763391</v>
      </c>
      <c r="W77" s="5">
        <f>+$P77*BI77</f>
        <v>253.7816366317881</v>
      </c>
      <c r="X77" s="5">
        <f>+$P77*BJ77</f>
        <v>172.34131638833989</v>
      </c>
      <c r="Y77" s="5">
        <f>+$P77*BK77</f>
        <v>255.46155703667242</v>
      </c>
      <c r="Z77" s="5">
        <f>+$P77*BL77</f>
        <v>222.47417673910553</v>
      </c>
      <c r="AA77" s="5">
        <f>+$P77*BM77</f>
        <v>227.15456757632151</v>
      </c>
      <c r="AB77" s="5">
        <f>+$P77*BN77</f>
        <v>221.86667809702686</v>
      </c>
      <c r="AC77" s="5">
        <v>0</v>
      </c>
      <c r="AD77" s="5">
        <f>+$AC77*BC77</f>
        <v>0</v>
      </c>
      <c r="AE77" s="5">
        <f>+$AC77*BD77</f>
        <v>0</v>
      </c>
      <c r="AF77" s="5">
        <f>+$AC77*BE77</f>
        <v>0</v>
      </c>
      <c r="AG77" s="5">
        <f>+$AC77*BF77</f>
        <v>0</v>
      </c>
      <c r="AH77" s="5">
        <f>+$AC77*BG77</f>
        <v>0</v>
      </c>
      <c r="AI77" s="5">
        <f>+$AC77*BH77</f>
        <v>0</v>
      </c>
      <c r="AJ77" s="5">
        <f>+$AC77*BI77</f>
        <v>0</v>
      </c>
      <c r="AK77" s="5">
        <f>+$AC77*BJ77</f>
        <v>0</v>
      </c>
      <c r="AL77" s="5">
        <f>+$AC77*BK77</f>
        <v>0</v>
      </c>
      <c r="AM77" s="5">
        <f>+$AC77*BL77</f>
        <v>0</v>
      </c>
      <c r="AN77" s="5">
        <f>+$AC77*BM77</f>
        <v>0</v>
      </c>
      <c r="AO77" s="5">
        <f>+$AC77*BN77</f>
        <v>0</v>
      </c>
      <c r="AP77" s="5">
        <f>+AC77+P77+C77</f>
        <v>28000</v>
      </c>
      <c r="AQ77" s="1">
        <v>2140.3575827698137</v>
      </c>
      <c r="AR77" s="1">
        <v>2559.6666920268476</v>
      </c>
      <c r="AS77" s="1">
        <v>2265.3237803651432</v>
      </c>
      <c r="AT77" s="1">
        <v>1715.8955968452117</v>
      </c>
      <c r="AU77" s="1">
        <v>2488.4572345288229</v>
      </c>
      <c r="AV77" s="1">
        <v>2039.2879428610713</v>
      </c>
      <c r="AW77" s="1">
        <v>2030.2530930543048</v>
      </c>
      <c r="AX77" s="1">
        <v>1378.7305311067191</v>
      </c>
      <c r="AY77" s="1">
        <v>2043.6924562933793</v>
      </c>
      <c r="AZ77" s="1">
        <v>1779.7934139128442</v>
      </c>
      <c r="BA77" s="1">
        <v>1817.2365406105721</v>
      </c>
      <c r="BB77" s="1">
        <v>1774.9334247762149</v>
      </c>
      <c r="BC77" s="2">
        <v>8.9181565948742242E-2</v>
      </c>
      <c r="BD77" s="2">
        <v>0.10665277883445198</v>
      </c>
      <c r="BE77" s="2">
        <v>9.438849084854764E-2</v>
      </c>
      <c r="BF77" s="2">
        <v>7.149564986855049E-2</v>
      </c>
      <c r="BG77" s="2">
        <v>0.10368571810536763</v>
      </c>
      <c r="BH77" s="2">
        <v>8.4970330952544637E-2</v>
      </c>
      <c r="BI77" s="2">
        <v>8.4593878877262704E-2</v>
      </c>
      <c r="BJ77" s="2">
        <v>5.7447105462779965E-2</v>
      </c>
      <c r="BK77" s="2">
        <v>8.5153852345557474E-2</v>
      </c>
      <c r="BL77" s="2">
        <v>7.4158058913035174E-2</v>
      </c>
      <c r="BM77" s="2">
        <v>7.5718189192107169E-2</v>
      </c>
      <c r="BN77" s="2">
        <v>7.3955559365675619E-2</v>
      </c>
    </row>
    <row r="78" spans="1:67" x14ac:dyDescent="0.25">
      <c r="A78" s="8">
        <v>2343</v>
      </c>
      <c r="B78" s="8" t="s">
        <v>917</v>
      </c>
      <c r="C78" s="5">
        <v>8000</v>
      </c>
      <c r="D78" s="5">
        <f>+$C78*BC78</f>
        <v>713.45252758993797</v>
      </c>
      <c r="E78" s="5">
        <f>+$C78*BD78</f>
        <v>853.22223067561583</v>
      </c>
      <c r="F78" s="5">
        <f>+$C78*BE78</f>
        <v>755.10792678838118</v>
      </c>
      <c r="G78" s="5">
        <f>+$C78*BF78</f>
        <v>571.96519894840389</v>
      </c>
      <c r="H78" s="5">
        <f>+$C78*BG78</f>
        <v>829.48574484294102</v>
      </c>
      <c r="I78" s="5">
        <f>+$C78*BH78</f>
        <v>679.76264762035714</v>
      </c>
      <c r="J78" s="5">
        <f>+$C78*BI78</f>
        <v>676.75103101810168</v>
      </c>
      <c r="K78" s="5">
        <f>+$C78*BJ78</f>
        <v>459.57684370223973</v>
      </c>
      <c r="L78" s="5">
        <f>+$C78*BK78</f>
        <v>681.23081876445974</v>
      </c>
      <c r="M78" s="5">
        <f>+$C78*BL78</f>
        <v>593.26447130428141</v>
      </c>
      <c r="N78" s="5">
        <f>+$C78*BM78</f>
        <v>605.7455135368574</v>
      </c>
      <c r="O78" s="5">
        <f>+$C78*BN78</f>
        <v>591.64447492540501</v>
      </c>
      <c r="P78" s="5">
        <v>14000</v>
      </c>
      <c r="Q78" s="5">
        <f>+$P78*BC78</f>
        <v>1248.5419232823913</v>
      </c>
      <c r="R78" s="5">
        <f>+$P78*BD78</f>
        <v>1493.1389036823277</v>
      </c>
      <c r="S78" s="5">
        <f>+$P78*BE78</f>
        <v>1321.438871879667</v>
      </c>
      <c r="T78" s="5">
        <f>+$P78*BF78</f>
        <v>1000.9390981597069</v>
      </c>
      <c r="U78" s="5">
        <f>+$P78*BG78</f>
        <v>1451.6000534751468</v>
      </c>
      <c r="V78" s="5">
        <f>+$P78*BH78</f>
        <v>1189.5846333356249</v>
      </c>
      <c r="W78" s="5">
        <f>+$P78*BI78</f>
        <v>1184.3143042816778</v>
      </c>
      <c r="X78" s="5">
        <f>+$P78*BJ78</f>
        <v>804.25947647891951</v>
      </c>
      <c r="Y78" s="5">
        <f>+$P78*BK78</f>
        <v>1192.1539328378046</v>
      </c>
      <c r="Z78" s="5">
        <f>+$P78*BL78</f>
        <v>1038.2128247824924</v>
      </c>
      <c r="AA78" s="5">
        <f>+$P78*BM78</f>
        <v>1060.0546486895003</v>
      </c>
      <c r="AB78" s="5">
        <f>+$P78*BN78</f>
        <v>1035.3778311194587</v>
      </c>
      <c r="AC78" s="5">
        <v>0</v>
      </c>
      <c r="AD78" s="5">
        <f>+$AC78*BC78</f>
        <v>0</v>
      </c>
      <c r="AE78" s="5">
        <f>+$AC78*BD78</f>
        <v>0</v>
      </c>
      <c r="AF78" s="5">
        <f>+$AC78*BE78</f>
        <v>0</v>
      </c>
      <c r="AG78" s="5">
        <f>+$AC78*BF78</f>
        <v>0</v>
      </c>
      <c r="AH78" s="5">
        <f>+$AC78*BG78</f>
        <v>0</v>
      </c>
      <c r="AI78" s="5">
        <f>+$AC78*BH78</f>
        <v>0</v>
      </c>
      <c r="AJ78" s="5">
        <f>+$AC78*BI78</f>
        <v>0</v>
      </c>
      <c r="AK78" s="5">
        <f>+$AC78*BJ78</f>
        <v>0</v>
      </c>
      <c r="AL78" s="5">
        <f>+$AC78*BK78</f>
        <v>0</v>
      </c>
      <c r="AM78" s="5">
        <f>+$AC78*BL78</f>
        <v>0</v>
      </c>
      <c r="AN78" s="5">
        <f>+$AC78*BM78</f>
        <v>0</v>
      </c>
      <c r="AO78" s="5">
        <f>+$AC78*BN78</f>
        <v>0</v>
      </c>
      <c r="AP78" s="5">
        <f>+AC78+P78+C78</f>
        <v>22000</v>
      </c>
      <c r="AQ78" s="1">
        <v>2095.7667997954427</v>
      </c>
      <c r="AR78" s="1">
        <v>2506.3403026096216</v>
      </c>
      <c r="AS78" s="1">
        <v>2218.1295349408697</v>
      </c>
      <c r="AT78" s="1">
        <v>1680.1477719109364</v>
      </c>
      <c r="AU78" s="1">
        <v>2436.6143754761392</v>
      </c>
      <c r="AV78" s="1">
        <v>1996.8027773847989</v>
      </c>
      <c r="AW78" s="1">
        <v>1987.9561536156737</v>
      </c>
      <c r="AX78" s="1">
        <v>1350.0069783753293</v>
      </c>
      <c r="AY78" s="1">
        <v>2001.1155301206006</v>
      </c>
      <c r="AZ78" s="1">
        <v>1742.7143844563266</v>
      </c>
      <c r="BA78" s="1">
        <v>1779.3774460145185</v>
      </c>
      <c r="BB78" s="1">
        <v>1737.9556450933771</v>
      </c>
      <c r="BC78" s="2">
        <v>8.9181565948742242E-2</v>
      </c>
      <c r="BD78" s="2">
        <v>0.10665277883445198</v>
      </c>
      <c r="BE78" s="2">
        <v>9.438849084854764E-2</v>
      </c>
      <c r="BF78" s="2">
        <v>7.149564986855049E-2</v>
      </c>
      <c r="BG78" s="2">
        <v>0.10368571810536763</v>
      </c>
      <c r="BH78" s="2">
        <v>8.4970330952544637E-2</v>
      </c>
      <c r="BI78" s="2">
        <v>8.4593878877262704E-2</v>
      </c>
      <c r="BJ78" s="2">
        <v>5.7447105462779965E-2</v>
      </c>
      <c r="BK78" s="2">
        <v>8.5153852345557474E-2</v>
      </c>
      <c r="BL78" s="2">
        <v>7.4158058913035174E-2</v>
      </c>
      <c r="BM78" s="2">
        <v>7.5718189192107169E-2</v>
      </c>
      <c r="BN78" s="2">
        <v>7.3955559365675619E-2</v>
      </c>
    </row>
    <row r="79" spans="1:67" x14ac:dyDescent="0.25">
      <c r="A79" s="8">
        <v>4087</v>
      </c>
      <c r="B79" s="8" t="s">
        <v>916</v>
      </c>
      <c r="C79" s="5">
        <v>0</v>
      </c>
      <c r="D79" s="5">
        <f>+$C79*BC79</f>
        <v>0</v>
      </c>
      <c r="E79" s="5">
        <f>+$C79*BD79</f>
        <v>0</v>
      </c>
      <c r="F79" s="5">
        <f>+$C79*BE79</f>
        <v>0</v>
      </c>
      <c r="G79" s="5">
        <f>+$C79*BF79</f>
        <v>0</v>
      </c>
      <c r="H79" s="5">
        <f>+$C79*BG79</f>
        <v>0</v>
      </c>
      <c r="I79" s="5">
        <f>+$C79*BH79</f>
        <v>0</v>
      </c>
      <c r="J79" s="5">
        <f>+$C79*BI79</f>
        <v>0</v>
      </c>
      <c r="K79" s="5">
        <f>+$C79*BJ79</f>
        <v>0</v>
      </c>
      <c r="L79" s="5">
        <f>+$C79*BK79</f>
        <v>0</v>
      </c>
      <c r="M79" s="5">
        <f>+$C79*BL79</f>
        <v>0</v>
      </c>
      <c r="N79" s="5">
        <f>+$C79*BM79</f>
        <v>0</v>
      </c>
      <c r="O79" s="5">
        <f>+$C79*BN79</f>
        <v>0</v>
      </c>
      <c r="P79" s="5">
        <v>3000</v>
      </c>
      <c r="Q79" s="5">
        <f>+$P79*BC79</f>
        <v>267.54469784622671</v>
      </c>
      <c r="R79" s="5">
        <f>+$P79*BD79</f>
        <v>319.95833650335595</v>
      </c>
      <c r="S79" s="5">
        <f>+$P79*BE79</f>
        <v>283.1654725456429</v>
      </c>
      <c r="T79" s="5">
        <f>+$P79*BF79</f>
        <v>214.48694960565146</v>
      </c>
      <c r="U79" s="5">
        <f>+$P79*BG79</f>
        <v>311.05715431610287</v>
      </c>
      <c r="V79" s="5">
        <f>+$P79*BH79</f>
        <v>254.91099285763391</v>
      </c>
      <c r="W79" s="5">
        <f>+$P79*BI79</f>
        <v>253.7816366317881</v>
      </c>
      <c r="X79" s="5">
        <f>+$P79*BJ79</f>
        <v>172.34131638833989</v>
      </c>
      <c r="Y79" s="5">
        <f>+$P79*BK79</f>
        <v>255.46155703667242</v>
      </c>
      <c r="Z79" s="5">
        <f>+$P79*BL79</f>
        <v>222.47417673910553</v>
      </c>
      <c r="AA79" s="5">
        <f>+$P79*BM79</f>
        <v>227.15456757632151</v>
      </c>
      <c r="AB79" s="5">
        <f>+$P79*BN79</f>
        <v>221.86667809702686</v>
      </c>
      <c r="AC79" s="5">
        <v>0</v>
      </c>
      <c r="AD79" s="5">
        <f>+$AC79*BC79</f>
        <v>0</v>
      </c>
      <c r="AE79" s="5">
        <f>+$AC79*BD79</f>
        <v>0</v>
      </c>
      <c r="AF79" s="5">
        <f>+$AC79*BE79</f>
        <v>0</v>
      </c>
      <c r="AG79" s="5">
        <f>+$AC79*BF79</f>
        <v>0</v>
      </c>
      <c r="AH79" s="5">
        <f>+$AC79*BG79</f>
        <v>0</v>
      </c>
      <c r="AI79" s="5">
        <f>+$AC79*BH79</f>
        <v>0</v>
      </c>
      <c r="AJ79" s="5">
        <f>+$AC79*BI79</f>
        <v>0</v>
      </c>
      <c r="AK79" s="5">
        <f>+$AC79*BJ79</f>
        <v>0</v>
      </c>
      <c r="AL79" s="5">
        <f>+$AC79*BK79</f>
        <v>0</v>
      </c>
      <c r="AM79" s="5">
        <f>+$AC79*BL79</f>
        <v>0</v>
      </c>
      <c r="AN79" s="5">
        <f>+$AC79*BM79</f>
        <v>0</v>
      </c>
      <c r="AO79" s="5">
        <f>+$AC79*BN79</f>
        <v>0</v>
      </c>
      <c r="AP79" s="5">
        <f>+AC79+P79+C79</f>
        <v>3000</v>
      </c>
      <c r="AQ79" s="1">
        <v>2051.1760168210717</v>
      </c>
      <c r="AR79" s="1">
        <v>2453.0139131923956</v>
      </c>
      <c r="AS79" s="1">
        <v>2170.9352895165957</v>
      </c>
      <c r="AT79" s="1">
        <v>1644.3999469766613</v>
      </c>
      <c r="AU79" s="1">
        <v>2384.7715164234555</v>
      </c>
      <c r="AV79" s="1">
        <v>1954.3176119085267</v>
      </c>
      <c r="AW79" s="1">
        <v>1945.6592141770423</v>
      </c>
      <c r="AX79" s="1">
        <v>1321.2834256439392</v>
      </c>
      <c r="AY79" s="1">
        <v>1958.5386039478219</v>
      </c>
      <c r="AZ79" s="1">
        <v>1705.6353549998089</v>
      </c>
      <c r="BA79" s="1">
        <v>1741.5183514184648</v>
      </c>
      <c r="BB79" s="1">
        <v>1700.9778654105392</v>
      </c>
      <c r="BC79" s="2">
        <v>8.9181565948742242E-2</v>
      </c>
      <c r="BD79" s="2">
        <v>0.10665277883445198</v>
      </c>
      <c r="BE79" s="2">
        <v>9.438849084854764E-2</v>
      </c>
      <c r="BF79" s="2">
        <v>7.149564986855049E-2</v>
      </c>
      <c r="BG79" s="2">
        <v>0.10368571810536763</v>
      </c>
      <c r="BH79" s="2">
        <v>8.4970330952544637E-2</v>
      </c>
      <c r="BI79" s="2">
        <v>8.4593878877262704E-2</v>
      </c>
      <c r="BJ79" s="2">
        <v>5.7447105462779965E-2</v>
      </c>
      <c r="BK79" s="2">
        <v>8.5153852345557474E-2</v>
      </c>
      <c r="BL79" s="2">
        <v>7.4158058913035174E-2</v>
      </c>
      <c r="BM79" s="2">
        <v>7.5718189192107169E-2</v>
      </c>
      <c r="BN79" s="2">
        <v>7.3955559365675619E-2</v>
      </c>
    </row>
    <row r="80" spans="1:67" x14ac:dyDescent="0.25">
      <c r="A80" s="8">
        <v>11413</v>
      </c>
      <c r="B80" s="8" t="s">
        <v>915</v>
      </c>
      <c r="C80" s="5">
        <v>25000</v>
      </c>
      <c r="D80" s="5">
        <f>+$C80*BC80</f>
        <v>2229.5391487185561</v>
      </c>
      <c r="E80" s="5">
        <f>+$C80*BD80</f>
        <v>2666.3194708612996</v>
      </c>
      <c r="F80" s="5">
        <f>+$C80*BE80</f>
        <v>2359.7122712136911</v>
      </c>
      <c r="G80" s="5">
        <f>+$C80*BF80</f>
        <v>1787.3912467137623</v>
      </c>
      <c r="H80" s="5">
        <f>+$C80*BG80</f>
        <v>2592.1429526341908</v>
      </c>
      <c r="I80" s="5">
        <f>+$C80*BH80</f>
        <v>2124.2582738136161</v>
      </c>
      <c r="J80" s="5">
        <f>+$C80*BI80</f>
        <v>2114.8469719315676</v>
      </c>
      <c r="K80" s="5">
        <f>+$C80*BJ80</f>
        <v>1436.1776365694991</v>
      </c>
      <c r="L80" s="5">
        <f>+$C80*BK80</f>
        <v>2128.846308638937</v>
      </c>
      <c r="M80" s="5">
        <f>+$C80*BL80</f>
        <v>1853.9514728258794</v>
      </c>
      <c r="N80" s="5">
        <f>+$C80*BM80</f>
        <v>1892.9547298026791</v>
      </c>
      <c r="O80" s="5">
        <f>+$C80*BN80</f>
        <v>1848.8889841418904</v>
      </c>
      <c r="P80" s="5">
        <v>3000</v>
      </c>
      <c r="Q80" s="5">
        <f>+$P80*BC80</f>
        <v>267.54469784622671</v>
      </c>
      <c r="R80" s="5">
        <f>+$P80*BD80</f>
        <v>319.95833650335595</v>
      </c>
      <c r="S80" s="5">
        <f>+$P80*BE80</f>
        <v>283.1654725456429</v>
      </c>
      <c r="T80" s="5">
        <f>+$P80*BF80</f>
        <v>214.48694960565146</v>
      </c>
      <c r="U80" s="5">
        <f>+$P80*BG80</f>
        <v>311.05715431610287</v>
      </c>
      <c r="V80" s="5">
        <f>+$P80*BH80</f>
        <v>254.91099285763391</v>
      </c>
      <c r="W80" s="5">
        <f>+$P80*BI80</f>
        <v>253.7816366317881</v>
      </c>
      <c r="X80" s="5">
        <f>+$P80*BJ80</f>
        <v>172.34131638833989</v>
      </c>
      <c r="Y80" s="5">
        <f>+$P80*BK80</f>
        <v>255.46155703667242</v>
      </c>
      <c r="Z80" s="5">
        <f>+$P80*BL80</f>
        <v>222.47417673910553</v>
      </c>
      <c r="AA80" s="5">
        <f>+$P80*BM80</f>
        <v>227.15456757632151</v>
      </c>
      <c r="AB80" s="5">
        <f>+$P80*BN80</f>
        <v>221.86667809702686</v>
      </c>
      <c r="AC80" s="5">
        <v>0</v>
      </c>
      <c r="AD80" s="5">
        <f>+$AC80*BC80</f>
        <v>0</v>
      </c>
      <c r="AE80" s="5">
        <f>+$AC80*BD80</f>
        <v>0</v>
      </c>
      <c r="AF80" s="5">
        <f>+$AC80*BE80</f>
        <v>0</v>
      </c>
      <c r="AG80" s="5">
        <f>+$AC80*BF80</f>
        <v>0</v>
      </c>
      <c r="AH80" s="5">
        <f>+$AC80*BG80</f>
        <v>0</v>
      </c>
      <c r="AI80" s="5">
        <f>+$AC80*BH80</f>
        <v>0</v>
      </c>
      <c r="AJ80" s="5">
        <f>+$AC80*BI80</f>
        <v>0</v>
      </c>
      <c r="AK80" s="5">
        <f>+$AC80*BJ80</f>
        <v>0</v>
      </c>
      <c r="AL80" s="5">
        <f>+$AC80*BK80</f>
        <v>0</v>
      </c>
      <c r="AM80" s="5">
        <f>+$AC80*BL80</f>
        <v>0</v>
      </c>
      <c r="AN80" s="5">
        <f>+$AC80*BM80</f>
        <v>0</v>
      </c>
      <c r="AO80" s="5">
        <f>+$AC80*BN80</f>
        <v>0</v>
      </c>
      <c r="AP80" s="5">
        <f>+AC80+P80+C80</f>
        <v>28000</v>
      </c>
      <c r="AQ80" s="1">
        <v>2051.1760168210717</v>
      </c>
      <c r="AR80" s="1">
        <v>2453.0139131923956</v>
      </c>
      <c r="AS80" s="1">
        <v>2170.9352895165957</v>
      </c>
      <c r="AT80" s="1">
        <v>1644.3999469766613</v>
      </c>
      <c r="AU80" s="1">
        <v>2384.7715164234555</v>
      </c>
      <c r="AV80" s="1">
        <v>1954.3176119085267</v>
      </c>
      <c r="AW80" s="1">
        <v>1945.6592141770423</v>
      </c>
      <c r="AX80" s="1">
        <v>1321.2834256439392</v>
      </c>
      <c r="AY80" s="1">
        <v>1958.5386039478219</v>
      </c>
      <c r="AZ80" s="1">
        <v>1705.6353549998089</v>
      </c>
      <c r="BA80" s="1">
        <v>1741.5183514184648</v>
      </c>
      <c r="BB80" s="1">
        <v>1700.9778654105392</v>
      </c>
      <c r="BC80" s="2">
        <v>8.9181565948742242E-2</v>
      </c>
      <c r="BD80" s="2">
        <v>0.10665277883445198</v>
      </c>
      <c r="BE80" s="2">
        <v>9.438849084854764E-2</v>
      </c>
      <c r="BF80" s="2">
        <v>7.149564986855049E-2</v>
      </c>
      <c r="BG80" s="2">
        <v>0.10368571810536763</v>
      </c>
      <c r="BH80" s="2">
        <v>8.4970330952544637E-2</v>
      </c>
      <c r="BI80" s="2">
        <v>8.4593878877262704E-2</v>
      </c>
      <c r="BJ80" s="2">
        <v>5.7447105462779965E-2</v>
      </c>
      <c r="BK80" s="2">
        <v>8.5153852345557474E-2</v>
      </c>
      <c r="BL80" s="2">
        <v>7.4158058913035174E-2</v>
      </c>
      <c r="BM80" s="2">
        <v>7.5718189192107169E-2</v>
      </c>
      <c r="BN80" s="2">
        <v>7.3955559365675619E-2</v>
      </c>
    </row>
    <row r="81" spans="1:66" x14ac:dyDescent="0.25">
      <c r="A81" s="8">
        <v>1368</v>
      </c>
      <c r="B81" s="8" t="s">
        <v>914</v>
      </c>
      <c r="C81" s="5">
        <v>8000</v>
      </c>
      <c r="D81" s="5">
        <f>+$C81*BC81</f>
        <v>713.45252758993797</v>
      </c>
      <c r="E81" s="5">
        <f>+$C81*BD81</f>
        <v>853.22223067561583</v>
      </c>
      <c r="F81" s="5">
        <f>+$C81*BE81</f>
        <v>755.10792678838118</v>
      </c>
      <c r="G81" s="5">
        <f>+$C81*BF81</f>
        <v>571.96519894840389</v>
      </c>
      <c r="H81" s="5">
        <f>+$C81*BG81</f>
        <v>829.48574484294102</v>
      </c>
      <c r="I81" s="5">
        <f>+$C81*BH81</f>
        <v>679.76264762035714</v>
      </c>
      <c r="J81" s="5">
        <f>+$C81*BI81</f>
        <v>676.75103101810168</v>
      </c>
      <c r="K81" s="5">
        <f>+$C81*BJ81</f>
        <v>459.57684370223973</v>
      </c>
      <c r="L81" s="5">
        <f>+$C81*BK81</f>
        <v>681.23081876445974</v>
      </c>
      <c r="M81" s="5">
        <f>+$C81*BL81</f>
        <v>593.26447130428141</v>
      </c>
      <c r="N81" s="5">
        <f>+$C81*BM81</f>
        <v>605.7455135368574</v>
      </c>
      <c r="O81" s="5">
        <f>+$C81*BN81</f>
        <v>591.64447492540501</v>
      </c>
      <c r="P81" s="5">
        <v>15000</v>
      </c>
      <c r="Q81" s="5">
        <f>+$P81*BC81</f>
        <v>1337.7234892311337</v>
      </c>
      <c r="R81" s="5">
        <f>+$P81*BD81</f>
        <v>1599.7916825167797</v>
      </c>
      <c r="S81" s="5">
        <f>+$P81*BE81</f>
        <v>1415.8273627282147</v>
      </c>
      <c r="T81" s="5">
        <f>+$P81*BF81</f>
        <v>1072.4347480282574</v>
      </c>
      <c r="U81" s="5">
        <f>+$P81*BG81</f>
        <v>1555.2857715805144</v>
      </c>
      <c r="V81" s="5">
        <f>+$P81*BH81</f>
        <v>1274.5549642881695</v>
      </c>
      <c r="W81" s="5">
        <f>+$P81*BI81</f>
        <v>1268.9081831589406</v>
      </c>
      <c r="X81" s="5">
        <f>+$P81*BJ81</f>
        <v>861.70658194169948</v>
      </c>
      <c r="Y81" s="5">
        <f>+$P81*BK81</f>
        <v>1277.3077851833621</v>
      </c>
      <c r="Z81" s="5">
        <f>+$P81*BL81</f>
        <v>1112.3708836955277</v>
      </c>
      <c r="AA81" s="5">
        <f>+$P81*BM81</f>
        <v>1135.7728378816075</v>
      </c>
      <c r="AB81" s="5">
        <f>+$P81*BN81</f>
        <v>1109.3333904851343</v>
      </c>
      <c r="AC81" s="5">
        <v>0</v>
      </c>
      <c r="AD81" s="5">
        <f>+$AC81*BC81</f>
        <v>0</v>
      </c>
      <c r="AE81" s="5">
        <f>+$AC81*BD81</f>
        <v>0</v>
      </c>
      <c r="AF81" s="5">
        <f>+$AC81*BE81</f>
        <v>0</v>
      </c>
      <c r="AG81" s="5">
        <f>+$AC81*BF81</f>
        <v>0</v>
      </c>
      <c r="AH81" s="5">
        <f>+$AC81*BG81</f>
        <v>0</v>
      </c>
      <c r="AI81" s="5">
        <f>+$AC81*BH81</f>
        <v>0</v>
      </c>
      <c r="AJ81" s="5">
        <f>+$AC81*BI81</f>
        <v>0</v>
      </c>
      <c r="AK81" s="5">
        <f>+$AC81*BJ81</f>
        <v>0</v>
      </c>
      <c r="AL81" s="5">
        <f>+$AC81*BK81</f>
        <v>0</v>
      </c>
      <c r="AM81" s="5">
        <f>+$AC81*BL81</f>
        <v>0</v>
      </c>
      <c r="AN81" s="5">
        <f>+$AC81*BM81</f>
        <v>0</v>
      </c>
      <c r="AO81" s="5">
        <f>+$AC81*BN81</f>
        <v>0</v>
      </c>
      <c r="AP81" s="5">
        <f>+AC81+P81+C81</f>
        <v>23000</v>
      </c>
      <c r="AQ81" s="1">
        <v>2051.1760168210717</v>
      </c>
      <c r="AR81" s="1">
        <v>2453.0139131923956</v>
      </c>
      <c r="AS81" s="1">
        <v>2170.9352895165957</v>
      </c>
      <c r="AT81" s="1">
        <v>1644.3999469766613</v>
      </c>
      <c r="AU81" s="1">
        <v>2384.7715164234555</v>
      </c>
      <c r="AV81" s="1">
        <v>1954.3176119085267</v>
      </c>
      <c r="AW81" s="1">
        <v>1945.6592141770423</v>
      </c>
      <c r="AX81" s="1">
        <v>1321.2834256439392</v>
      </c>
      <c r="AY81" s="1">
        <v>1958.5386039478219</v>
      </c>
      <c r="AZ81" s="1">
        <v>1705.6353549998089</v>
      </c>
      <c r="BA81" s="1">
        <v>1741.5183514184648</v>
      </c>
      <c r="BB81" s="1">
        <v>1700.9778654105392</v>
      </c>
      <c r="BC81" s="2">
        <v>8.9181565948742242E-2</v>
      </c>
      <c r="BD81" s="2">
        <v>0.10665277883445198</v>
      </c>
      <c r="BE81" s="2">
        <v>9.438849084854764E-2</v>
      </c>
      <c r="BF81" s="2">
        <v>7.149564986855049E-2</v>
      </c>
      <c r="BG81" s="2">
        <v>0.10368571810536763</v>
      </c>
      <c r="BH81" s="2">
        <v>8.4970330952544637E-2</v>
      </c>
      <c r="BI81" s="2">
        <v>8.4593878877262704E-2</v>
      </c>
      <c r="BJ81" s="2">
        <v>5.7447105462779965E-2</v>
      </c>
      <c r="BK81" s="2">
        <v>8.5153852345557474E-2</v>
      </c>
      <c r="BL81" s="2">
        <v>7.4158058913035174E-2</v>
      </c>
      <c r="BM81" s="2">
        <v>7.5718189192107169E-2</v>
      </c>
      <c r="BN81" s="2">
        <v>7.3955559365675619E-2</v>
      </c>
    </row>
    <row r="82" spans="1:66" x14ac:dyDescent="0.25">
      <c r="A82" s="8">
        <v>15405</v>
      </c>
      <c r="B82" s="8" t="s">
        <v>913</v>
      </c>
      <c r="C82" s="5">
        <v>2200</v>
      </c>
      <c r="D82" s="5">
        <f>+$C82*BC82</f>
        <v>196.19944508723293</v>
      </c>
      <c r="E82" s="5">
        <f>+$C82*BD82</f>
        <v>234.63611343579436</v>
      </c>
      <c r="F82" s="5">
        <f>+$C82*BE82</f>
        <v>207.6546798668048</v>
      </c>
      <c r="G82" s="5">
        <f>+$C82*BF82</f>
        <v>157.29042971081108</v>
      </c>
      <c r="H82" s="5">
        <f>+$C82*BG82</f>
        <v>228.10857983180878</v>
      </c>
      <c r="I82" s="5">
        <f>+$C82*BH82</f>
        <v>186.93472809559819</v>
      </c>
      <c r="J82" s="5">
        <f>+$C82*BI82</f>
        <v>186.10653352997795</v>
      </c>
      <c r="K82" s="5">
        <f>+$C82*BJ82</f>
        <v>126.38363201811592</v>
      </c>
      <c r="L82" s="5">
        <f>+$C82*BK82</f>
        <v>187.33847516022644</v>
      </c>
      <c r="M82" s="5">
        <f>+$C82*BL82</f>
        <v>163.14772960867739</v>
      </c>
      <c r="N82" s="5">
        <f>+$C82*BM82</f>
        <v>166.58001622263578</v>
      </c>
      <c r="O82" s="5">
        <f>+$C82*BN82</f>
        <v>162.70223060448637</v>
      </c>
      <c r="P82" s="5">
        <v>10000</v>
      </c>
      <c r="Q82" s="5">
        <f>+$P82*BC82</f>
        <v>891.81565948742241</v>
      </c>
      <c r="R82" s="5">
        <f>+$P82*BD82</f>
        <v>1066.5277883445199</v>
      </c>
      <c r="S82" s="5">
        <f>+$P82*BE82</f>
        <v>943.88490848547644</v>
      </c>
      <c r="T82" s="5">
        <f>+$P82*BF82</f>
        <v>714.95649868550493</v>
      </c>
      <c r="U82" s="5">
        <f>+$P82*BG82</f>
        <v>1036.8571810536762</v>
      </c>
      <c r="V82" s="5">
        <f>+$P82*BH82</f>
        <v>849.70330952544634</v>
      </c>
      <c r="W82" s="5">
        <f>+$P82*BI82</f>
        <v>845.93878877262705</v>
      </c>
      <c r="X82" s="5">
        <f>+$P82*BJ82</f>
        <v>574.47105462779962</v>
      </c>
      <c r="Y82" s="5">
        <f>+$P82*BK82</f>
        <v>851.5385234555747</v>
      </c>
      <c r="Z82" s="5">
        <f>+$P82*BL82</f>
        <v>741.58058913035177</v>
      </c>
      <c r="AA82" s="5">
        <f>+$P82*BM82</f>
        <v>757.18189192107172</v>
      </c>
      <c r="AB82" s="5">
        <f>+$P82*BN82</f>
        <v>739.55559365675617</v>
      </c>
      <c r="AC82" s="5">
        <v>0</v>
      </c>
      <c r="AD82" s="5">
        <f>+$AC82*BC82</f>
        <v>0</v>
      </c>
      <c r="AE82" s="5">
        <f>+$AC82*BD82</f>
        <v>0</v>
      </c>
      <c r="AF82" s="5">
        <f>+$AC82*BE82</f>
        <v>0</v>
      </c>
      <c r="AG82" s="5">
        <f>+$AC82*BF82</f>
        <v>0</v>
      </c>
      <c r="AH82" s="5">
        <f>+$AC82*BG82</f>
        <v>0</v>
      </c>
      <c r="AI82" s="5">
        <f>+$AC82*BH82</f>
        <v>0</v>
      </c>
      <c r="AJ82" s="5">
        <f>+$AC82*BI82</f>
        <v>0</v>
      </c>
      <c r="AK82" s="5">
        <f>+$AC82*BJ82</f>
        <v>0</v>
      </c>
      <c r="AL82" s="5">
        <f>+$AC82*BK82</f>
        <v>0</v>
      </c>
      <c r="AM82" s="5">
        <f>+$AC82*BL82</f>
        <v>0</v>
      </c>
      <c r="AN82" s="5">
        <f>+$AC82*BM82</f>
        <v>0</v>
      </c>
      <c r="AO82" s="5">
        <f>+$AC82*BN82</f>
        <v>0</v>
      </c>
      <c r="AP82" s="5">
        <f>+AC82+P82+C82</f>
        <v>12200</v>
      </c>
      <c r="AQ82" s="1">
        <v>2006.5852338467005</v>
      </c>
      <c r="AR82" s="1">
        <v>2399.6875237751697</v>
      </c>
      <c r="AS82" s="1">
        <v>2123.7410440923218</v>
      </c>
      <c r="AT82" s="1">
        <v>1608.6521220423861</v>
      </c>
      <c r="AU82" s="1">
        <v>2332.9286573707718</v>
      </c>
      <c r="AV82" s="1">
        <v>1911.8324464322543</v>
      </c>
      <c r="AW82" s="1">
        <v>1903.3622747384109</v>
      </c>
      <c r="AX82" s="1">
        <v>1292.5598729125493</v>
      </c>
      <c r="AY82" s="1">
        <v>1915.9616777750432</v>
      </c>
      <c r="AZ82" s="1">
        <v>1668.5563255432915</v>
      </c>
      <c r="BA82" s="1">
        <v>1703.6592568224114</v>
      </c>
      <c r="BB82" s="1">
        <v>1664.0000857277014</v>
      </c>
      <c r="BC82" s="2">
        <v>8.9181565948742242E-2</v>
      </c>
      <c r="BD82" s="2">
        <v>0.10665277883445198</v>
      </c>
      <c r="BE82" s="2">
        <v>9.438849084854764E-2</v>
      </c>
      <c r="BF82" s="2">
        <v>7.149564986855049E-2</v>
      </c>
      <c r="BG82" s="2">
        <v>0.10368571810536763</v>
      </c>
      <c r="BH82" s="2">
        <v>8.4970330952544637E-2</v>
      </c>
      <c r="BI82" s="2">
        <v>8.4593878877262704E-2</v>
      </c>
      <c r="BJ82" s="2">
        <v>5.7447105462779965E-2</v>
      </c>
      <c r="BK82" s="2">
        <v>8.5153852345557474E-2</v>
      </c>
      <c r="BL82" s="2">
        <v>7.4158058913035174E-2</v>
      </c>
      <c r="BM82" s="2">
        <v>7.5718189192107169E-2</v>
      </c>
      <c r="BN82" s="2">
        <v>7.3955559365675619E-2</v>
      </c>
    </row>
    <row r="83" spans="1:66" x14ac:dyDescent="0.25">
      <c r="A83" s="8">
        <v>5411</v>
      </c>
      <c r="B83" s="8" t="s">
        <v>912</v>
      </c>
      <c r="C83" s="5">
        <v>15000</v>
      </c>
      <c r="D83" s="5">
        <f>+$C83*BC83</f>
        <v>1337.7234892311337</v>
      </c>
      <c r="E83" s="5">
        <f>+$C83*BD83</f>
        <v>1599.7916825167797</v>
      </c>
      <c r="F83" s="5">
        <f>+$C83*BE83</f>
        <v>1415.8273627282147</v>
      </c>
      <c r="G83" s="5">
        <f>+$C83*BF83</f>
        <v>1072.4347480282574</v>
      </c>
      <c r="H83" s="5">
        <f>+$C83*BG83</f>
        <v>1555.2857715805144</v>
      </c>
      <c r="I83" s="5">
        <f>+$C83*BH83</f>
        <v>1274.5549642881695</v>
      </c>
      <c r="J83" s="5">
        <f>+$C83*BI83</f>
        <v>1268.9081831589406</v>
      </c>
      <c r="K83" s="5">
        <f>+$C83*BJ83</f>
        <v>861.70658194169948</v>
      </c>
      <c r="L83" s="5">
        <f>+$C83*BK83</f>
        <v>1277.3077851833621</v>
      </c>
      <c r="M83" s="5">
        <f>+$C83*BL83</f>
        <v>1112.3708836955277</v>
      </c>
      <c r="N83" s="5">
        <f>+$C83*BM83</f>
        <v>1135.7728378816075</v>
      </c>
      <c r="O83" s="5">
        <f>+$C83*BN83</f>
        <v>1109.3333904851343</v>
      </c>
      <c r="P83" s="5">
        <v>0</v>
      </c>
      <c r="Q83" s="5">
        <f>+$P83*BC83</f>
        <v>0</v>
      </c>
      <c r="R83" s="5">
        <f>+$P83*BD83</f>
        <v>0</v>
      </c>
      <c r="S83" s="5">
        <f>+$P83*BE83</f>
        <v>0</v>
      </c>
      <c r="T83" s="5">
        <f>+$P83*BF83</f>
        <v>0</v>
      </c>
      <c r="U83" s="5">
        <f>+$P83*BG83</f>
        <v>0</v>
      </c>
      <c r="V83" s="5">
        <f>+$P83*BH83</f>
        <v>0</v>
      </c>
      <c r="W83" s="5">
        <f>+$P83*BI83</f>
        <v>0</v>
      </c>
      <c r="X83" s="5">
        <f>+$P83*BJ83</f>
        <v>0</v>
      </c>
      <c r="Y83" s="5">
        <f>+$P83*BK83</f>
        <v>0</v>
      </c>
      <c r="Z83" s="5">
        <f>+$P83*BL83</f>
        <v>0</v>
      </c>
      <c r="AA83" s="5">
        <f>+$P83*BM83</f>
        <v>0</v>
      </c>
      <c r="AB83" s="5">
        <f>+$P83*BN83</f>
        <v>0</v>
      </c>
      <c r="AC83" s="5">
        <v>0</v>
      </c>
      <c r="AD83" s="5">
        <f>+$AC83*BC83</f>
        <v>0</v>
      </c>
      <c r="AE83" s="5">
        <f>+$AC83*BD83</f>
        <v>0</v>
      </c>
      <c r="AF83" s="5">
        <f>+$AC83*BE83</f>
        <v>0</v>
      </c>
      <c r="AG83" s="5">
        <f>+$AC83*BF83</f>
        <v>0</v>
      </c>
      <c r="AH83" s="5">
        <f>+$AC83*BG83</f>
        <v>0</v>
      </c>
      <c r="AI83" s="5">
        <f>+$AC83*BH83</f>
        <v>0</v>
      </c>
      <c r="AJ83" s="5">
        <f>+$AC83*BI83</f>
        <v>0</v>
      </c>
      <c r="AK83" s="5">
        <f>+$AC83*BJ83</f>
        <v>0</v>
      </c>
      <c r="AL83" s="5">
        <f>+$AC83*BK83</f>
        <v>0</v>
      </c>
      <c r="AM83" s="5">
        <f>+$AC83*BL83</f>
        <v>0</v>
      </c>
      <c r="AN83" s="5">
        <f>+$AC83*BM83</f>
        <v>0</v>
      </c>
      <c r="AO83" s="5">
        <f>+$AC83*BN83</f>
        <v>0</v>
      </c>
      <c r="AP83" s="5">
        <f>+AC83+P83+C83</f>
        <v>15000</v>
      </c>
      <c r="AQ83" s="1">
        <v>1979.8307640620778</v>
      </c>
      <c r="AR83" s="1">
        <v>2367.6916901248342</v>
      </c>
      <c r="AS83" s="1">
        <v>2095.4244968377575</v>
      </c>
      <c r="AT83" s="1">
        <v>1587.2034270818208</v>
      </c>
      <c r="AU83" s="1">
        <v>2301.8229419391614</v>
      </c>
      <c r="AV83" s="1">
        <v>1886.341347146491</v>
      </c>
      <c r="AW83" s="1">
        <v>1877.984111075232</v>
      </c>
      <c r="AX83" s="1">
        <v>1275.3257412737153</v>
      </c>
      <c r="AY83" s="1">
        <v>1890.415522071376</v>
      </c>
      <c r="AZ83" s="1">
        <v>1646.3089078693808</v>
      </c>
      <c r="BA83" s="1">
        <v>1680.9438000647792</v>
      </c>
      <c r="BB83" s="1">
        <v>1641.8134179179988</v>
      </c>
      <c r="BC83" s="2">
        <v>8.9181565948742242E-2</v>
      </c>
      <c r="BD83" s="2">
        <v>0.10665277883445198</v>
      </c>
      <c r="BE83" s="2">
        <v>9.438849084854764E-2</v>
      </c>
      <c r="BF83" s="2">
        <v>7.149564986855049E-2</v>
      </c>
      <c r="BG83" s="2">
        <v>0.10368571810536763</v>
      </c>
      <c r="BH83" s="2">
        <v>8.4970330952544637E-2</v>
      </c>
      <c r="BI83" s="2">
        <v>8.4593878877262704E-2</v>
      </c>
      <c r="BJ83" s="2">
        <v>5.7447105462779965E-2</v>
      </c>
      <c r="BK83" s="2">
        <v>8.5153852345557474E-2</v>
      </c>
      <c r="BL83" s="2">
        <v>7.4158058913035174E-2</v>
      </c>
      <c r="BM83" s="2">
        <v>7.5718189192107169E-2</v>
      </c>
      <c r="BN83" s="2">
        <v>7.3955559365675619E-2</v>
      </c>
    </row>
    <row r="84" spans="1:66" x14ac:dyDescent="0.25">
      <c r="A84" s="8">
        <v>3380</v>
      </c>
      <c r="B84" s="8" t="s">
        <v>911</v>
      </c>
      <c r="C84" s="5">
        <v>12000</v>
      </c>
      <c r="D84" s="5">
        <f>+$C84*BC84</f>
        <v>1070.1787913849068</v>
      </c>
      <c r="E84" s="5">
        <f>+$C84*BD84</f>
        <v>1279.8333460134238</v>
      </c>
      <c r="F84" s="5">
        <f>+$C84*BE84</f>
        <v>1132.6618901825716</v>
      </c>
      <c r="G84" s="5">
        <f>+$C84*BF84</f>
        <v>857.94779842260584</v>
      </c>
      <c r="H84" s="5">
        <f>+$C84*BG84</f>
        <v>1244.2286172644115</v>
      </c>
      <c r="I84" s="5">
        <f>+$C84*BH84</f>
        <v>1019.6439714305357</v>
      </c>
      <c r="J84" s="5">
        <f>+$C84*BI84</f>
        <v>1015.1265465271524</v>
      </c>
      <c r="K84" s="5">
        <f>+$C84*BJ84</f>
        <v>689.36526555335956</v>
      </c>
      <c r="L84" s="5">
        <f>+$C84*BK84</f>
        <v>1021.8462281466897</v>
      </c>
      <c r="M84" s="5">
        <f>+$C84*BL84</f>
        <v>889.89670695642212</v>
      </c>
      <c r="N84" s="5">
        <f>+$C84*BM84</f>
        <v>908.61827030528605</v>
      </c>
      <c r="O84" s="5">
        <f>+$C84*BN84</f>
        <v>887.46671238810745</v>
      </c>
      <c r="P84" s="5">
        <v>2000</v>
      </c>
      <c r="Q84" s="5">
        <f>+$P84*BC84</f>
        <v>178.36313189748449</v>
      </c>
      <c r="R84" s="5">
        <f>+$P84*BD84</f>
        <v>213.30555766890396</v>
      </c>
      <c r="S84" s="5">
        <f>+$P84*BE84</f>
        <v>188.77698169709529</v>
      </c>
      <c r="T84" s="5">
        <f>+$P84*BF84</f>
        <v>142.99129973710097</v>
      </c>
      <c r="U84" s="5">
        <f>+$P84*BG84</f>
        <v>207.37143621073525</v>
      </c>
      <c r="V84" s="5">
        <f>+$P84*BH84</f>
        <v>169.94066190508929</v>
      </c>
      <c r="W84" s="5">
        <f>+$P84*BI84</f>
        <v>169.18775775452542</v>
      </c>
      <c r="X84" s="5">
        <f>+$P84*BJ84</f>
        <v>114.89421092555993</v>
      </c>
      <c r="Y84" s="5">
        <f>+$P84*BK84</f>
        <v>170.30770469111494</v>
      </c>
      <c r="Z84" s="5">
        <f>+$P84*BL84</f>
        <v>148.31611782607035</v>
      </c>
      <c r="AA84" s="5">
        <f>+$P84*BM84</f>
        <v>151.43637838421435</v>
      </c>
      <c r="AB84" s="5">
        <f>+$P84*BN84</f>
        <v>147.91111873135125</v>
      </c>
      <c r="AC84" s="5">
        <v>30000</v>
      </c>
      <c r="AD84" s="5">
        <f>+$AC84*BC84</f>
        <v>2675.4469784622675</v>
      </c>
      <c r="AE84" s="5">
        <f>+$AC84*BD84</f>
        <v>3199.5833650335594</v>
      </c>
      <c r="AF84" s="5">
        <f>+$AC84*BE84</f>
        <v>2831.6547254564293</v>
      </c>
      <c r="AG84" s="5">
        <f>+$AC84*BF84</f>
        <v>2144.8694960565149</v>
      </c>
      <c r="AH84" s="5">
        <f>+$AC84*BG84</f>
        <v>3110.5715431610288</v>
      </c>
      <c r="AI84" s="5">
        <f>+$AC84*BH84</f>
        <v>2549.1099285763389</v>
      </c>
      <c r="AJ84" s="5">
        <f>+$AC84*BI84</f>
        <v>2537.8163663178811</v>
      </c>
      <c r="AK84" s="5">
        <f>+$AC84*BJ84</f>
        <v>1723.413163883399</v>
      </c>
      <c r="AL84" s="5">
        <f>+$AC84*BK84</f>
        <v>2554.6155703667241</v>
      </c>
      <c r="AM84" s="5">
        <f>+$AC84*BL84</f>
        <v>2224.7417673910554</v>
      </c>
      <c r="AN84" s="5">
        <f>+$AC84*BM84</f>
        <v>2271.5456757632151</v>
      </c>
      <c r="AO84" s="5">
        <f>+$AC84*BN84</f>
        <v>2218.6667809702685</v>
      </c>
      <c r="AP84" s="5">
        <f>+AC84+P84+C84</f>
        <v>44000</v>
      </c>
      <c r="AQ84" s="1">
        <v>1917.4036678979583</v>
      </c>
      <c r="AR84" s="1">
        <v>2293.0347449407177</v>
      </c>
      <c r="AS84" s="1">
        <v>2029.3525532437743</v>
      </c>
      <c r="AT84" s="1">
        <v>1537.1564721738355</v>
      </c>
      <c r="AU84" s="1">
        <v>2229.2429392654039</v>
      </c>
      <c r="AV84" s="1">
        <v>1826.8621154797097</v>
      </c>
      <c r="AW84" s="1">
        <v>1818.7683958611481</v>
      </c>
      <c r="AX84" s="1">
        <v>1235.1127674497693</v>
      </c>
      <c r="AY84" s="1">
        <v>1830.8078254294858</v>
      </c>
      <c r="AZ84" s="1">
        <v>1594.3982666302563</v>
      </c>
      <c r="BA84" s="1">
        <v>1627.9410676303041</v>
      </c>
      <c r="BB84" s="1">
        <v>1590.0445263620259</v>
      </c>
      <c r="BC84" s="2">
        <v>8.9181565948742242E-2</v>
      </c>
      <c r="BD84" s="2">
        <v>0.10665277883445198</v>
      </c>
      <c r="BE84" s="2">
        <v>9.438849084854764E-2</v>
      </c>
      <c r="BF84" s="2">
        <v>7.149564986855049E-2</v>
      </c>
      <c r="BG84" s="2">
        <v>0.10368571810536763</v>
      </c>
      <c r="BH84" s="2">
        <v>8.4970330952544637E-2</v>
      </c>
      <c r="BI84" s="2">
        <v>8.4593878877262704E-2</v>
      </c>
      <c r="BJ84" s="2">
        <v>5.7447105462779965E-2</v>
      </c>
      <c r="BK84" s="2">
        <v>8.5153852345557474E-2</v>
      </c>
      <c r="BL84" s="2">
        <v>7.4158058913035174E-2</v>
      </c>
      <c r="BM84" s="2">
        <v>7.5718189192107169E-2</v>
      </c>
      <c r="BN84" s="2">
        <v>7.3955559365675619E-2</v>
      </c>
    </row>
    <row r="85" spans="1:66" x14ac:dyDescent="0.25">
      <c r="A85" s="8">
        <v>5194</v>
      </c>
      <c r="B85" s="8" t="s">
        <v>910</v>
      </c>
      <c r="C85" s="5">
        <v>0</v>
      </c>
      <c r="D85" s="5">
        <f>+$C85*BC85</f>
        <v>0</v>
      </c>
      <c r="E85" s="5">
        <f>+$C85*BD85</f>
        <v>0</v>
      </c>
      <c r="F85" s="5">
        <f>+$C85*BE85</f>
        <v>0</v>
      </c>
      <c r="G85" s="5">
        <f>+$C85*BF85</f>
        <v>0</v>
      </c>
      <c r="H85" s="5">
        <f>+$C85*BG85</f>
        <v>0</v>
      </c>
      <c r="I85" s="5">
        <f>+$C85*BH85</f>
        <v>0</v>
      </c>
      <c r="J85" s="5">
        <f>+$C85*BI85</f>
        <v>0</v>
      </c>
      <c r="K85" s="5">
        <f>+$C85*BJ85</f>
        <v>0</v>
      </c>
      <c r="L85" s="5">
        <f>+$C85*BK85</f>
        <v>0</v>
      </c>
      <c r="M85" s="5">
        <f>+$C85*BL85</f>
        <v>0</v>
      </c>
      <c r="N85" s="5">
        <f>+$C85*BM85</f>
        <v>0</v>
      </c>
      <c r="O85" s="5">
        <f>+$C85*BN85</f>
        <v>0</v>
      </c>
      <c r="P85" s="5">
        <v>0</v>
      </c>
      <c r="Q85" s="5">
        <f>+$P85*BC85</f>
        <v>0</v>
      </c>
      <c r="R85" s="5">
        <f>+$P85*BD85</f>
        <v>0</v>
      </c>
      <c r="S85" s="5">
        <f>+$P85*BE85</f>
        <v>0</v>
      </c>
      <c r="T85" s="5">
        <f>+$P85*BF85</f>
        <v>0</v>
      </c>
      <c r="U85" s="5">
        <f>+$P85*BG85</f>
        <v>0</v>
      </c>
      <c r="V85" s="5">
        <f>+$P85*BH85</f>
        <v>0</v>
      </c>
      <c r="W85" s="5">
        <f>+$P85*BI85</f>
        <v>0</v>
      </c>
      <c r="X85" s="5">
        <f>+$P85*BJ85</f>
        <v>0</v>
      </c>
      <c r="Y85" s="5">
        <f>+$P85*BK85</f>
        <v>0</v>
      </c>
      <c r="Z85" s="5">
        <f>+$P85*BL85</f>
        <v>0</v>
      </c>
      <c r="AA85" s="5">
        <f>+$P85*BM85</f>
        <v>0</v>
      </c>
      <c r="AB85" s="5">
        <f>+$P85*BN85</f>
        <v>0</v>
      </c>
      <c r="AC85" s="5">
        <v>0</v>
      </c>
      <c r="AD85" s="5">
        <f>+$AC85*BC85</f>
        <v>0</v>
      </c>
      <c r="AE85" s="5">
        <f>+$AC85*BD85</f>
        <v>0</v>
      </c>
      <c r="AF85" s="5">
        <f>+$AC85*BE85</f>
        <v>0</v>
      </c>
      <c r="AG85" s="5">
        <f>+$AC85*BF85</f>
        <v>0</v>
      </c>
      <c r="AH85" s="5">
        <f>+$AC85*BG85</f>
        <v>0</v>
      </c>
      <c r="AI85" s="5">
        <f>+$AC85*BH85</f>
        <v>0</v>
      </c>
      <c r="AJ85" s="5">
        <f>+$AC85*BI85</f>
        <v>0</v>
      </c>
      <c r="AK85" s="5">
        <f>+$AC85*BJ85</f>
        <v>0</v>
      </c>
      <c r="AL85" s="5">
        <f>+$AC85*BK85</f>
        <v>0</v>
      </c>
      <c r="AM85" s="5">
        <f>+$AC85*BL85</f>
        <v>0</v>
      </c>
      <c r="AN85" s="5">
        <f>+$AC85*BM85</f>
        <v>0</v>
      </c>
      <c r="AO85" s="5">
        <f>+$AC85*BN85</f>
        <v>0</v>
      </c>
      <c r="AP85" s="5">
        <f>+AC85+P85+C85</f>
        <v>0</v>
      </c>
      <c r="AQ85" s="1">
        <v>1872.812884923587</v>
      </c>
      <c r="AR85" s="1">
        <v>2239.7083555234917</v>
      </c>
      <c r="AS85" s="1">
        <v>1982.1583078195004</v>
      </c>
      <c r="AT85" s="1">
        <v>1501.4086472395602</v>
      </c>
      <c r="AU85" s="1">
        <v>2177.4000802127202</v>
      </c>
      <c r="AV85" s="1">
        <v>1784.3769500034373</v>
      </c>
      <c r="AW85" s="1">
        <v>1776.4714564225169</v>
      </c>
      <c r="AX85" s="1">
        <v>1206.3892147183792</v>
      </c>
      <c r="AY85" s="1">
        <v>1788.2308992567068</v>
      </c>
      <c r="AZ85" s="1">
        <v>1557.3192371737387</v>
      </c>
      <c r="BA85" s="1">
        <v>1590.0819730342505</v>
      </c>
      <c r="BB85" s="1">
        <v>1553.0667466791881</v>
      </c>
      <c r="BC85" s="2">
        <v>8.9181565948742242E-2</v>
      </c>
      <c r="BD85" s="2">
        <v>0.10665277883445198</v>
      </c>
      <c r="BE85" s="2">
        <v>9.438849084854764E-2</v>
      </c>
      <c r="BF85" s="2">
        <v>7.149564986855049E-2</v>
      </c>
      <c r="BG85" s="2">
        <v>0.10368571810536763</v>
      </c>
      <c r="BH85" s="2">
        <v>8.4970330952544637E-2</v>
      </c>
      <c r="BI85" s="2">
        <v>8.4593878877262704E-2</v>
      </c>
      <c r="BJ85" s="2">
        <v>5.7447105462779965E-2</v>
      </c>
      <c r="BK85" s="2">
        <v>8.5153852345557474E-2</v>
      </c>
      <c r="BL85" s="2">
        <v>7.4158058913035174E-2</v>
      </c>
      <c r="BM85" s="2">
        <v>7.5718189192107169E-2</v>
      </c>
      <c r="BN85" s="2">
        <v>7.3955559365675619E-2</v>
      </c>
    </row>
    <row r="86" spans="1:66" x14ac:dyDescent="0.25">
      <c r="A86" s="8">
        <v>17368</v>
      </c>
      <c r="B86" s="8" t="s">
        <v>909</v>
      </c>
      <c r="C86" s="5">
        <v>21000</v>
      </c>
      <c r="D86" s="5">
        <f>+$C86*BC86</f>
        <v>1872.812884923587</v>
      </c>
      <c r="E86" s="5">
        <f>+$C86*BD86</f>
        <v>2239.7083555234917</v>
      </c>
      <c r="F86" s="5">
        <f>+$C86*BE86</f>
        <v>1982.1583078195004</v>
      </c>
      <c r="G86" s="5">
        <f>+$C86*BF86</f>
        <v>1501.4086472395602</v>
      </c>
      <c r="H86" s="5">
        <f>+$C86*BG86</f>
        <v>2177.4000802127202</v>
      </c>
      <c r="I86" s="5">
        <f>+$C86*BH86</f>
        <v>1784.3769500034373</v>
      </c>
      <c r="J86" s="5">
        <f>+$C86*BI86</f>
        <v>1776.4714564225169</v>
      </c>
      <c r="K86" s="5">
        <f>+$C86*BJ86</f>
        <v>1206.3892147183792</v>
      </c>
      <c r="L86" s="5">
        <f>+$C86*BK86</f>
        <v>1788.2308992567068</v>
      </c>
      <c r="M86" s="5">
        <f>+$C86*BL86</f>
        <v>1557.3192371737387</v>
      </c>
      <c r="N86" s="5">
        <f>+$C86*BM86</f>
        <v>1590.0819730342505</v>
      </c>
      <c r="O86" s="5">
        <f>+$C86*BN86</f>
        <v>1553.0667466791881</v>
      </c>
      <c r="P86" s="5">
        <v>0</v>
      </c>
      <c r="Q86" s="5">
        <f>+$P86*BC86</f>
        <v>0</v>
      </c>
      <c r="R86" s="5">
        <f>+$P86*BD86</f>
        <v>0</v>
      </c>
      <c r="S86" s="5">
        <f>+$P86*BE86</f>
        <v>0</v>
      </c>
      <c r="T86" s="5">
        <f>+$P86*BF86</f>
        <v>0</v>
      </c>
      <c r="U86" s="5">
        <f>+$P86*BG86</f>
        <v>0</v>
      </c>
      <c r="V86" s="5">
        <f>+$P86*BH86</f>
        <v>0</v>
      </c>
      <c r="W86" s="5">
        <f>+$P86*BI86</f>
        <v>0</v>
      </c>
      <c r="X86" s="5">
        <f>+$P86*BJ86</f>
        <v>0</v>
      </c>
      <c r="Y86" s="5">
        <f>+$P86*BK86</f>
        <v>0</v>
      </c>
      <c r="Z86" s="5">
        <f>+$P86*BL86</f>
        <v>0</v>
      </c>
      <c r="AA86" s="5">
        <f>+$P86*BM86</f>
        <v>0</v>
      </c>
      <c r="AB86" s="5">
        <f>+$P86*BN86</f>
        <v>0</v>
      </c>
      <c r="AC86" s="5">
        <v>0</v>
      </c>
      <c r="AD86" s="5">
        <f>+$AC86*BC86</f>
        <v>0</v>
      </c>
      <c r="AE86" s="5">
        <f>+$AC86*BD86</f>
        <v>0</v>
      </c>
      <c r="AF86" s="5">
        <f>+$AC86*BE86</f>
        <v>0</v>
      </c>
      <c r="AG86" s="5">
        <f>+$AC86*BF86</f>
        <v>0</v>
      </c>
      <c r="AH86" s="5">
        <f>+$AC86*BG86</f>
        <v>0</v>
      </c>
      <c r="AI86" s="5">
        <f>+$AC86*BH86</f>
        <v>0</v>
      </c>
      <c r="AJ86" s="5">
        <f>+$AC86*BI86</f>
        <v>0</v>
      </c>
      <c r="AK86" s="5">
        <f>+$AC86*BJ86</f>
        <v>0</v>
      </c>
      <c r="AL86" s="5">
        <f>+$AC86*BK86</f>
        <v>0</v>
      </c>
      <c r="AM86" s="5">
        <f>+$AC86*BL86</f>
        <v>0</v>
      </c>
      <c r="AN86" s="5">
        <f>+$AC86*BM86</f>
        <v>0</v>
      </c>
      <c r="AO86" s="5">
        <f>+$AC86*BN86</f>
        <v>0</v>
      </c>
      <c r="AP86" s="5">
        <f>+AC86+P86+C86</f>
        <v>21000</v>
      </c>
      <c r="AQ86" s="1">
        <v>1872.812884923587</v>
      </c>
      <c r="AR86" s="1">
        <v>2239.7083555234917</v>
      </c>
      <c r="AS86" s="1">
        <v>1982.1583078195004</v>
      </c>
      <c r="AT86" s="1">
        <v>1501.4086472395602</v>
      </c>
      <c r="AU86" s="1">
        <v>2177.4000802127202</v>
      </c>
      <c r="AV86" s="1">
        <v>1784.3769500034373</v>
      </c>
      <c r="AW86" s="1">
        <v>1776.4714564225169</v>
      </c>
      <c r="AX86" s="1">
        <v>1206.3892147183792</v>
      </c>
      <c r="AY86" s="1">
        <v>1788.2308992567068</v>
      </c>
      <c r="AZ86" s="1">
        <v>1557.3192371737387</v>
      </c>
      <c r="BA86" s="1">
        <v>1590.0819730342505</v>
      </c>
      <c r="BB86" s="1">
        <v>1553.0667466791881</v>
      </c>
      <c r="BC86" s="2">
        <v>8.9181565948742242E-2</v>
      </c>
      <c r="BD86" s="2">
        <v>0.10665277883445198</v>
      </c>
      <c r="BE86" s="2">
        <v>9.438849084854764E-2</v>
      </c>
      <c r="BF86" s="2">
        <v>7.149564986855049E-2</v>
      </c>
      <c r="BG86" s="2">
        <v>0.10368571810536763</v>
      </c>
      <c r="BH86" s="2">
        <v>8.4970330952544637E-2</v>
      </c>
      <c r="BI86" s="2">
        <v>8.4593878877262704E-2</v>
      </c>
      <c r="BJ86" s="2">
        <v>5.7447105462779965E-2</v>
      </c>
      <c r="BK86" s="2">
        <v>8.5153852345557474E-2</v>
      </c>
      <c r="BL86" s="2">
        <v>7.4158058913035174E-2</v>
      </c>
      <c r="BM86" s="2">
        <v>7.5718189192107169E-2</v>
      </c>
      <c r="BN86" s="2">
        <v>7.3955559365675619E-2</v>
      </c>
    </row>
    <row r="87" spans="1:66" x14ac:dyDescent="0.25">
      <c r="A87" s="8">
        <v>1352</v>
      </c>
      <c r="B87" s="8" t="s">
        <v>908</v>
      </c>
      <c r="C87" s="5">
        <v>50000</v>
      </c>
      <c r="D87" s="5">
        <f>+$C87*BC87</f>
        <v>4459.0782974371123</v>
      </c>
      <c r="E87" s="5">
        <f>+$C87*BD87</f>
        <v>5332.6389417225992</v>
      </c>
      <c r="F87" s="5">
        <f>+$C87*BE87</f>
        <v>4719.4245424273822</v>
      </c>
      <c r="G87" s="5">
        <f>+$C87*BF87</f>
        <v>3574.7824934275245</v>
      </c>
      <c r="H87" s="5">
        <f>+$C87*BG87</f>
        <v>5184.2859052683816</v>
      </c>
      <c r="I87" s="5">
        <f>+$C87*BH87</f>
        <v>4248.5165476272323</v>
      </c>
      <c r="J87" s="5">
        <f>+$C87*BI87</f>
        <v>4229.6939438631352</v>
      </c>
      <c r="K87" s="5">
        <f>+$C87*BJ87</f>
        <v>2872.3552731389982</v>
      </c>
      <c r="L87" s="5">
        <f>+$C87*BK87</f>
        <v>4257.692617277874</v>
      </c>
      <c r="M87" s="5">
        <f>+$C87*BL87</f>
        <v>3707.9029456517587</v>
      </c>
      <c r="N87" s="5">
        <f>+$C87*BM87</f>
        <v>3785.9094596053583</v>
      </c>
      <c r="O87" s="5">
        <f>+$C87*BN87</f>
        <v>3697.7779682837809</v>
      </c>
      <c r="P87" s="5">
        <v>0</v>
      </c>
      <c r="Q87" s="5">
        <f>+$P87*BC87</f>
        <v>0</v>
      </c>
      <c r="R87" s="5">
        <f>+$P87*BD87</f>
        <v>0</v>
      </c>
      <c r="S87" s="5">
        <f>+$P87*BE87</f>
        <v>0</v>
      </c>
      <c r="T87" s="5">
        <f>+$P87*BF87</f>
        <v>0</v>
      </c>
      <c r="U87" s="5">
        <f>+$P87*BG87</f>
        <v>0</v>
      </c>
      <c r="V87" s="5">
        <f>+$P87*BH87</f>
        <v>0</v>
      </c>
      <c r="W87" s="5">
        <f>+$P87*BI87</f>
        <v>0</v>
      </c>
      <c r="X87" s="5">
        <f>+$P87*BJ87</f>
        <v>0</v>
      </c>
      <c r="Y87" s="5">
        <f>+$P87*BK87</f>
        <v>0</v>
      </c>
      <c r="Z87" s="5">
        <f>+$P87*BL87</f>
        <v>0</v>
      </c>
      <c r="AA87" s="5">
        <f>+$P87*BM87</f>
        <v>0</v>
      </c>
      <c r="AB87" s="5">
        <f>+$P87*BN87</f>
        <v>0</v>
      </c>
      <c r="AC87" s="5">
        <v>0</v>
      </c>
      <c r="AD87" s="5">
        <f>+$AC87*BC87</f>
        <v>0</v>
      </c>
      <c r="AE87" s="5">
        <f>+$AC87*BD87</f>
        <v>0</v>
      </c>
      <c r="AF87" s="5">
        <f>+$AC87*BE87</f>
        <v>0</v>
      </c>
      <c r="AG87" s="5">
        <f>+$AC87*BF87</f>
        <v>0</v>
      </c>
      <c r="AH87" s="5">
        <f>+$AC87*BG87</f>
        <v>0</v>
      </c>
      <c r="AI87" s="5">
        <f>+$AC87*BH87</f>
        <v>0</v>
      </c>
      <c r="AJ87" s="5">
        <f>+$AC87*BI87</f>
        <v>0</v>
      </c>
      <c r="AK87" s="5">
        <f>+$AC87*BJ87</f>
        <v>0</v>
      </c>
      <c r="AL87" s="5">
        <f>+$AC87*BK87</f>
        <v>0</v>
      </c>
      <c r="AM87" s="5">
        <f>+$AC87*BL87</f>
        <v>0</v>
      </c>
      <c r="AN87" s="5">
        <f>+$AC87*BM87</f>
        <v>0</v>
      </c>
      <c r="AO87" s="5">
        <f>+$AC87*BN87</f>
        <v>0</v>
      </c>
      <c r="AP87" s="5">
        <f>+AC87+P87+C87</f>
        <v>50000</v>
      </c>
      <c r="AQ87" s="1">
        <v>1885.9866966639695</v>
      </c>
      <c r="AR87" s="1">
        <v>2255.4629973601382</v>
      </c>
      <c r="AS87" s="1">
        <v>1996.1012812991571</v>
      </c>
      <c r="AT87" s="1">
        <v>1511.9699131424927</v>
      </c>
      <c r="AU87" s="1">
        <v>2192.7164308055271</v>
      </c>
      <c r="AV87" s="1">
        <v>1796.9286823214163</v>
      </c>
      <c r="AW87" s="1">
        <v>1788.9675796163872</v>
      </c>
      <c r="AX87" s="1">
        <v>1214.8752436902357</v>
      </c>
      <c r="AY87" s="1">
        <v>1800.8097411713404</v>
      </c>
      <c r="AZ87" s="1">
        <v>1568.2737914783133</v>
      </c>
      <c r="BA87" s="1">
        <v>1601.2669882235195</v>
      </c>
      <c r="BB87" s="1">
        <v>1563.9913879531264</v>
      </c>
      <c r="BC87" s="2">
        <v>8.9181565948742242E-2</v>
      </c>
      <c r="BD87" s="2">
        <v>0.10665277883445198</v>
      </c>
      <c r="BE87" s="2">
        <v>9.438849084854764E-2</v>
      </c>
      <c r="BF87" s="2">
        <v>7.149564986855049E-2</v>
      </c>
      <c r="BG87" s="2">
        <v>0.10368571810536763</v>
      </c>
      <c r="BH87" s="2">
        <v>8.4970330952544637E-2</v>
      </c>
      <c r="BI87" s="2">
        <v>8.4593878877262704E-2</v>
      </c>
      <c r="BJ87" s="2">
        <v>5.7447105462779965E-2</v>
      </c>
      <c r="BK87" s="2">
        <v>8.5153852345557474E-2</v>
      </c>
      <c r="BL87" s="2">
        <v>7.4158058913035174E-2</v>
      </c>
      <c r="BM87" s="2">
        <v>7.5718189192107169E-2</v>
      </c>
      <c r="BN87" s="2">
        <v>7.3955559365675619E-2</v>
      </c>
    </row>
    <row r="88" spans="1:66" x14ac:dyDescent="0.25">
      <c r="A88" s="8">
        <v>2822</v>
      </c>
      <c r="B88" s="8" t="s">
        <v>907</v>
      </c>
      <c r="C88" s="5">
        <v>0</v>
      </c>
      <c r="D88" s="5">
        <f>+$C88*BC88</f>
        <v>0</v>
      </c>
      <c r="E88" s="5">
        <f>+$C88*BD88</f>
        <v>0</v>
      </c>
      <c r="F88" s="5">
        <f>+$C88*BE88</f>
        <v>0</v>
      </c>
      <c r="G88" s="5">
        <f>+$C88*BF88</f>
        <v>0</v>
      </c>
      <c r="H88" s="5">
        <f>+$C88*BG88</f>
        <v>0</v>
      </c>
      <c r="I88" s="5">
        <f>+$C88*BH88</f>
        <v>0</v>
      </c>
      <c r="J88" s="5">
        <f>+$C88*BI88</f>
        <v>0</v>
      </c>
      <c r="K88" s="5">
        <f>+$C88*BJ88</f>
        <v>0</v>
      </c>
      <c r="L88" s="5">
        <f>+$C88*BK88</f>
        <v>0</v>
      </c>
      <c r="M88" s="5">
        <f>+$C88*BL88</f>
        <v>0</v>
      </c>
      <c r="N88" s="5">
        <f>+$C88*BM88</f>
        <v>0</v>
      </c>
      <c r="O88" s="5">
        <f>+$C88*BN88</f>
        <v>0</v>
      </c>
      <c r="P88" s="5">
        <v>12000</v>
      </c>
      <c r="Q88" s="5">
        <f>+$P88*BC88</f>
        <v>1070.1787913849068</v>
      </c>
      <c r="R88" s="5">
        <f>+$P88*BD88</f>
        <v>1279.8333460134238</v>
      </c>
      <c r="S88" s="5">
        <f>+$P88*BE88</f>
        <v>1132.6618901825716</v>
      </c>
      <c r="T88" s="5">
        <f>+$P88*BF88</f>
        <v>857.94779842260584</v>
      </c>
      <c r="U88" s="5">
        <f>+$P88*BG88</f>
        <v>1244.2286172644115</v>
      </c>
      <c r="V88" s="5">
        <f>+$P88*BH88</f>
        <v>1019.6439714305357</v>
      </c>
      <c r="W88" s="5">
        <f>+$P88*BI88</f>
        <v>1015.1265465271524</v>
      </c>
      <c r="X88" s="5">
        <f>+$P88*BJ88</f>
        <v>689.36526555335956</v>
      </c>
      <c r="Y88" s="5">
        <f>+$P88*BK88</f>
        <v>1021.8462281466897</v>
      </c>
      <c r="Z88" s="5">
        <f>+$P88*BL88</f>
        <v>889.89670695642212</v>
      </c>
      <c r="AA88" s="5">
        <f>+$P88*BM88</f>
        <v>908.61827030528605</v>
      </c>
      <c r="AB88" s="5">
        <f>+$P88*BN88</f>
        <v>887.46671238810745</v>
      </c>
      <c r="AC88" s="5">
        <v>0</v>
      </c>
      <c r="AD88" s="5">
        <f>+$AC88*BC88</f>
        <v>0</v>
      </c>
      <c r="AE88" s="5">
        <f>+$AC88*BD88</f>
        <v>0</v>
      </c>
      <c r="AF88" s="5">
        <f>+$AC88*BE88</f>
        <v>0</v>
      </c>
      <c r="AG88" s="5">
        <f>+$AC88*BF88</f>
        <v>0</v>
      </c>
      <c r="AH88" s="5">
        <f>+$AC88*BG88</f>
        <v>0</v>
      </c>
      <c r="AI88" s="5">
        <f>+$AC88*BH88</f>
        <v>0</v>
      </c>
      <c r="AJ88" s="5">
        <f>+$AC88*BI88</f>
        <v>0</v>
      </c>
      <c r="AK88" s="5">
        <f>+$AC88*BJ88</f>
        <v>0</v>
      </c>
      <c r="AL88" s="5">
        <f>+$AC88*BK88</f>
        <v>0</v>
      </c>
      <c r="AM88" s="5">
        <f>+$AC88*BL88</f>
        <v>0</v>
      </c>
      <c r="AN88" s="5">
        <f>+$AC88*BM88</f>
        <v>0</v>
      </c>
      <c r="AO88" s="5">
        <f>+$AC88*BN88</f>
        <v>0</v>
      </c>
      <c r="AP88" s="5">
        <f>+AC88+P88+C88</f>
        <v>12000</v>
      </c>
      <c r="AQ88" s="1">
        <v>1872.3585940266441</v>
      </c>
      <c r="AR88" s="1">
        <v>2239.1650662681091</v>
      </c>
      <c r="AS88" s="1">
        <v>1981.6774928471179</v>
      </c>
      <c r="AT88" s="1">
        <v>1501.0444483991298</v>
      </c>
      <c r="AU88" s="1">
        <v>2176.8719051646913</v>
      </c>
      <c r="AV88" s="1">
        <v>1783.944111137565</v>
      </c>
      <c r="AW88" s="1">
        <v>1776.0405352035159</v>
      </c>
      <c r="AX88" s="1">
        <v>1206.0965791631518</v>
      </c>
      <c r="AY88" s="1">
        <v>1787.7971255328587</v>
      </c>
      <c r="AZ88" s="1">
        <v>1556.9414760216355</v>
      </c>
      <c r="BA88" s="1">
        <v>1589.6962645785059</v>
      </c>
      <c r="BB88" s="1">
        <v>1552.6900170597792</v>
      </c>
      <c r="BC88" s="2">
        <v>8.9181565948742242E-2</v>
      </c>
      <c r="BD88" s="2">
        <v>0.10665277883445198</v>
      </c>
      <c r="BE88" s="2">
        <v>9.438849084854764E-2</v>
      </c>
      <c r="BF88" s="2">
        <v>7.149564986855049E-2</v>
      </c>
      <c r="BG88" s="2">
        <v>0.10368571810536763</v>
      </c>
      <c r="BH88" s="2">
        <v>8.4970330952544637E-2</v>
      </c>
      <c r="BI88" s="2">
        <v>8.4593878877262704E-2</v>
      </c>
      <c r="BJ88" s="2">
        <v>5.7447105462779965E-2</v>
      </c>
      <c r="BK88" s="2">
        <v>8.5153852345557474E-2</v>
      </c>
      <c r="BL88" s="2">
        <v>7.4158058913035174E-2</v>
      </c>
      <c r="BM88" s="2">
        <v>7.5718189192107169E-2</v>
      </c>
      <c r="BN88" s="2">
        <v>7.3955559365675619E-2</v>
      </c>
    </row>
    <row r="89" spans="1:66" x14ac:dyDescent="0.25">
      <c r="A89" s="8">
        <v>3379</v>
      </c>
      <c r="B89" s="8" t="s">
        <v>906</v>
      </c>
      <c r="C89" s="5">
        <v>20000</v>
      </c>
      <c r="D89" s="5">
        <f>+$C89*BC89</f>
        <v>1783.6313189748448</v>
      </c>
      <c r="E89" s="5">
        <f>+$C89*BD89</f>
        <v>2133.0555766890398</v>
      </c>
      <c r="F89" s="5">
        <f>+$C89*BE89</f>
        <v>1887.7698169709529</v>
      </c>
      <c r="G89" s="5">
        <f>+$C89*BF89</f>
        <v>1429.9129973710099</v>
      </c>
      <c r="H89" s="5">
        <f>+$C89*BG89</f>
        <v>2073.7143621073524</v>
      </c>
      <c r="I89" s="5">
        <f>+$C89*BH89</f>
        <v>1699.4066190508927</v>
      </c>
      <c r="J89" s="5">
        <f>+$C89*BI89</f>
        <v>1691.8775775452541</v>
      </c>
      <c r="K89" s="5">
        <f>+$C89*BJ89</f>
        <v>1148.9421092555992</v>
      </c>
      <c r="L89" s="5">
        <f>+$C89*BK89</f>
        <v>1703.0770469111494</v>
      </c>
      <c r="M89" s="5">
        <f>+$C89*BL89</f>
        <v>1483.1611782607035</v>
      </c>
      <c r="N89" s="5">
        <f>+$C89*BM89</f>
        <v>1514.3637838421434</v>
      </c>
      <c r="O89" s="5">
        <f>+$C89*BN89</f>
        <v>1479.1111873135123</v>
      </c>
      <c r="P89" s="5">
        <v>0</v>
      </c>
      <c r="Q89" s="5">
        <f>+$P89*BC89</f>
        <v>0</v>
      </c>
      <c r="R89" s="5">
        <f>+$P89*BD89</f>
        <v>0</v>
      </c>
      <c r="S89" s="5">
        <f>+$P89*BE89</f>
        <v>0</v>
      </c>
      <c r="T89" s="5">
        <f>+$P89*BF89</f>
        <v>0</v>
      </c>
      <c r="U89" s="5">
        <f>+$P89*BG89</f>
        <v>0</v>
      </c>
      <c r="V89" s="5">
        <f>+$P89*BH89</f>
        <v>0</v>
      </c>
      <c r="W89" s="5">
        <f>+$P89*BI89</f>
        <v>0</v>
      </c>
      <c r="X89" s="5">
        <f>+$P89*BJ89</f>
        <v>0</v>
      </c>
      <c r="Y89" s="5">
        <f>+$P89*BK89</f>
        <v>0</v>
      </c>
      <c r="Z89" s="5">
        <f>+$P89*BL89</f>
        <v>0</v>
      </c>
      <c r="AA89" s="5">
        <f>+$P89*BM89</f>
        <v>0</v>
      </c>
      <c r="AB89" s="5">
        <f>+$P89*BN89</f>
        <v>0</v>
      </c>
      <c r="AC89" s="5">
        <v>0</v>
      </c>
      <c r="AD89" s="5">
        <f>+$AC89*BC89</f>
        <v>0</v>
      </c>
      <c r="AE89" s="5">
        <f>+$AC89*BD89</f>
        <v>0</v>
      </c>
      <c r="AF89" s="5">
        <f>+$AC89*BE89</f>
        <v>0</v>
      </c>
      <c r="AG89" s="5">
        <f>+$AC89*BF89</f>
        <v>0</v>
      </c>
      <c r="AH89" s="5">
        <f>+$AC89*BG89</f>
        <v>0</v>
      </c>
      <c r="AI89" s="5">
        <f>+$AC89*BH89</f>
        <v>0</v>
      </c>
      <c r="AJ89" s="5">
        <f>+$AC89*BI89</f>
        <v>0</v>
      </c>
      <c r="AK89" s="5">
        <f>+$AC89*BJ89</f>
        <v>0</v>
      </c>
      <c r="AL89" s="5">
        <f>+$AC89*BK89</f>
        <v>0</v>
      </c>
      <c r="AM89" s="5">
        <f>+$AC89*BL89</f>
        <v>0</v>
      </c>
      <c r="AN89" s="5">
        <f>+$AC89*BM89</f>
        <v>0</v>
      </c>
      <c r="AO89" s="5">
        <f>+$AC89*BN89</f>
        <v>0</v>
      </c>
      <c r="AP89" s="5">
        <f>+AC89+P89+C89</f>
        <v>20000</v>
      </c>
      <c r="AQ89" s="1">
        <v>1783.6313189748448</v>
      </c>
      <c r="AR89" s="1">
        <v>2133.0555766890398</v>
      </c>
      <c r="AS89" s="1">
        <v>1887.7698169709529</v>
      </c>
      <c r="AT89" s="1">
        <v>1429.9129973710099</v>
      </c>
      <c r="AU89" s="1">
        <v>2073.7143621073524</v>
      </c>
      <c r="AV89" s="1">
        <v>1699.4066190508927</v>
      </c>
      <c r="AW89" s="1">
        <v>1691.8775775452541</v>
      </c>
      <c r="AX89" s="1">
        <v>1148.9421092555992</v>
      </c>
      <c r="AY89" s="1">
        <v>1703.0770469111494</v>
      </c>
      <c r="AZ89" s="1">
        <v>1483.1611782607035</v>
      </c>
      <c r="BA89" s="1">
        <v>1514.3637838421434</v>
      </c>
      <c r="BB89" s="1">
        <v>1479.1111873135123</v>
      </c>
      <c r="BC89" s="2">
        <v>8.9181565948742242E-2</v>
      </c>
      <c r="BD89" s="2">
        <v>0.10665277883445198</v>
      </c>
      <c r="BE89" s="2">
        <v>9.438849084854764E-2</v>
      </c>
      <c r="BF89" s="2">
        <v>7.149564986855049E-2</v>
      </c>
      <c r="BG89" s="2">
        <v>0.10368571810536763</v>
      </c>
      <c r="BH89" s="2">
        <v>8.4970330952544637E-2</v>
      </c>
      <c r="BI89" s="2">
        <v>8.4593878877262704E-2</v>
      </c>
      <c r="BJ89" s="2">
        <v>5.7447105462779965E-2</v>
      </c>
      <c r="BK89" s="2">
        <v>8.5153852345557474E-2</v>
      </c>
      <c r="BL89" s="2">
        <v>7.4158058913035174E-2</v>
      </c>
      <c r="BM89" s="2">
        <v>7.5718189192107169E-2</v>
      </c>
      <c r="BN89" s="2">
        <v>7.3955559365675619E-2</v>
      </c>
    </row>
    <row r="90" spans="1:66" x14ac:dyDescent="0.25">
      <c r="A90" s="8">
        <v>3599</v>
      </c>
      <c r="B90" s="8" t="s">
        <v>905</v>
      </c>
      <c r="C90" s="5">
        <v>0</v>
      </c>
      <c r="D90" s="5">
        <f>+$C90*BC90</f>
        <v>0</v>
      </c>
      <c r="E90" s="5">
        <f>+$C90*BD90</f>
        <v>0</v>
      </c>
      <c r="F90" s="5">
        <f>+$C90*BE90</f>
        <v>0</v>
      </c>
      <c r="G90" s="5">
        <f>+$C90*BF90</f>
        <v>0</v>
      </c>
      <c r="H90" s="5">
        <f>+$C90*BG90</f>
        <v>0</v>
      </c>
      <c r="I90" s="5">
        <f>+$C90*BH90</f>
        <v>0</v>
      </c>
      <c r="J90" s="5">
        <f>+$C90*BI90</f>
        <v>0</v>
      </c>
      <c r="K90" s="5">
        <f>+$C90*BJ90</f>
        <v>0</v>
      </c>
      <c r="L90" s="5">
        <f>+$C90*BK90</f>
        <v>0</v>
      </c>
      <c r="M90" s="5">
        <f>+$C90*BL90</f>
        <v>0</v>
      </c>
      <c r="N90" s="5">
        <f>+$C90*BM90</f>
        <v>0</v>
      </c>
      <c r="O90" s="5">
        <f>+$C90*BN90</f>
        <v>0</v>
      </c>
      <c r="P90" s="5">
        <v>20000</v>
      </c>
      <c r="Q90" s="5">
        <f>+$P90*BC90</f>
        <v>1783.6313189748448</v>
      </c>
      <c r="R90" s="5">
        <f>+$P90*BD90</f>
        <v>2133.0555766890398</v>
      </c>
      <c r="S90" s="5">
        <f>+$P90*BE90</f>
        <v>1887.7698169709529</v>
      </c>
      <c r="T90" s="5">
        <f>+$P90*BF90</f>
        <v>1429.9129973710099</v>
      </c>
      <c r="U90" s="5">
        <f>+$P90*BG90</f>
        <v>2073.7143621073524</v>
      </c>
      <c r="V90" s="5">
        <f>+$P90*BH90</f>
        <v>1699.4066190508927</v>
      </c>
      <c r="W90" s="5">
        <f>+$P90*BI90</f>
        <v>1691.8775775452541</v>
      </c>
      <c r="X90" s="5">
        <f>+$P90*BJ90</f>
        <v>1148.9421092555992</v>
      </c>
      <c r="Y90" s="5">
        <f>+$P90*BK90</f>
        <v>1703.0770469111494</v>
      </c>
      <c r="Z90" s="5">
        <f>+$P90*BL90</f>
        <v>1483.1611782607035</v>
      </c>
      <c r="AA90" s="5">
        <f>+$P90*BM90</f>
        <v>1514.3637838421434</v>
      </c>
      <c r="AB90" s="5">
        <f>+$P90*BN90</f>
        <v>1479.1111873135123</v>
      </c>
      <c r="AC90" s="5">
        <v>0</v>
      </c>
      <c r="AD90" s="5">
        <f>+$AC90*BC90</f>
        <v>0</v>
      </c>
      <c r="AE90" s="5">
        <f>+$AC90*BD90</f>
        <v>0</v>
      </c>
      <c r="AF90" s="5">
        <f>+$AC90*BE90</f>
        <v>0</v>
      </c>
      <c r="AG90" s="5">
        <f>+$AC90*BF90</f>
        <v>0</v>
      </c>
      <c r="AH90" s="5">
        <f>+$AC90*BG90</f>
        <v>0</v>
      </c>
      <c r="AI90" s="5">
        <f>+$AC90*BH90</f>
        <v>0</v>
      </c>
      <c r="AJ90" s="5">
        <f>+$AC90*BI90</f>
        <v>0</v>
      </c>
      <c r="AK90" s="5">
        <f>+$AC90*BJ90</f>
        <v>0</v>
      </c>
      <c r="AL90" s="5">
        <f>+$AC90*BK90</f>
        <v>0</v>
      </c>
      <c r="AM90" s="5">
        <f>+$AC90*BL90</f>
        <v>0</v>
      </c>
      <c r="AN90" s="5">
        <f>+$AC90*BM90</f>
        <v>0</v>
      </c>
      <c r="AO90" s="5">
        <f>+$AC90*BN90</f>
        <v>0</v>
      </c>
      <c r="AP90" s="5">
        <f>+AC90+P90+C90</f>
        <v>20000</v>
      </c>
      <c r="AQ90" s="1">
        <v>1783.6313189748448</v>
      </c>
      <c r="AR90" s="1">
        <v>2133.0555766890398</v>
      </c>
      <c r="AS90" s="1">
        <v>1887.7698169709529</v>
      </c>
      <c r="AT90" s="1">
        <v>1429.9129973710099</v>
      </c>
      <c r="AU90" s="1">
        <v>2073.7143621073524</v>
      </c>
      <c r="AV90" s="1">
        <v>1699.4066190508927</v>
      </c>
      <c r="AW90" s="1">
        <v>1691.8775775452541</v>
      </c>
      <c r="AX90" s="1">
        <v>1148.9421092555992</v>
      </c>
      <c r="AY90" s="1">
        <v>1703.0770469111494</v>
      </c>
      <c r="AZ90" s="1">
        <v>1483.1611782607035</v>
      </c>
      <c r="BA90" s="1">
        <v>1514.3637838421434</v>
      </c>
      <c r="BB90" s="1">
        <v>1479.1111873135123</v>
      </c>
      <c r="BC90" s="2">
        <v>8.9181565948742242E-2</v>
      </c>
      <c r="BD90" s="2">
        <v>0.10665277883445198</v>
      </c>
      <c r="BE90" s="2">
        <v>9.438849084854764E-2</v>
      </c>
      <c r="BF90" s="2">
        <v>7.149564986855049E-2</v>
      </c>
      <c r="BG90" s="2">
        <v>0.10368571810536763</v>
      </c>
      <c r="BH90" s="2">
        <v>8.4970330952544637E-2</v>
      </c>
      <c r="BI90" s="2">
        <v>8.4593878877262704E-2</v>
      </c>
      <c r="BJ90" s="2">
        <v>5.7447105462779965E-2</v>
      </c>
      <c r="BK90" s="2">
        <v>8.5153852345557474E-2</v>
      </c>
      <c r="BL90" s="2">
        <v>7.4158058913035174E-2</v>
      </c>
      <c r="BM90" s="2">
        <v>7.5718189192107169E-2</v>
      </c>
      <c r="BN90" s="2">
        <v>7.3955559365675619E-2</v>
      </c>
    </row>
    <row r="91" spans="1:66" x14ac:dyDescent="0.25">
      <c r="A91" s="8">
        <v>4955</v>
      </c>
      <c r="B91" s="8" t="s">
        <v>904</v>
      </c>
      <c r="C91" s="5">
        <v>0</v>
      </c>
      <c r="D91" s="5">
        <f>+$C91*BC91</f>
        <v>0</v>
      </c>
      <c r="E91" s="5">
        <f>+$C91*BD91</f>
        <v>0</v>
      </c>
      <c r="F91" s="5">
        <f>+$C91*BE91</f>
        <v>0</v>
      </c>
      <c r="G91" s="5">
        <f>+$C91*BF91</f>
        <v>0</v>
      </c>
      <c r="H91" s="5">
        <f>+$C91*BG91</f>
        <v>0</v>
      </c>
      <c r="I91" s="5">
        <f>+$C91*BH91</f>
        <v>0</v>
      </c>
      <c r="J91" s="5">
        <f>+$C91*BI91</f>
        <v>0</v>
      </c>
      <c r="K91" s="5">
        <f>+$C91*BJ91</f>
        <v>0</v>
      </c>
      <c r="L91" s="5">
        <f>+$C91*BK91</f>
        <v>0</v>
      </c>
      <c r="M91" s="5">
        <f>+$C91*BL91</f>
        <v>0</v>
      </c>
      <c r="N91" s="5">
        <f>+$C91*BM91</f>
        <v>0</v>
      </c>
      <c r="O91" s="5">
        <f>+$C91*BN91</f>
        <v>0</v>
      </c>
      <c r="P91" s="5">
        <v>20000</v>
      </c>
      <c r="Q91" s="5">
        <f>+$P91*BC91</f>
        <v>1783.6313189748448</v>
      </c>
      <c r="R91" s="5">
        <f>+$P91*BD91</f>
        <v>2133.0555766890398</v>
      </c>
      <c r="S91" s="5">
        <f>+$P91*BE91</f>
        <v>1887.7698169709529</v>
      </c>
      <c r="T91" s="5">
        <f>+$P91*BF91</f>
        <v>1429.9129973710099</v>
      </c>
      <c r="U91" s="5">
        <f>+$P91*BG91</f>
        <v>2073.7143621073524</v>
      </c>
      <c r="V91" s="5">
        <f>+$P91*BH91</f>
        <v>1699.4066190508927</v>
      </c>
      <c r="W91" s="5">
        <f>+$P91*BI91</f>
        <v>1691.8775775452541</v>
      </c>
      <c r="X91" s="5">
        <f>+$P91*BJ91</f>
        <v>1148.9421092555992</v>
      </c>
      <c r="Y91" s="5">
        <f>+$P91*BK91</f>
        <v>1703.0770469111494</v>
      </c>
      <c r="Z91" s="5">
        <f>+$P91*BL91</f>
        <v>1483.1611782607035</v>
      </c>
      <c r="AA91" s="5">
        <f>+$P91*BM91</f>
        <v>1514.3637838421434</v>
      </c>
      <c r="AB91" s="5">
        <f>+$P91*BN91</f>
        <v>1479.1111873135123</v>
      </c>
      <c r="AC91" s="5">
        <v>0</v>
      </c>
      <c r="AD91" s="5">
        <f>+$AC91*BC91</f>
        <v>0</v>
      </c>
      <c r="AE91" s="5">
        <f>+$AC91*BD91</f>
        <v>0</v>
      </c>
      <c r="AF91" s="5">
        <f>+$AC91*BE91</f>
        <v>0</v>
      </c>
      <c r="AG91" s="5">
        <f>+$AC91*BF91</f>
        <v>0</v>
      </c>
      <c r="AH91" s="5">
        <f>+$AC91*BG91</f>
        <v>0</v>
      </c>
      <c r="AI91" s="5">
        <f>+$AC91*BH91</f>
        <v>0</v>
      </c>
      <c r="AJ91" s="5">
        <f>+$AC91*BI91</f>
        <v>0</v>
      </c>
      <c r="AK91" s="5">
        <f>+$AC91*BJ91</f>
        <v>0</v>
      </c>
      <c r="AL91" s="5">
        <f>+$AC91*BK91</f>
        <v>0</v>
      </c>
      <c r="AM91" s="5">
        <f>+$AC91*BL91</f>
        <v>0</v>
      </c>
      <c r="AN91" s="5">
        <f>+$AC91*BM91</f>
        <v>0</v>
      </c>
      <c r="AO91" s="5">
        <f>+$AC91*BN91</f>
        <v>0</v>
      </c>
      <c r="AP91" s="5">
        <f>+AC91+P91+C91</f>
        <v>20000</v>
      </c>
      <c r="AQ91" s="1">
        <v>1783.6313189748448</v>
      </c>
      <c r="AR91" s="1">
        <v>2133.0555766890398</v>
      </c>
      <c r="AS91" s="1">
        <v>1887.7698169709529</v>
      </c>
      <c r="AT91" s="1">
        <v>1429.9129973710099</v>
      </c>
      <c r="AU91" s="1">
        <v>2073.7143621073524</v>
      </c>
      <c r="AV91" s="1">
        <v>1699.4066190508927</v>
      </c>
      <c r="AW91" s="1">
        <v>1691.8775775452541</v>
      </c>
      <c r="AX91" s="1">
        <v>1148.9421092555992</v>
      </c>
      <c r="AY91" s="1">
        <v>1703.0770469111494</v>
      </c>
      <c r="AZ91" s="1">
        <v>1483.1611782607035</v>
      </c>
      <c r="BA91" s="1">
        <v>1514.3637838421434</v>
      </c>
      <c r="BB91" s="1">
        <v>1479.1111873135123</v>
      </c>
      <c r="BC91" s="2">
        <v>8.9181565948742242E-2</v>
      </c>
      <c r="BD91" s="2">
        <v>0.10665277883445198</v>
      </c>
      <c r="BE91" s="2">
        <v>9.438849084854764E-2</v>
      </c>
      <c r="BF91" s="2">
        <v>7.149564986855049E-2</v>
      </c>
      <c r="BG91" s="2">
        <v>0.10368571810536763</v>
      </c>
      <c r="BH91" s="2">
        <v>8.4970330952544637E-2</v>
      </c>
      <c r="BI91" s="2">
        <v>8.4593878877262704E-2</v>
      </c>
      <c r="BJ91" s="2">
        <v>5.7447105462779965E-2</v>
      </c>
      <c r="BK91" s="2">
        <v>8.5153852345557474E-2</v>
      </c>
      <c r="BL91" s="2">
        <v>7.4158058913035174E-2</v>
      </c>
      <c r="BM91" s="2">
        <v>7.5718189192107169E-2</v>
      </c>
      <c r="BN91" s="2">
        <v>7.3955559365675619E-2</v>
      </c>
    </row>
    <row r="92" spans="1:66" x14ac:dyDescent="0.25">
      <c r="A92" s="8">
        <v>5549</v>
      </c>
      <c r="B92" s="8" t="s">
        <v>903</v>
      </c>
      <c r="C92" s="5">
        <v>0</v>
      </c>
      <c r="D92" s="5">
        <f>+$C92*BC92</f>
        <v>0</v>
      </c>
      <c r="E92" s="5">
        <f>+$C92*BD92</f>
        <v>0</v>
      </c>
      <c r="F92" s="5">
        <f>+$C92*BE92</f>
        <v>0</v>
      </c>
      <c r="G92" s="5">
        <f>+$C92*BF92</f>
        <v>0</v>
      </c>
      <c r="H92" s="5">
        <f>+$C92*BG92</f>
        <v>0</v>
      </c>
      <c r="I92" s="5">
        <f>+$C92*BH92</f>
        <v>0</v>
      </c>
      <c r="J92" s="5">
        <f>+$C92*BI92</f>
        <v>0</v>
      </c>
      <c r="K92" s="5">
        <f>+$C92*BJ92</f>
        <v>0</v>
      </c>
      <c r="L92" s="5">
        <f>+$C92*BK92</f>
        <v>0</v>
      </c>
      <c r="M92" s="5">
        <f>+$C92*BL92</f>
        <v>0</v>
      </c>
      <c r="N92" s="5">
        <f>+$C92*BM92</f>
        <v>0</v>
      </c>
      <c r="O92" s="5">
        <f>+$C92*BN92</f>
        <v>0</v>
      </c>
      <c r="P92" s="5">
        <v>0</v>
      </c>
      <c r="Q92" s="5">
        <f>+$P92*BC92</f>
        <v>0</v>
      </c>
      <c r="R92" s="5">
        <f>+$P92*BD92</f>
        <v>0</v>
      </c>
      <c r="S92" s="5">
        <f>+$P92*BE92</f>
        <v>0</v>
      </c>
      <c r="T92" s="5">
        <f>+$P92*BF92</f>
        <v>0</v>
      </c>
      <c r="U92" s="5">
        <f>+$P92*BG92</f>
        <v>0</v>
      </c>
      <c r="V92" s="5">
        <f>+$P92*BH92</f>
        <v>0</v>
      </c>
      <c r="W92" s="5">
        <f>+$P92*BI92</f>
        <v>0</v>
      </c>
      <c r="X92" s="5">
        <f>+$P92*BJ92</f>
        <v>0</v>
      </c>
      <c r="Y92" s="5">
        <f>+$P92*BK92</f>
        <v>0</v>
      </c>
      <c r="Z92" s="5">
        <f>+$P92*BL92</f>
        <v>0</v>
      </c>
      <c r="AA92" s="5">
        <f>+$P92*BM92</f>
        <v>0</v>
      </c>
      <c r="AB92" s="5">
        <f>+$P92*BN92</f>
        <v>0</v>
      </c>
      <c r="AC92" s="5">
        <v>1200</v>
      </c>
      <c r="AD92" s="5">
        <f>+$AC92*BC92</f>
        <v>107.01787913849068</v>
      </c>
      <c r="AE92" s="5">
        <f>+$AC92*BD92</f>
        <v>127.98333460134238</v>
      </c>
      <c r="AF92" s="5">
        <f>+$AC92*BE92</f>
        <v>113.26618901825717</v>
      </c>
      <c r="AG92" s="5">
        <f>+$AC92*BF92</f>
        <v>85.794779842260581</v>
      </c>
      <c r="AH92" s="5">
        <f>+$AC92*BG92</f>
        <v>124.42286172644116</v>
      </c>
      <c r="AI92" s="5">
        <f>+$AC92*BH92</f>
        <v>101.96439714305356</v>
      </c>
      <c r="AJ92" s="5">
        <f>+$AC92*BI92</f>
        <v>101.51265465271524</v>
      </c>
      <c r="AK92" s="5">
        <f>+$AC92*BJ92</f>
        <v>68.936526555335959</v>
      </c>
      <c r="AL92" s="5">
        <f>+$AC92*BK92</f>
        <v>102.18462281466897</v>
      </c>
      <c r="AM92" s="5">
        <f>+$AC92*BL92</f>
        <v>88.989670695642204</v>
      </c>
      <c r="AN92" s="5">
        <f>+$AC92*BM92</f>
        <v>90.861827030528602</v>
      </c>
      <c r="AO92" s="5">
        <f>+$AC92*BN92</f>
        <v>88.746671238810748</v>
      </c>
      <c r="AP92" s="5">
        <f>+AC92+P92+C92</f>
        <v>1200</v>
      </c>
      <c r="AQ92" s="1">
        <v>1783.6313189748448</v>
      </c>
      <c r="AR92" s="1">
        <v>2133.0555766890398</v>
      </c>
      <c r="AS92" s="1">
        <v>1887.7698169709529</v>
      </c>
      <c r="AT92" s="1">
        <v>1429.9129973710099</v>
      </c>
      <c r="AU92" s="1">
        <v>2073.7143621073524</v>
      </c>
      <c r="AV92" s="1">
        <v>1699.4066190508927</v>
      </c>
      <c r="AW92" s="1">
        <v>1691.8775775452541</v>
      </c>
      <c r="AX92" s="1">
        <v>1148.9421092555992</v>
      </c>
      <c r="AY92" s="1">
        <v>1703.0770469111494</v>
      </c>
      <c r="AZ92" s="1">
        <v>1483.1611782607035</v>
      </c>
      <c r="BA92" s="1">
        <v>1514.3637838421434</v>
      </c>
      <c r="BB92" s="1">
        <v>1479.1111873135123</v>
      </c>
      <c r="BC92" s="2">
        <v>8.9181565948742242E-2</v>
      </c>
      <c r="BD92" s="2">
        <v>0.10665277883445198</v>
      </c>
      <c r="BE92" s="2">
        <v>9.438849084854764E-2</v>
      </c>
      <c r="BF92" s="2">
        <v>7.149564986855049E-2</v>
      </c>
      <c r="BG92" s="2">
        <v>0.10368571810536763</v>
      </c>
      <c r="BH92" s="2">
        <v>8.4970330952544637E-2</v>
      </c>
      <c r="BI92" s="2">
        <v>8.4593878877262704E-2</v>
      </c>
      <c r="BJ92" s="2">
        <v>5.7447105462779965E-2</v>
      </c>
      <c r="BK92" s="2">
        <v>8.5153852345557474E-2</v>
      </c>
      <c r="BL92" s="2">
        <v>7.4158058913035174E-2</v>
      </c>
      <c r="BM92" s="2">
        <v>7.5718189192107169E-2</v>
      </c>
      <c r="BN92" s="2">
        <v>7.3955559365675619E-2</v>
      </c>
    </row>
    <row r="93" spans="1:66" x14ac:dyDescent="0.25">
      <c r="A93" s="8">
        <v>15411</v>
      </c>
      <c r="B93" s="8" t="s">
        <v>902</v>
      </c>
      <c r="C93" s="5">
        <v>0</v>
      </c>
      <c r="D93" s="5">
        <f>+$C93*BC93</f>
        <v>0</v>
      </c>
      <c r="E93" s="5">
        <f>+$C93*BD93</f>
        <v>0</v>
      </c>
      <c r="F93" s="5">
        <f>+$C93*BE93</f>
        <v>0</v>
      </c>
      <c r="G93" s="5">
        <f>+$C93*BF93</f>
        <v>0</v>
      </c>
      <c r="H93" s="5">
        <f>+$C93*BG93</f>
        <v>0</v>
      </c>
      <c r="I93" s="5">
        <f>+$C93*BH93</f>
        <v>0</v>
      </c>
      <c r="J93" s="5">
        <f>+$C93*BI93</f>
        <v>0</v>
      </c>
      <c r="K93" s="5">
        <f>+$C93*BJ93</f>
        <v>0</v>
      </c>
      <c r="L93" s="5">
        <f>+$C93*BK93</f>
        <v>0</v>
      </c>
      <c r="M93" s="5">
        <f>+$C93*BL93</f>
        <v>0</v>
      </c>
      <c r="N93" s="5">
        <f>+$C93*BM93</f>
        <v>0</v>
      </c>
      <c r="O93" s="5">
        <f>+$C93*BN93</f>
        <v>0</v>
      </c>
      <c r="P93" s="5">
        <v>35000</v>
      </c>
      <c r="Q93" s="5">
        <f>+$P93*BC93</f>
        <v>3121.3548082059783</v>
      </c>
      <c r="R93" s="5">
        <f>+$P93*BD93</f>
        <v>3732.8472592058192</v>
      </c>
      <c r="S93" s="5">
        <f>+$P93*BE93</f>
        <v>3303.5971796991676</v>
      </c>
      <c r="T93" s="5">
        <f>+$P93*BF93</f>
        <v>2502.3477453992673</v>
      </c>
      <c r="U93" s="5">
        <f>+$P93*BG93</f>
        <v>3629.0001336878668</v>
      </c>
      <c r="V93" s="5">
        <f>+$P93*BH93</f>
        <v>2973.9615833390621</v>
      </c>
      <c r="W93" s="5">
        <f>+$P93*BI93</f>
        <v>2960.7857607041947</v>
      </c>
      <c r="X93" s="5">
        <f>+$P93*BJ93</f>
        <v>2010.6486911972988</v>
      </c>
      <c r="Y93" s="5">
        <f>+$P93*BK93</f>
        <v>2980.3848320945117</v>
      </c>
      <c r="Z93" s="5">
        <f>+$P93*BL93</f>
        <v>2595.5320619562312</v>
      </c>
      <c r="AA93" s="5">
        <f>+$P93*BM93</f>
        <v>2650.136621723751</v>
      </c>
      <c r="AB93" s="5">
        <f>+$P93*BN93</f>
        <v>2588.4445777986466</v>
      </c>
      <c r="AC93" s="5">
        <v>0</v>
      </c>
      <c r="AD93" s="5">
        <f>+$AC93*BC93</f>
        <v>0</v>
      </c>
      <c r="AE93" s="5">
        <f>+$AC93*BD93</f>
        <v>0</v>
      </c>
      <c r="AF93" s="5">
        <f>+$AC93*BE93</f>
        <v>0</v>
      </c>
      <c r="AG93" s="5">
        <f>+$AC93*BF93</f>
        <v>0</v>
      </c>
      <c r="AH93" s="5">
        <f>+$AC93*BG93</f>
        <v>0</v>
      </c>
      <c r="AI93" s="5">
        <f>+$AC93*BH93</f>
        <v>0</v>
      </c>
      <c r="AJ93" s="5">
        <f>+$AC93*BI93</f>
        <v>0</v>
      </c>
      <c r="AK93" s="5">
        <f>+$AC93*BJ93</f>
        <v>0</v>
      </c>
      <c r="AL93" s="5">
        <f>+$AC93*BK93</f>
        <v>0</v>
      </c>
      <c r="AM93" s="5">
        <f>+$AC93*BL93</f>
        <v>0</v>
      </c>
      <c r="AN93" s="5">
        <f>+$AC93*BM93</f>
        <v>0</v>
      </c>
      <c r="AO93" s="5">
        <f>+$AC93*BN93</f>
        <v>0</v>
      </c>
      <c r="AP93" s="5">
        <f>+AC93+P93+C93</f>
        <v>35000</v>
      </c>
      <c r="AQ93" s="1">
        <v>1791.9697953910522</v>
      </c>
      <c r="AR93" s="1">
        <v>2143.027611510061</v>
      </c>
      <c r="AS93" s="1">
        <v>1896.595140865292</v>
      </c>
      <c r="AT93" s="1">
        <v>1436.5978406337192</v>
      </c>
      <c r="AU93" s="1">
        <v>2083.4089767502046</v>
      </c>
      <c r="AV93" s="1">
        <v>1707.3513449949558</v>
      </c>
      <c r="AW93" s="1">
        <v>1699.7871052202781</v>
      </c>
      <c r="AX93" s="1">
        <v>1154.3134136163692</v>
      </c>
      <c r="AY93" s="1">
        <v>1711.038932105459</v>
      </c>
      <c r="AZ93" s="1">
        <v>1490.0949567690723</v>
      </c>
      <c r="BA93" s="1">
        <v>1521.4434345316054</v>
      </c>
      <c r="BB93" s="1">
        <v>1486.026032114203</v>
      </c>
      <c r="BC93" s="2">
        <v>8.9181565948742242E-2</v>
      </c>
      <c r="BD93" s="2">
        <v>0.10665277883445198</v>
      </c>
      <c r="BE93" s="2">
        <v>9.438849084854764E-2</v>
      </c>
      <c r="BF93" s="2">
        <v>7.149564986855049E-2</v>
      </c>
      <c r="BG93" s="2">
        <v>0.10368571810536763</v>
      </c>
      <c r="BH93" s="2">
        <v>8.4970330952544637E-2</v>
      </c>
      <c r="BI93" s="2">
        <v>8.4593878877262704E-2</v>
      </c>
      <c r="BJ93" s="2">
        <v>5.7447105462779965E-2</v>
      </c>
      <c r="BK93" s="2">
        <v>8.5153852345557474E-2</v>
      </c>
      <c r="BL93" s="2">
        <v>7.4158058913035174E-2</v>
      </c>
      <c r="BM93" s="2">
        <v>7.5718189192107169E-2</v>
      </c>
      <c r="BN93" s="2">
        <v>7.3955559365675619E-2</v>
      </c>
    </row>
    <row r="94" spans="1:66" x14ac:dyDescent="0.25">
      <c r="A94" s="8">
        <v>17023</v>
      </c>
      <c r="B94" s="8" t="s">
        <v>901</v>
      </c>
      <c r="C94" s="5">
        <v>0</v>
      </c>
      <c r="D94" s="5">
        <f>+$C94*BC94</f>
        <v>0</v>
      </c>
      <c r="E94" s="5">
        <f>+$C94*BD94</f>
        <v>0</v>
      </c>
      <c r="F94" s="5">
        <f>+$C94*BE94</f>
        <v>0</v>
      </c>
      <c r="G94" s="5">
        <f>+$C94*BF94</f>
        <v>0</v>
      </c>
      <c r="H94" s="5">
        <f>+$C94*BG94</f>
        <v>0</v>
      </c>
      <c r="I94" s="5">
        <f>+$C94*BH94</f>
        <v>0</v>
      </c>
      <c r="J94" s="5">
        <f>+$C94*BI94</f>
        <v>0</v>
      </c>
      <c r="K94" s="5">
        <f>+$C94*BJ94</f>
        <v>0</v>
      </c>
      <c r="L94" s="5">
        <f>+$C94*BK94</f>
        <v>0</v>
      </c>
      <c r="M94" s="5">
        <f>+$C94*BL94</f>
        <v>0</v>
      </c>
      <c r="N94" s="5">
        <f>+$C94*BM94</f>
        <v>0</v>
      </c>
      <c r="O94" s="5">
        <f>+$C94*BN94</f>
        <v>0</v>
      </c>
      <c r="P94" s="5">
        <v>20000</v>
      </c>
      <c r="Q94" s="5">
        <f>+$P94*BC94</f>
        <v>1783.6313189748448</v>
      </c>
      <c r="R94" s="5">
        <f>+$P94*BD94</f>
        <v>2133.0555766890398</v>
      </c>
      <c r="S94" s="5">
        <f>+$P94*BE94</f>
        <v>1887.7698169709529</v>
      </c>
      <c r="T94" s="5">
        <f>+$P94*BF94</f>
        <v>1429.9129973710099</v>
      </c>
      <c r="U94" s="5">
        <f>+$P94*BG94</f>
        <v>2073.7143621073524</v>
      </c>
      <c r="V94" s="5">
        <f>+$P94*BH94</f>
        <v>1699.4066190508927</v>
      </c>
      <c r="W94" s="5">
        <f>+$P94*BI94</f>
        <v>1691.8775775452541</v>
      </c>
      <c r="X94" s="5">
        <f>+$P94*BJ94</f>
        <v>1148.9421092555992</v>
      </c>
      <c r="Y94" s="5">
        <f>+$P94*BK94</f>
        <v>1703.0770469111494</v>
      </c>
      <c r="Z94" s="5">
        <f>+$P94*BL94</f>
        <v>1483.1611782607035</v>
      </c>
      <c r="AA94" s="5">
        <f>+$P94*BM94</f>
        <v>1514.3637838421434</v>
      </c>
      <c r="AB94" s="5">
        <f>+$P94*BN94</f>
        <v>1479.1111873135123</v>
      </c>
      <c r="AC94" s="5">
        <v>0</v>
      </c>
      <c r="AD94" s="5">
        <f>+$AC94*BC94</f>
        <v>0</v>
      </c>
      <c r="AE94" s="5">
        <f>+$AC94*BD94</f>
        <v>0</v>
      </c>
      <c r="AF94" s="5">
        <f>+$AC94*BE94</f>
        <v>0</v>
      </c>
      <c r="AG94" s="5">
        <f>+$AC94*BF94</f>
        <v>0</v>
      </c>
      <c r="AH94" s="5">
        <f>+$AC94*BG94</f>
        <v>0</v>
      </c>
      <c r="AI94" s="5">
        <f>+$AC94*BH94</f>
        <v>0</v>
      </c>
      <c r="AJ94" s="5">
        <f>+$AC94*BI94</f>
        <v>0</v>
      </c>
      <c r="AK94" s="5">
        <f>+$AC94*BJ94</f>
        <v>0</v>
      </c>
      <c r="AL94" s="5">
        <f>+$AC94*BK94</f>
        <v>0</v>
      </c>
      <c r="AM94" s="5">
        <f>+$AC94*BL94</f>
        <v>0</v>
      </c>
      <c r="AN94" s="5">
        <f>+$AC94*BM94</f>
        <v>0</v>
      </c>
      <c r="AO94" s="5">
        <f>+$AC94*BN94</f>
        <v>0</v>
      </c>
      <c r="AP94" s="5">
        <f>+AC94+P94+C94</f>
        <v>20000</v>
      </c>
      <c r="AQ94" s="1">
        <v>3121.3548082059783</v>
      </c>
      <c r="AR94" s="1">
        <v>3732.8472592058192</v>
      </c>
      <c r="AS94" s="1">
        <v>3303.5971796991676</v>
      </c>
      <c r="AT94" s="1">
        <v>2502.3477453992673</v>
      </c>
      <c r="AU94" s="1">
        <v>3629.0001336878668</v>
      </c>
      <c r="AV94" s="1">
        <v>2973.9615833390621</v>
      </c>
      <c r="AW94" s="1">
        <v>2960.7857607041947</v>
      </c>
      <c r="AX94" s="1">
        <v>2010.6486911972988</v>
      </c>
      <c r="AY94" s="1">
        <v>2980.3848320945117</v>
      </c>
      <c r="AZ94" s="1">
        <v>2595.5320619562312</v>
      </c>
      <c r="BA94" s="1">
        <v>2650.136621723751</v>
      </c>
      <c r="BB94" s="1">
        <v>2588.4445777986466</v>
      </c>
      <c r="BC94" s="2">
        <v>8.9181565948742242E-2</v>
      </c>
      <c r="BD94" s="2">
        <v>0.10665277883445198</v>
      </c>
      <c r="BE94" s="2">
        <v>9.438849084854764E-2</v>
      </c>
      <c r="BF94" s="2">
        <v>7.149564986855049E-2</v>
      </c>
      <c r="BG94" s="2">
        <v>0.10368571810536763</v>
      </c>
      <c r="BH94" s="2">
        <v>8.4970330952544637E-2</v>
      </c>
      <c r="BI94" s="2">
        <v>8.4593878877262704E-2</v>
      </c>
      <c r="BJ94" s="2">
        <v>5.7447105462779965E-2</v>
      </c>
      <c r="BK94" s="2">
        <v>8.5153852345557474E-2</v>
      </c>
      <c r="BL94" s="2">
        <v>7.4158058913035174E-2</v>
      </c>
      <c r="BM94" s="2">
        <v>7.5718189192107169E-2</v>
      </c>
      <c r="BN94" s="2">
        <v>7.3955559365675619E-2</v>
      </c>
    </row>
    <row r="95" spans="1:66" x14ac:dyDescent="0.25">
      <c r="A95" s="8">
        <v>31003</v>
      </c>
      <c r="B95" s="8" t="s">
        <v>900</v>
      </c>
      <c r="C95" s="5">
        <v>0</v>
      </c>
      <c r="D95" s="5">
        <f>+$C95*BC95</f>
        <v>0</v>
      </c>
      <c r="E95" s="5">
        <f>+$C95*BD95</f>
        <v>0</v>
      </c>
      <c r="F95" s="5">
        <f>+$C95*BE95</f>
        <v>0</v>
      </c>
      <c r="G95" s="5">
        <f>+$C95*BF95</f>
        <v>0</v>
      </c>
      <c r="H95" s="5">
        <f>+$C95*BG95</f>
        <v>0</v>
      </c>
      <c r="I95" s="5">
        <f>+$C95*BH95</f>
        <v>0</v>
      </c>
      <c r="J95" s="5">
        <f>+$C95*BI95</f>
        <v>0</v>
      </c>
      <c r="K95" s="5">
        <f>+$C95*BJ95</f>
        <v>0</v>
      </c>
      <c r="L95" s="5">
        <f>+$C95*BK95</f>
        <v>0</v>
      </c>
      <c r="M95" s="5">
        <f>+$C95*BL95</f>
        <v>0</v>
      </c>
      <c r="N95" s="5">
        <f>+$C95*BM95</f>
        <v>0</v>
      </c>
      <c r="O95" s="5">
        <f>+$C95*BN95</f>
        <v>0</v>
      </c>
      <c r="P95" s="5">
        <v>25000</v>
      </c>
      <c r="Q95" s="5">
        <f>+$P95*BC95</f>
        <v>2229.5391487185561</v>
      </c>
      <c r="R95" s="5">
        <f>+$P95*BD95</f>
        <v>2666.3194708612996</v>
      </c>
      <c r="S95" s="5">
        <f>+$P95*BE95</f>
        <v>2359.7122712136911</v>
      </c>
      <c r="T95" s="5">
        <f>+$P95*BF95</f>
        <v>1787.3912467137623</v>
      </c>
      <c r="U95" s="5">
        <f>+$P95*BG95</f>
        <v>2592.1429526341908</v>
      </c>
      <c r="V95" s="5">
        <f>+$P95*BH95</f>
        <v>2124.2582738136161</v>
      </c>
      <c r="W95" s="5">
        <f>+$P95*BI95</f>
        <v>2114.8469719315676</v>
      </c>
      <c r="X95" s="5">
        <f>+$P95*BJ95</f>
        <v>1436.1776365694991</v>
      </c>
      <c r="Y95" s="5">
        <f>+$P95*BK95</f>
        <v>2128.846308638937</v>
      </c>
      <c r="Z95" s="5">
        <f>+$P95*BL95</f>
        <v>1853.9514728258794</v>
      </c>
      <c r="AA95" s="5">
        <f>+$P95*BM95</f>
        <v>1892.9547298026791</v>
      </c>
      <c r="AB95" s="5">
        <f>+$P95*BN95</f>
        <v>1848.8889841418904</v>
      </c>
      <c r="AC95" s="5">
        <v>0</v>
      </c>
      <c r="AD95" s="5">
        <f>+$AC95*BC95</f>
        <v>0</v>
      </c>
      <c r="AE95" s="5">
        <f>+$AC95*BD95</f>
        <v>0</v>
      </c>
      <c r="AF95" s="5">
        <f>+$AC95*BE95</f>
        <v>0</v>
      </c>
      <c r="AG95" s="5">
        <f>+$AC95*BF95</f>
        <v>0</v>
      </c>
      <c r="AH95" s="5">
        <f>+$AC95*BG95</f>
        <v>0</v>
      </c>
      <c r="AI95" s="5">
        <f>+$AC95*BH95</f>
        <v>0</v>
      </c>
      <c r="AJ95" s="5">
        <f>+$AC95*BI95</f>
        <v>0</v>
      </c>
      <c r="AK95" s="5">
        <f>+$AC95*BJ95</f>
        <v>0</v>
      </c>
      <c r="AL95" s="5">
        <f>+$AC95*BK95</f>
        <v>0</v>
      </c>
      <c r="AM95" s="5">
        <f>+$AC95*BL95</f>
        <v>0</v>
      </c>
      <c r="AN95" s="5">
        <f>+$AC95*BM95</f>
        <v>0</v>
      </c>
      <c r="AO95" s="5">
        <f>+$AC95*BN95</f>
        <v>0</v>
      </c>
      <c r="AP95" s="5">
        <f>+AC95+P95+C95</f>
        <v>25000</v>
      </c>
      <c r="AQ95" s="1">
        <v>1783.6313189748448</v>
      </c>
      <c r="AR95" s="1">
        <v>2133.0555766890398</v>
      </c>
      <c r="AS95" s="1">
        <v>1887.7698169709529</v>
      </c>
      <c r="AT95" s="1">
        <v>1429.9129973710099</v>
      </c>
      <c r="AU95" s="1">
        <v>2073.7143621073524</v>
      </c>
      <c r="AV95" s="1">
        <v>1699.4066190508927</v>
      </c>
      <c r="AW95" s="1">
        <v>1691.8775775452541</v>
      </c>
      <c r="AX95" s="1">
        <v>1148.9421092555992</v>
      </c>
      <c r="AY95" s="1">
        <v>1703.0770469111494</v>
      </c>
      <c r="AZ95" s="1">
        <v>1483.1611782607035</v>
      </c>
      <c r="BA95" s="1">
        <v>1514.3637838421434</v>
      </c>
      <c r="BB95" s="1">
        <v>1479.1111873135123</v>
      </c>
      <c r="BC95" s="2">
        <v>8.9181565948742242E-2</v>
      </c>
      <c r="BD95" s="2">
        <v>0.10665277883445198</v>
      </c>
      <c r="BE95" s="2">
        <v>9.438849084854764E-2</v>
      </c>
      <c r="BF95" s="2">
        <v>7.149564986855049E-2</v>
      </c>
      <c r="BG95" s="2">
        <v>0.10368571810536763</v>
      </c>
      <c r="BH95" s="2">
        <v>8.4970330952544637E-2</v>
      </c>
      <c r="BI95" s="2">
        <v>8.4593878877262704E-2</v>
      </c>
      <c r="BJ95" s="2">
        <v>5.7447105462779965E-2</v>
      </c>
      <c r="BK95" s="2">
        <v>8.5153852345557474E-2</v>
      </c>
      <c r="BL95" s="2">
        <v>7.4158058913035174E-2</v>
      </c>
      <c r="BM95" s="2">
        <v>7.5718189192107169E-2</v>
      </c>
      <c r="BN95" s="2">
        <v>7.3955559365675619E-2</v>
      </c>
    </row>
    <row r="96" spans="1:66" x14ac:dyDescent="0.25">
      <c r="A96" s="8">
        <v>32012</v>
      </c>
      <c r="B96" s="8" t="s">
        <v>899</v>
      </c>
      <c r="C96" s="5">
        <v>1000</v>
      </c>
      <c r="D96" s="5">
        <f>+$C96*BC96</f>
        <v>89.181565948742247</v>
      </c>
      <c r="E96" s="5">
        <f>+$C96*BD96</f>
        <v>106.65277883445198</v>
      </c>
      <c r="F96" s="5">
        <f>+$C96*BE96</f>
        <v>94.388490848547647</v>
      </c>
      <c r="G96" s="5">
        <f>+$C96*BF96</f>
        <v>71.495649868550487</v>
      </c>
      <c r="H96" s="5">
        <f>+$C96*BG96</f>
        <v>103.68571810536763</v>
      </c>
      <c r="I96" s="5">
        <f>+$C96*BH96</f>
        <v>84.970330952544643</v>
      </c>
      <c r="J96" s="5">
        <f>+$C96*BI96</f>
        <v>84.593878877262711</v>
      </c>
      <c r="K96" s="5">
        <f>+$C96*BJ96</f>
        <v>57.447105462779966</v>
      </c>
      <c r="L96" s="5">
        <f>+$C96*BK96</f>
        <v>85.153852345557468</v>
      </c>
      <c r="M96" s="5">
        <f>+$C96*BL96</f>
        <v>74.158058913035177</v>
      </c>
      <c r="N96" s="5">
        <f>+$C96*BM96</f>
        <v>75.718189192107175</v>
      </c>
      <c r="O96" s="5">
        <f>+$C96*BN96</f>
        <v>73.955559365675626</v>
      </c>
      <c r="P96" s="5">
        <v>2000</v>
      </c>
      <c r="Q96" s="5">
        <f>+$P96*BC96</f>
        <v>178.36313189748449</v>
      </c>
      <c r="R96" s="5">
        <f>+$P96*BD96</f>
        <v>213.30555766890396</v>
      </c>
      <c r="S96" s="5">
        <f>+$P96*BE96</f>
        <v>188.77698169709529</v>
      </c>
      <c r="T96" s="5">
        <f>+$P96*BF96</f>
        <v>142.99129973710097</v>
      </c>
      <c r="U96" s="5">
        <f>+$P96*BG96</f>
        <v>207.37143621073525</v>
      </c>
      <c r="V96" s="5">
        <f>+$P96*BH96</f>
        <v>169.94066190508929</v>
      </c>
      <c r="W96" s="5">
        <f>+$P96*BI96</f>
        <v>169.18775775452542</v>
      </c>
      <c r="X96" s="5">
        <f>+$P96*BJ96</f>
        <v>114.89421092555993</v>
      </c>
      <c r="Y96" s="5">
        <f>+$P96*BK96</f>
        <v>170.30770469111494</v>
      </c>
      <c r="Z96" s="5">
        <f>+$P96*BL96</f>
        <v>148.31611782607035</v>
      </c>
      <c r="AA96" s="5">
        <f>+$P96*BM96</f>
        <v>151.43637838421435</v>
      </c>
      <c r="AB96" s="5">
        <f>+$P96*BN96</f>
        <v>147.91111873135125</v>
      </c>
      <c r="AC96" s="5">
        <v>0</v>
      </c>
      <c r="AD96" s="5">
        <f>+$AC96*BC96</f>
        <v>0</v>
      </c>
      <c r="AE96" s="5">
        <f>+$AC96*BD96</f>
        <v>0</v>
      </c>
      <c r="AF96" s="5">
        <f>+$AC96*BE96</f>
        <v>0</v>
      </c>
      <c r="AG96" s="5">
        <f>+$AC96*BF96</f>
        <v>0</v>
      </c>
      <c r="AH96" s="5">
        <f>+$AC96*BG96</f>
        <v>0</v>
      </c>
      <c r="AI96" s="5">
        <f>+$AC96*BH96</f>
        <v>0</v>
      </c>
      <c r="AJ96" s="5">
        <f>+$AC96*BI96</f>
        <v>0</v>
      </c>
      <c r="AK96" s="5">
        <f>+$AC96*BJ96</f>
        <v>0</v>
      </c>
      <c r="AL96" s="5">
        <f>+$AC96*BK96</f>
        <v>0</v>
      </c>
      <c r="AM96" s="5">
        <f>+$AC96*BL96</f>
        <v>0</v>
      </c>
      <c r="AN96" s="5">
        <f>+$AC96*BM96</f>
        <v>0</v>
      </c>
      <c r="AO96" s="5">
        <f>+$AC96*BN96</f>
        <v>0</v>
      </c>
      <c r="AP96" s="5">
        <f>+AC96+P96+C96</f>
        <v>3000</v>
      </c>
      <c r="AQ96" s="1">
        <v>1783.6313189748448</v>
      </c>
      <c r="AR96" s="1">
        <v>2133.0555766890398</v>
      </c>
      <c r="AS96" s="1">
        <v>1887.7698169709529</v>
      </c>
      <c r="AT96" s="1">
        <v>1429.9129973710099</v>
      </c>
      <c r="AU96" s="1">
        <v>2073.7143621073524</v>
      </c>
      <c r="AV96" s="1">
        <v>1699.4066190508927</v>
      </c>
      <c r="AW96" s="1">
        <v>1691.8775775452541</v>
      </c>
      <c r="AX96" s="1">
        <v>1148.9421092555992</v>
      </c>
      <c r="AY96" s="1">
        <v>1703.0770469111494</v>
      </c>
      <c r="AZ96" s="1">
        <v>1483.1611782607035</v>
      </c>
      <c r="BA96" s="1">
        <v>1514.3637838421434</v>
      </c>
      <c r="BB96" s="1">
        <v>1479.1111873135123</v>
      </c>
      <c r="BC96" s="2">
        <v>8.9181565948742242E-2</v>
      </c>
      <c r="BD96" s="2">
        <v>0.10665277883445198</v>
      </c>
      <c r="BE96" s="2">
        <v>9.438849084854764E-2</v>
      </c>
      <c r="BF96" s="2">
        <v>7.149564986855049E-2</v>
      </c>
      <c r="BG96" s="2">
        <v>0.10368571810536763</v>
      </c>
      <c r="BH96" s="2">
        <v>8.4970330952544637E-2</v>
      </c>
      <c r="BI96" s="2">
        <v>8.4593878877262704E-2</v>
      </c>
      <c r="BJ96" s="2">
        <v>5.7447105462779965E-2</v>
      </c>
      <c r="BK96" s="2">
        <v>8.5153852345557474E-2</v>
      </c>
      <c r="BL96" s="2">
        <v>7.4158058913035174E-2</v>
      </c>
      <c r="BM96" s="2">
        <v>7.5718189192107169E-2</v>
      </c>
      <c r="BN96" s="2">
        <v>7.3955559365675619E-2</v>
      </c>
    </row>
    <row r="97" spans="1:66" x14ac:dyDescent="0.25">
      <c r="A97" s="8">
        <v>1755</v>
      </c>
      <c r="B97" s="8" t="s">
        <v>898</v>
      </c>
      <c r="C97" s="5">
        <v>0</v>
      </c>
      <c r="D97" s="5">
        <f>+$C97*BC97</f>
        <v>0</v>
      </c>
      <c r="E97" s="5">
        <f>+$C97*BD97</f>
        <v>0</v>
      </c>
      <c r="F97" s="5">
        <f>+$C97*BE97</f>
        <v>0</v>
      </c>
      <c r="G97" s="5">
        <f>+$C97*BF97</f>
        <v>0</v>
      </c>
      <c r="H97" s="5">
        <f>+$C97*BG97</f>
        <v>0</v>
      </c>
      <c r="I97" s="5">
        <f>+$C97*BH97</f>
        <v>0</v>
      </c>
      <c r="J97" s="5">
        <f>+$C97*BI97</f>
        <v>0</v>
      </c>
      <c r="K97" s="5">
        <f>+$C97*BJ97</f>
        <v>0</v>
      </c>
      <c r="L97" s="5">
        <f>+$C97*BK97</f>
        <v>0</v>
      </c>
      <c r="M97" s="5">
        <f>+$C97*BL97</f>
        <v>0</v>
      </c>
      <c r="N97" s="5">
        <f>+$C97*BM97</f>
        <v>0</v>
      </c>
      <c r="O97" s="5">
        <f>+$C97*BN97</f>
        <v>0</v>
      </c>
      <c r="P97" s="5">
        <v>14000</v>
      </c>
      <c r="Q97" s="5">
        <f>+$P97*BC97</f>
        <v>1248.5419232823913</v>
      </c>
      <c r="R97" s="5">
        <f>+$P97*BD97</f>
        <v>1493.1389036823277</v>
      </c>
      <c r="S97" s="5">
        <f>+$P97*BE97</f>
        <v>1321.438871879667</v>
      </c>
      <c r="T97" s="5">
        <f>+$P97*BF97</f>
        <v>1000.9390981597069</v>
      </c>
      <c r="U97" s="5">
        <f>+$P97*BG97</f>
        <v>1451.6000534751468</v>
      </c>
      <c r="V97" s="5">
        <f>+$P97*BH97</f>
        <v>1189.5846333356249</v>
      </c>
      <c r="W97" s="5">
        <f>+$P97*BI97</f>
        <v>1184.3143042816778</v>
      </c>
      <c r="X97" s="5">
        <f>+$P97*BJ97</f>
        <v>804.25947647891951</v>
      </c>
      <c r="Y97" s="5">
        <f>+$P97*BK97</f>
        <v>1192.1539328378046</v>
      </c>
      <c r="Z97" s="5">
        <f>+$P97*BL97</f>
        <v>1038.2128247824924</v>
      </c>
      <c r="AA97" s="5">
        <f>+$P97*BM97</f>
        <v>1060.0546486895003</v>
      </c>
      <c r="AB97" s="5">
        <f>+$P97*BN97</f>
        <v>1035.3778311194587</v>
      </c>
      <c r="AC97" s="5">
        <v>0</v>
      </c>
      <c r="AD97" s="5">
        <f>+$AC97*BC97</f>
        <v>0</v>
      </c>
      <c r="AE97" s="5">
        <f>+$AC97*BD97</f>
        <v>0</v>
      </c>
      <c r="AF97" s="5">
        <f>+$AC97*BE97</f>
        <v>0</v>
      </c>
      <c r="AG97" s="5">
        <f>+$AC97*BF97</f>
        <v>0</v>
      </c>
      <c r="AH97" s="5">
        <f>+$AC97*BG97</f>
        <v>0</v>
      </c>
      <c r="AI97" s="5">
        <f>+$AC97*BH97</f>
        <v>0</v>
      </c>
      <c r="AJ97" s="5">
        <f>+$AC97*BI97</f>
        <v>0</v>
      </c>
      <c r="AK97" s="5">
        <f>+$AC97*BJ97</f>
        <v>0</v>
      </c>
      <c r="AL97" s="5">
        <f>+$AC97*BK97</f>
        <v>0</v>
      </c>
      <c r="AM97" s="5">
        <f>+$AC97*BL97</f>
        <v>0</v>
      </c>
      <c r="AN97" s="5">
        <f>+$AC97*BM97</f>
        <v>0</v>
      </c>
      <c r="AO97" s="5">
        <f>+$AC97*BN97</f>
        <v>0</v>
      </c>
      <c r="AP97" s="5">
        <f>+AC97+P97+C97</f>
        <v>14000</v>
      </c>
      <c r="AQ97" s="1">
        <v>1783.6313189748448</v>
      </c>
      <c r="AR97" s="1">
        <v>2133.0555766890398</v>
      </c>
      <c r="AS97" s="1">
        <v>1887.7698169709529</v>
      </c>
      <c r="AT97" s="1">
        <v>1429.9129973710099</v>
      </c>
      <c r="AU97" s="1">
        <v>2073.7143621073524</v>
      </c>
      <c r="AV97" s="1">
        <v>1699.4066190508927</v>
      </c>
      <c r="AW97" s="1">
        <v>1691.8775775452541</v>
      </c>
      <c r="AX97" s="1">
        <v>1148.9421092555992</v>
      </c>
      <c r="AY97" s="1">
        <v>1703.0770469111494</v>
      </c>
      <c r="AZ97" s="1">
        <v>1483.1611782607035</v>
      </c>
      <c r="BA97" s="1">
        <v>1514.3637838421434</v>
      </c>
      <c r="BB97" s="1">
        <v>1479.1111873135123</v>
      </c>
      <c r="BC97" s="2">
        <v>8.9181565948742242E-2</v>
      </c>
      <c r="BD97" s="2">
        <v>0.10665277883445198</v>
      </c>
      <c r="BE97" s="2">
        <v>9.438849084854764E-2</v>
      </c>
      <c r="BF97" s="2">
        <v>7.149564986855049E-2</v>
      </c>
      <c r="BG97" s="2">
        <v>0.10368571810536763</v>
      </c>
      <c r="BH97" s="2">
        <v>8.4970330952544637E-2</v>
      </c>
      <c r="BI97" s="2">
        <v>8.4593878877262704E-2</v>
      </c>
      <c r="BJ97" s="2">
        <v>5.7447105462779965E-2</v>
      </c>
      <c r="BK97" s="2">
        <v>8.5153852345557474E-2</v>
      </c>
      <c r="BL97" s="2">
        <v>7.4158058913035174E-2</v>
      </c>
      <c r="BM97" s="2">
        <v>7.5718189192107169E-2</v>
      </c>
      <c r="BN97" s="2">
        <v>7.3955559365675619E-2</v>
      </c>
    </row>
    <row r="98" spans="1:66" x14ac:dyDescent="0.25">
      <c r="A98" s="8">
        <v>2156</v>
      </c>
      <c r="B98" s="8" t="s">
        <v>897</v>
      </c>
      <c r="C98" s="5">
        <v>12000</v>
      </c>
      <c r="D98" s="5">
        <f>+$C98*BC98</f>
        <v>1070.1787913849068</v>
      </c>
      <c r="E98" s="5">
        <f>+$C98*BD98</f>
        <v>1279.8333460134238</v>
      </c>
      <c r="F98" s="5">
        <f>+$C98*BE98</f>
        <v>1132.6618901825716</v>
      </c>
      <c r="G98" s="5">
        <f>+$C98*BF98</f>
        <v>857.94779842260584</v>
      </c>
      <c r="H98" s="5">
        <f>+$C98*BG98</f>
        <v>1244.2286172644115</v>
      </c>
      <c r="I98" s="5">
        <f>+$C98*BH98</f>
        <v>1019.6439714305357</v>
      </c>
      <c r="J98" s="5">
        <f>+$C98*BI98</f>
        <v>1015.1265465271524</v>
      </c>
      <c r="K98" s="5">
        <f>+$C98*BJ98</f>
        <v>689.36526555335956</v>
      </c>
      <c r="L98" s="5">
        <f>+$C98*BK98</f>
        <v>1021.8462281466897</v>
      </c>
      <c r="M98" s="5">
        <f>+$C98*BL98</f>
        <v>889.89670695642212</v>
      </c>
      <c r="N98" s="5">
        <f>+$C98*BM98</f>
        <v>908.61827030528605</v>
      </c>
      <c r="O98" s="5">
        <f>+$C98*BN98</f>
        <v>887.46671238810745</v>
      </c>
      <c r="P98" s="5">
        <v>3000</v>
      </c>
      <c r="Q98" s="5">
        <f>+$P98*BC98</f>
        <v>267.54469784622671</v>
      </c>
      <c r="R98" s="5">
        <f>+$P98*BD98</f>
        <v>319.95833650335595</v>
      </c>
      <c r="S98" s="5">
        <f>+$P98*BE98</f>
        <v>283.1654725456429</v>
      </c>
      <c r="T98" s="5">
        <f>+$P98*BF98</f>
        <v>214.48694960565146</v>
      </c>
      <c r="U98" s="5">
        <f>+$P98*BG98</f>
        <v>311.05715431610287</v>
      </c>
      <c r="V98" s="5">
        <f>+$P98*BH98</f>
        <v>254.91099285763391</v>
      </c>
      <c r="W98" s="5">
        <f>+$P98*BI98</f>
        <v>253.7816366317881</v>
      </c>
      <c r="X98" s="5">
        <f>+$P98*BJ98</f>
        <v>172.34131638833989</v>
      </c>
      <c r="Y98" s="5">
        <f>+$P98*BK98</f>
        <v>255.46155703667242</v>
      </c>
      <c r="Z98" s="5">
        <f>+$P98*BL98</f>
        <v>222.47417673910553</v>
      </c>
      <c r="AA98" s="5">
        <f>+$P98*BM98</f>
        <v>227.15456757632151</v>
      </c>
      <c r="AB98" s="5">
        <f>+$P98*BN98</f>
        <v>221.86667809702686</v>
      </c>
      <c r="AC98" s="5">
        <v>0</v>
      </c>
      <c r="AD98" s="5">
        <f>+$AC98*BC98</f>
        <v>0</v>
      </c>
      <c r="AE98" s="5">
        <f>+$AC98*BD98</f>
        <v>0</v>
      </c>
      <c r="AF98" s="5">
        <f>+$AC98*BE98</f>
        <v>0</v>
      </c>
      <c r="AG98" s="5">
        <f>+$AC98*BF98</f>
        <v>0</v>
      </c>
      <c r="AH98" s="5">
        <f>+$AC98*BG98</f>
        <v>0</v>
      </c>
      <c r="AI98" s="5">
        <f>+$AC98*BH98</f>
        <v>0</v>
      </c>
      <c r="AJ98" s="5">
        <f>+$AC98*BI98</f>
        <v>0</v>
      </c>
      <c r="AK98" s="5">
        <f>+$AC98*BJ98</f>
        <v>0</v>
      </c>
      <c r="AL98" s="5">
        <f>+$AC98*BK98</f>
        <v>0</v>
      </c>
      <c r="AM98" s="5">
        <f>+$AC98*BL98</f>
        <v>0</v>
      </c>
      <c r="AN98" s="5">
        <f>+$AC98*BM98</f>
        <v>0</v>
      </c>
      <c r="AO98" s="5">
        <f>+$AC98*BN98</f>
        <v>0</v>
      </c>
      <c r="AP98" s="5">
        <f>+AC98+P98+C98</f>
        <v>15000</v>
      </c>
      <c r="AQ98" s="1">
        <v>1649.8589700517314</v>
      </c>
      <c r="AR98" s="1">
        <v>1973.0764084373616</v>
      </c>
      <c r="AS98" s="1">
        <v>1746.1870806981312</v>
      </c>
      <c r="AT98" s="1">
        <v>1322.669522568184</v>
      </c>
      <c r="AU98" s="1">
        <v>1918.185784949301</v>
      </c>
      <c r="AV98" s="1">
        <v>1571.9511226220757</v>
      </c>
      <c r="AW98" s="1">
        <v>1564.9867592293601</v>
      </c>
      <c r="AX98" s="1">
        <v>1062.7714510614294</v>
      </c>
      <c r="AY98" s="1">
        <v>1575.3462683928133</v>
      </c>
      <c r="AZ98" s="1">
        <v>1371.9240898911507</v>
      </c>
      <c r="BA98" s="1">
        <v>1400.7865000539825</v>
      </c>
      <c r="BB98" s="1">
        <v>1368.1778482649991</v>
      </c>
      <c r="BC98" s="2">
        <v>8.9181565948742242E-2</v>
      </c>
      <c r="BD98" s="2">
        <v>0.10665277883445198</v>
      </c>
      <c r="BE98" s="2">
        <v>9.438849084854764E-2</v>
      </c>
      <c r="BF98" s="2">
        <v>7.149564986855049E-2</v>
      </c>
      <c r="BG98" s="2">
        <v>0.10368571810536763</v>
      </c>
      <c r="BH98" s="2">
        <v>8.4970330952544637E-2</v>
      </c>
      <c r="BI98" s="2">
        <v>8.4593878877262704E-2</v>
      </c>
      <c r="BJ98" s="2">
        <v>5.7447105462779965E-2</v>
      </c>
      <c r="BK98" s="2">
        <v>8.5153852345557474E-2</v>
      </c>
      <c r="BL98" s="2">
        <v>7.4158058913035174E-2</v>
      </c>
      <c r="BM98" s="2">
        <v>7.5718189192107169E-2</v>
      </c>
      <c r="BN98" s="2">
        <v>7.3955559365675619E-2</v>
      </c>
    </row>
    <row r="99" spans="1:66" x14ac:dyDescent="0.25">
      <c r="A99" s="8">
        <v>3629</v>
      </c>
      <c r="B99" s="8" t="s">
        <v>896</v>
      </c>
      <c r="C99" s="5">
        <v>0</v>
      </c>
      <c r="D99" s="5">
        <f>+$C99*BC99</f>
        <v>0</v>
      </c>
      <c r="E99" s="5">
        <f>+$C99*BD99</f>
        <v>0</v>
      </c>
      <c r="F99" s="5">
        <f>+$C99*BE99</f>
        <v>0</v>
      </c>
      <c r="G99" s="5">
        <f>+$C99*BF99</f>
        <v>0</v>
      </c>
      <c r="H99" s="5">
        <f>+$C99*BG99</f>
        <v>0</v>
      </c>
      <c r="I99" s="5">
        <f>+$C99*BH99</f>
        <v>0</v>
      </c>
      <c r="J99" s="5">
        <f>+$C99*BI99</f>
        <v>0</v>
      </c>
      <c r="K99" s="5">
        <f>+$C99*BJ99</f>
        <v>0</v>
      </c>
      <c r="L99" s="5">
        <f>+$C99*BK99</f>
        <v>0</v>
      </c>
      <c r="M99" s="5">
        <f>+$C99*BL99</f>
        <v>0</v>
      </c>
      <c r="N99" s="5">
        <f>+$C99*BM99</f>
        <v>0</v>
      </c>
      <c r="O99" s="5">
        <f>+$C99*BN99</f>
        <v>0</v>
      </c>
      <c r="P99" s="5">
        <v>15000</v>
      </c>
      <c r="Q99" s="5">
        <f>+$P99*BC99</f>
        <v>1337.7234892311337</v>
      </c>
      <c r="R99" s="5">
        <f>+$P99*BD99</f>
        <v>1599.7916825167797</v>
      </c>
      <c r="S99" s="5">
        <f>+$P99*BE99</f>
        <v>1415.8273627282147</v>
      </c>
      <c r="T99" s="5">
        <f>+$P99*BF99</f>
        <v>1072.4347480282574</v>
      </c>
      <c r="U99" s="5">
        <f>+$P99*BG99</f>
        <v>1555.2857715805144</v>
      </c>
      <c r="V99" s="5">
        <f>+$P99*BH99</f>
        <v>1274.5549642881695</v>
      </c>
      <c r="W99" s="5">
        <f>+$P99*BI99</f>
        <v>1268.9081831589406</v>
      </c>
      <c r="X99" s="5">
        <f>+$P99*BJ99</f>
        <v>861.70658194169948</v>
      </c>
      <c r="Y99" s="5">
        <f>+$P99*BK99</f>
        <v>1277.3077851833621</v>
      </c>
      <c r="Z99" s="5">
        <f>+$P99*BL99</f>
        <v>1112.3708836955277</v>
      </c>
      <c r="AA99" s="5">
        <f>+$P99*BM99</f>
        <v>1135.7728378816075</v>
      </c>
      <c r="AB99" s="5">
        <f>+$P99*BN99</f>
        <v>1109.3333904851343</v>
      </c>
      <c r="AC99" s="5">
        <v>0</v>
      </c>
      <c r="AD99" s="5">
        <f>+$AC99*BC99</f>
        <v>0</v>
      </c>
      <c r="AE99" s="5">
        <f>+$AC99*BD99</f>
        <v>0</v>
      </c>
      <c r="AF99" s="5">
        <f>+$AC99*BE99</f>
        <v>0</v>
      </c>
      <c r="AG99" s="5">
        <f>+$AC99*BF99</f>
        <v>0</v>
      </c>
      <c r="AH99" s="5">
        <f>+$AC99*BG99</f>
        <v>0</v>
      </c>
      <c r="AI99" s="5">
        <f>+$AC99*BH99</f>
        <v>0</v>
      </c>
      <c r="AJ99" s="5">
        <f>+$AC99*BI99</f>
        <v>0</v>
      </c>
      <c r="AK99" s="5">
        <f>+$AC99*BJ99</f>
        <v>0</v>
      </c>
      <c r="AL99" s="5">
        <f>+$AC99*BK99</f>
        <v>0</v>
      </c>
      <c r="AM99" s="5">
        <f>+$AC99*BL99</f>
        <v>0</v>
      </c>
      <c r="AN99" s="5">
        <f>+$AC99*BM99</f>
        <v>0</v>
      </c>
      <c r="AO99" s="5">
        <f>+$AC99*BN99</f>
        <v>0</v>
      </c>
      <c r="AP99" s="5">
        <f>+AC99+P99+C99</f>
        <v>15000</v>
      </c>
      <c r="AQ99" s="1">
        <v>2764.6285444110094</v>
      </c>
      <c r="AR99" s="1">
        <v>3306.2361438680114</v>
      </c>
      <c r="AS99" s="1">
        <v>2926.0432163049768</v>
      </c>
      <c r="AT99" s="1">
        <v>2216.365145925065</v>
      </c>
      <c r="AU99" s="1">
        <v>3214.2572612663967</v>
      </c>
      <c r="AV99" s="1">
        <v>2634.0802595288837</v>
      </c>
      <c r="AW99" s="1">
        <v>2622.4102451951439</v>
      </c>
      <c r="AX99" s="1">
        <v>1780.8602693461789</v>
      </c>
      <c r="AY99" s="1">
        <v>2639.7694227122815</v>
      </c>
      <c r="AZ99" s="1">
        <v>2298.8998263040903</v>
      </c>
      <c r="BA99" s="1">
        <v>2347.2638649553223</v>
      </c>
      <c r="BB99" s="1">
        <v>2292.622340335944</v>
      </c>
      <c r="BC99" s="2">
        <v>8.9181565948742242E-2</v>
      </c>
      <c r="BD99" s="2">
        <v>0.10665277883445198</v>
      </c>
      <c r="BE99" s="2">
        <v>9.438849084854764E-2</v>
      </c>
      <c r="BF99" s="2">
        <v>7.149564986855049E-2</v>
      </c>
      <c r="BG99" s="2">
        <v>0.10368571810536763</v>
      </c>
      <c r="BH99" s="2">
        <v>8.4970330952544637E-2</v>
      </c>
      <c r="BI99" s="2">
        <v>8.4593878877262704E-2</v>
      </c>
      <c r="BJ99" s="2">
        <v>5.7447105462779965E-2</v>
      </c>
      <c r="BK99" s="2">
        <v>8.5153852345557474E-2</v>
      </c>
      <c r="BL99" s="2">
        <v>7.4158058913035174E-2</v>
      </c>
      <c r="BM99" s="2">
        <v>7.5718189192107169E-2</v>
      </c>
      <c r="BN99" s="2">
        <v>7.3955559365675619E-2</v>
      </c>
    </row>
    <row r="100" spans="1:66" x14ac:dyDescent="0.25">
      <c r="A100" s="8">
        <v>5117</v>
      </c>
      <c r="B100" s="8" t="s">
        <v>895</v>
      </c>
      <c r="C100" s="5">
        <v>5000</v>
      </c>
      <c r="D100" s="5">
        <f>+$C100*BC100</f>
        <v>445.9078297437112</v>
      </c>
      <c r="E100" s="5">
        <f>+$C100*BD100</f>
        <v>533.26389417225994</v>
      </c>
      <c r="F100" s="5">
        <f>+$C100*BE100</f>
        <v>471.94245424273822</v>
      </c>
      <c r="G100" s="5">
        <f>+$C100*BF100</f>
        <v>357.47824934275246</v>
      </c>
      <c r="H100" s="5">
        <f>+$C100*BG100</f>
        <v>518.42859052683809</v>
      </c>
      <c r="I100" s="5">
        <f>+$C100*BH100</f>
        <v>424.85165476272317</v>
      </c>
      <c r="J100" s="5">
        <f>+$C100*BI100</f>
        <v>422.96939438631352</v>
      </c>
      <c r="K100" s="5">
        <f>+$C100*BJ100</f>
        <v>287.23552731389981</v>
      </c>
      <c r="L100" s="5">
        <f>+$C100*BK100</f>
        <v>425.76926172778735</v>
      </c>
      <c r="M100" s="5">
        <f>+$C100*BL100</f>
        <v>370.79029456517588</v>
      </c>
      <c r="N100" s="5">
        <f>+$C100*BM100</f>
        <v>378.59094596053586</v>
      </c>
      <c r="O100" s="5">
        <f>+$C100*BN100</f>
        <v>369.77779682837809</v>
      </c>
      <c r="P100" s="5">
        <v>0</v>
      </c>
      <c r="Q100" s="5">
        <f>+$P100*BC100</f>
        <v>0</v>
      </c>
      <c r="R100" s="5">
        <f>+$P100*BD100</f>
        <v>0</v>
      </c>
      <c r="S100" s="5">
        <f>+$P100*BE100</f>
        <v>0</v>
      </c>
      <c r="T100" s="5">
        <f>+$P100*BF100</f>
        <v>0</v>
      </c>
      <c r="U100" s="5">
        <f>+$P100*BG100</f>
        <v>0</v>
      </c>
      <c r="V100" s="5">
        <f>+$P100*BH100</f>
        <v>0</v>
      </c>
      <c r="W100" s="5">
        <f>+$P100*BI100</f>
        <v>0</v>
      </c>
      <c r="X100" s="5">
        <f>+$P100*BJ100</f>
        <v>0</v>
      </c>
      <c r="Y100" s="5">
        <f>+$P100*BK100</f>
        <v>0</v>
      </c>
      <c r="Z100" s="5">
        <f>+$P100*BL100</f>
        <v>0</v>
      </c>
      <c r="AA100" s="5">
        <f>+$P100*BM100</f>
        <v>0</v>
      </c>
      <c r="AB100" s="5">
        <f>+$P100*BN100</f>
        <v>0</v>
      </c>
      <c r="AC100" s="5">
        <v>0</v>
      </c>
      <c r="AD100" s="5">
        <f>+$AC100*BC100</f>
        <v>0</v>
      </c>
      <c r="AE100" s="5">
        <f>+$AC100*BD100</f>
        <v>0</v>
      </c>
      <c r="AF100" s="5">
        <f>+$AC100*BE100</f>
        <v>0</v>
      </c>
      <c r="AG100" s="5">
        <f>+$AC100*BF100</f>
        <v>0</v>
      </c>
      <c r="AH100" s="5">
        <f>+$AC100*BG100</f>
        <v>0</v>
      </c>
      <c r="AI100" s="5">
        <f>+$AC100*BH100</f>
        <v>0</v>
      </c>
      <c r="AJ100" s="5">
        <f>+$AC100*BI100</f>
        <v>0</v>
      </c>
      <c r="AK100" s="5">
        <f>+$AC100*BJ100</f>
        <v>0</v>
      </c>
      <c r="AL100" s="5">
        <f>+$AC100*BK100</f>
        <v>0</v>
      </c>
      <c r="AM100" s="5">
        <f>+$AC100*BL100</f>
        <v>0</v>
      </c>
      <c r="AN100" s="5">
        <f>+$AC100*BM100</f>
        <v>0</v>
      </c>
      <c r="AO100" s="5">
        <f>+$AC100*BN100</f>
        <v>0</v>
      </c>
      <c r="AP100" s="5">
        <f>+AC100+P100+C100</f>
        <v>5000</v>
      </c>
      <c r="AQ100" s="1">
        <v>1605.2681870773604</v>
      </c>
      <c r="AR100" s="1">
        <v>1919.7500190201356</v>
      </c>
      <c r="AS100" s="1">
        <v>1698.9928352738575</v>
      </c>
      <c r="AT100" s="1">
        <v>1286.9216976339087</v>
      </c>
      <c r="AU100" s="1">
        <v>1866.3429258966173</v>
      </c>
      <c r="AV100" s="1">
        <v>1529.4659571458035</v>
      </c>
      <c r="AW100" s="1">
        <v>1522.6898197907287</v>
      </c>
      <c r="AX100" s="1">
        <v>1034.0478983300393</v>
      </c>
      <c r="AY100" s="1">
        <v>1532.7693422200346</v>
      </c>
      <c r="AZ100" s="1">
        <v>1334.8450604346331</v>
      </c>
      <c r="BA100" s="1">
        <v>1362.9274054579291</v>
      </c>
      <c r="BB100" s="1">
        <v>1331.2000685821611</v>
      </c>
      <c r="BC100" s="2">
        <v>8.9181565948742242E-2</v>
      </c>
      <c r="BD100" s="2">
        <v>0.10665277883445198</v>
      </c>
      <c r="BE100" s="2">
        <v>9.438849084854764E-2</v>
      </c>
      <c r="BF100" s="2">
        <v>7.149564986855049E-2</v>
      </c>
      <c r="BG100" s="2">
        <v>0.10368571810536763</v>
      </c>
      <c r="BH100" s="2">
        <v>8.4970330952544637E-2</v>
      </c>
      <c r="BI100" s="2">
        <v>8.4593878877262704E-2</v>
      </c>
      <c r="BJ100" s="2">
        <v>5.7447105462779965E-2</v>
      </c>
      <c r="BK100" s="2">
        <v>8.5153852345557474E-2</v>
      </c>
      <c r="BL100" s="2">
        <v>7.4158058913035174E-2</v>
      </c>
      <c r="BM100" s="2">
        <v>7.5718189192107169E-2</v>
      </c>
      <c r="BN100" s="2">
        <v>7.3955559365675619E-2</v>
      </c>
    </row>
    <row r="101" spans="1:66" x14ac:dyDescent="0.25">
      <c r="A101" s="8">
        <v>2954</v>
      </c>
      <c r="B101" s="8" t="s">
        <v>894</v>
      </c>
      <c r="C101" s="5">
        <v>3000</v>
      </c>
      <c r="D101" s="5">
        <f>+$C101*BC101</f>
        <v>267.54469784622671</v>
      </c>
      <c r="E101" s="5">
        <f>+$C101*BD101</f>
        <v>319.95833650335595</v>
      </c>
      <c r="F101" s="5">
        <f>+$C101*BE101</f>
        <v>283.1654725456429</v>
      </c>
      <c r="G101" s="5">
        <f>+$C101*BF101</f>
        <v>214.48694960565146</v>
      </c>
      <c r="H101" s="5">
        <f>+$C101*BG101</f>
        <v>311.05715431610287</v>
      </c>
      <c r="I101" s="5">
        <f>+$C101*BH101</f>
        <v>254.91099285763391</v>
      </c>
      <c r="J101" s="5">
        <f>+$C101*BI101</f>
        <v>253.7816366317881</v>
      </c>
      <c r="K101" s="5">
        <f>+$C101*BJ101</f>
        <v>172.34131638833989</v>
      </c>
      <c r="L101" s="5">
        <f>+$C101*BK101</f>
        <v>255.46155703667242</v>
      </c>
      <c r="M101" s="5">
        <f>+$C101*BL101</f>
        <v>222.47417673910553</v>
      </c>
      <c r="N101" s="5">
        <f>+$C101*BM101</f>
        <v>227.15456757632151</v>
      </c>
      <c r="O101" s="5">
        <f>+$C101*BN101</f>
        <v>221.86667809702686</v>
      </c>
      <c r="P101" s="5">
        <v>12000</v>
      </c>
      <c r="Q101" s="5">
        <f>+$P101*BC101</f>
        <v>1070.1787913849068</v>
      </c>
      <c r="R101" s="5">
        <f>+$P101*BD101</f>
        <v>1279.8333460134238</v>
      </c>
      <c r="S101" s="5">
        <f>+$P101*BE101</f>
        <v>1132.6618901825716</v>
      </c>
      <c r="T101" s="5">
        <f>+$P101*BF101</f>
        <v>857.94779842260584</v>
      </c>
      <c r="U101" s="5">
        <f>+$P101*BG101</f>
        <v>1244.2286172644115</v>
      </c>
      <c r="V101" s="5">
        <f>+$P101*BH101</f>
        <v>1019.6439714305357</v>
      </c>
      <c r="W101" s="5">
        <f>+$P101*BI101</f>
        <v>1015.1265465271524</v>
      </c>
      <c r="X101" s="5">
        <f>+$P101*BJ101</f>
        <v>689.36526555335956</v>
      </c>
      <c r="Y101" s="5">
        <f>+$P101*BK101</f>
        <v>1021.8462281466897</v>
      </c>
      <c r="Z101" s="5">
        <f>+$P101*BL101</f>
        <v>889.89670695642212</v>
      </c>
      <c r="AA101" s="5">
        <f>+$P101*BM101</f>
        <v>908.61827030528605</v>
      </c>
      <c r="AB101" s="5">
        <f>+$P101*BN101</f>
        <v>887.46671238810745</v>
      </c>
      <c r="AC101" s="5">
        <v>0</v>
      </c>
      <c r="AD101" s="5">
        <f>+$AC101*BC101</f>
        <v>0</v>
      </c>
      <c r="AE101" s="5">
        <f>+$AC101*BD101</f>
        <v>0</v>
      </c>
      <c r="AF101" s="5">
        <f>+$AC101*BE101</f>
        <v>0</v>
      </c>
      <c r="AG101" s="5">
        <f>+$AC101*BF101</f>
        <v>0</v>
      </c>
      <c r="AH101" s="5">
        <f>+$AC101*BG101</f>
        <v>0</v>
      </c>
      <c r="AI101" s="5">
        <f>+$AC101*BH101</f>
        <v>0</v>
      </c>
      <c r="AJ101" s="5">
        <f>+$AC101*BI101</f>
        <v>0</v>
      </c>
      <c r="AK101" s="5">
        <f>+$AC101*BJ101</f>
        <v>0</v>
      </c>
      <c r="AL101" s="5">
        <f>+$AC101*BK101</f>
        <v>0</v>
      </c>
      <c r="AM101" s="5">
        <f>+$AC101*BL101</f>
        <v>0</v>
      </c>
      <c r="AN101" s="5">
        <f>+$AC101*BM101</f>
        <v>0</v>
      </c>
      <c r="AO101" s="5">
        <f>+$AC101*BN101</f>
        <v>0</v>
      </c>
      <c r="AP101" s="5">
        <f>+AC101+P101+C101</f>
        <v>15000</v>
      </c>
      <c r="AQ101" s="1">
        <v>1611.7427687652389</v>
      </c>
      <c r="AR101" s="1">
        <v>1927.4930107635168</v>
      </c>
      <c r="AS101" s="1">
        <v>1705.845439709462</v>
      </c>
      <c r="AT101" s="1">
        <v>1292.1122818143656</v>
      </c>
      <c r="AU101" s="1">
        <v>1873.8705090310668</v>
      </c>
      <c r="AV101" s="1">
        <v>1535.6348031729581</v>
      </c>
      <c r="AW101" s="1">
        <v>1528.8313353972178</v>
      </c>
      <c r="AX101" s="1">
        <v>1038.2185581866372</v>
      </c>
      <c r="AY101" s="1">
        <v>1538.951511900322</v>
      </c>
      <c r="AZ101" s="1">
        <v>1340.2289355117193</v>
      </c>
      <c r="BA101" s="1">
        <v>1368.4245459932758</v>
      </c>
      <c r="BB101" s="1">
        <v>1336.5692421921092</v>
      </c>
      <c r="BC101" s="2">
        <v>8.9181565948742242E-2</v>
      </c>
      <c r="BD101" s="2">
        <v>0.10665277883445198</v>
      </c>
      <c r="BE101" s="2">
        <v>9.438849084854764E-2</v>
      </c>
      <c r="BF101" s="2">
        <v>7.149564986855049E-2</v>
      </c>
      <c r="BG101" s="2">
        <v>0.10368571810536763</v>
      </c>
      <c r="BH101" s="2">
        <v>8.4970330952544637E-2</v>
      </c>
      <c r="BI101" s="2">
        <v>8.4593878877262704E-2</v>
      </c>
      <c r="BJ101" s="2">
        <v>5.7447105462779965E-2</v>
      </c>
      <c r="BK101" s="2">
        <v>8.5153852345557474E-2</v>
      </c>
      <c r="BL101" s="2">
        <v>7.4158058913035174E-2</v>
      </c>
      <c r="BM101" s="2">
        <v>7.5718189192107169E-2</v>
      </c>
      <c r="BN101" s="2">
        <v>7.3955559365675619E-2</v>
      </c>
    </row>
    <row r="102" spans="1:66" x14ac:dyDescent="0.25">
      <c r="A102" s="8">
        <v>682</v>
      </c>
      <c r="B102" s="8" t="s">
        <v>893</v>
      </c>
      <c r="C102" s="5">
        <v>0</v>
      </c>
      <c r="D102" s="5">
        <f>+$C102*BC102</f>
        <v>0</v>
      </c>
      <c r="E102" s="5">
        <f>+$C102*BD102</f>
        <v>0</v>
      </c>
      <c r="F102" s="5">
        <f>+$C102*BE102</f>
        <v>0</v>
      </c>
      <c r="G102" s="5">
        <f>+$C102*BF102</f>
        <v>0</v>
      </c>
      <c r="H102" s="5">
        <f>+$C102*BG102</f>
        <v>0</v>
      </c>
      <c r="I102" s="5">
        <f>+$C102*BH102</f>
        <v>0</v>
      </c>
      <c r="J102" s="5">
        <f>+$C102*BI102</f>
        <v>0</v>
      </c>
      <c r="K102" s="5">
        <f>+$C102*BJ102</f>
        <v>0</v>
      </c>
      <c r="L102" s="5">
        <f>+$C102*BK102</f>
        <v>0</v>
      </c>
      <c r="M102" s="5">
        <f>+$C102*BL102</f>
        <v>0</v>
      </c>
      <c r="N102" s="5">
        <f>+$C102*BM102</f>
        <v>0</v>
      </c>
      <c r="O102" s="5">
        <f>+$C102*BN102</f>
        <v>0</v>
      </c>
      <c r="P102" s="5">
        <v>15000</v>
      </c>
      <c r="Q102" s="5">
        <f>+$P102*BC102</f>
        <v>1337.7234892311337</v>
      </c>
      <c r="R102" s="5">
        <f>+$P102*BD102</f>
        <v>1599.7916825167797</v>
      </c>
      <c r="S102" s="5">
        <f>+$P102*BE102</f>
        <v>1415.8273627282147</v>
      </c>
      <c r="T102" s="5">
        <f>+$P102*BF102</f>
        <v>1072.4347480282574</v>
      </c>
      <c r="U102" s="5">
        <f>+$P102*BG102</f>
        <v>1555.2857715805144</v>
      </c>
      <c r="V102" s="5">
        <f>+$P102*BH102</f>
        <v>1274.5549642881695</v>
      </c>
      <c r="W102" s="5">
        <f>+$P102*BI102</f>
        <v>1268.9081831589406</v>
      </c>
      <c r="X102" s="5">
        <f>+$P102*BJ102</f>
        <v>861.70658194169948</v>
      </c>
      <c r="Y102" s="5">
        <f>+$P102*BK102</f>
        <v>1277.3077851833621</v>
      </c>
      <c r="Z102" s="5">
        <f>+$P102*BL102</f>
        <v>1112.3708836955277</v>
      </c>
      <c r="AA102" s="5">
        <f>+$P102*BM102</f>
        <v>1135.7728378816075</v>
      </c>
      <c r="AB102" s="5">
        <f>+$P102*BN102</f>
        <v>1109.3333904851343</v>
      </c>
      <c r="AC102" s="5">
        <v>0</v>
      </c>
      <c r="AD102" s="5">
        <f>+$AC102*BC102</f>
        <v>0</v>
      </c>
      <c r="AE102" s="5">
        <f>+$AC102*BD102</f>
        <v>0</v>
      </c>
      <c r="AF102" s="5">
        <f>+$AC102*BE102</f>
        <v>0</v>
      </c>
      <c r="AG102" s="5">
        <f>+$AC102*BF102</f>
        <v>0</v>
      </c>
      <c r="AH102" s="5">
        <f>+$AC102*BG102</f>
        <v>0</v>
      </c>
      <c r="AI102" s="5">
        <f>+$AC102*BH102</f>
        <v>0</v>
      </c>
      <c r="AJ102" s="5">
        <f>+$AC102*BI102</f>
        <v>0</v>
      </c>
      <c r="AK102" s="5">
        <f>+$AC102*BJ102</f>
        <v>0</v>
      </c>
      <c r="AL102" s="5">
        <f>+$AC102*BK102</f>
        <v>0</v>
      </c>
      <c r="AM102" s="5">
        <f>+$AC102*BL102</f>
        <v>0</v>
      </c>
      <c r="AN102" s="5">
        <f>+$AC102*BM102</f>
        <v>0</v>
      </c>
      <c r="AO102" s="5">
        <f>+$AC102*BN102</f>
        <v>0</v>
      </c>
      <c r="AP102" s="5">
        <f>+AC102+P102+C102</f>
        <v>15000</v>
      </c>
      <c r="AQ102" s="1">
        <v>1560.6774041029892</v>
      </c>
      <c r="AR102" s="1">
        <v>1866.4236296029096</v>
      </c>
      <c r="AS102" s="1">
        <v>1651.7985898495838</v>
      </c>
      <c r="AT102" s="1">
        <v>1251.1738726996336</v>
      </c>
      <c r="AU102" s="1">
        <v>1814.5000668439334</v>
      </c>
      <c r="AV102" s="1">
        <v>1486.9807916695311</v>
      </c>
      <c r="AW102" s="1">
        <v>1480.3928803520973</v>
      </c>
      <c r="AX102" s="1">
        <v>1005.3243455986494</v>
      </c>
      <c r="AY102" s="1">
        <v>1490.1924160472558</v>
      </c>
      <c r="AZ102" s="1">
        <v>1297.7660309781156</v>
      </c>
      <c r="BA102" s="1">
        <v>1325.0683108618755</v>
      </c>
      <c r="BB102" s="1">
        <v>1294.2222888993233</v>
      </c>
      <c r="BC102" s="2">
        <v>8.9181565948742242E-2</v>
      </c>
      <c r="BD102" s="2">
        <v>0.10665277883445198</v>
      </c>
      <c r="BE102" s="2">
        <v>9.438849084854764E-2</v>
      </c>
      <c r="BF102" s="2">
        <v>7.149564986855049E-2</v>
      </c>
      <c r="BG102" s="2">
        <v>0.10368571810536763</v>
      </c>
      <c r="BH102" s="2">
        <v>8.4970330952544637E-2</v>
      </c>
      <c r="BI102" s="2">
        <v>8.4593878877262704E-2</v>
      </c>
      <c r="BJ102" s="2">
        <v>5.7447105462779965E-2</v>
      </c>
      <c r="BK102" s="2">
        <v>8.5153852345557474E-2</v>
      </c>
      <c r="BL102" s="2">
        <v>7.4158058913035174E-2</v>
      </c>
      <c r="BM102" s="2">
        <v>7.5718189192107169E-2</v>
      </c>
      <c r="BN102" s="2">
        <v>7.3955559365675619E-2</v>
      </c>
    </row>
    <row r="103" spans="1:66" x14ac:dyDescent="0.25">
      <c r="A103" s="8">
        <v>1340</v>
      </c>
      <c r="B103" s="8" t="s">
        <v>892</v>
      </c>
      <c r="C103" s="5">
        <v>20000</v>
      </c>
      <c r="D103" s="5">
        <f>+$C103*BC103</f>
        <v>1783.6313189748448</v>
      </c>
      <c r="E103" s="5">
        <f>+$C103*BD103</f>
        <v>2133.0555766890398</v>
      </c>
      <c r="F103" s="5">
        <f>+$C103*BE103</f>
        <v>1887.7698169709529</v>
      </c>
      <c r="G103" s="5">
        <f>+$C103*BF103</f>
        <v>1429.9129973710099</v>
      </c>
      <c r="H103" s="5">
        <f>+$C103*BG103</f>
        <v>2073.7143621073524</v>
      </c>
      <c r="I103" s="5">
        <f>+$C103*BH103</f>
        <v>1699.4066190508927</v>
      </c>
      <c r="J103" s="5">
        <f>+$C103*BI103</f>
        <v>1691.8775775452541</v>
      </c>
      <c r="K103" s="5">
        <f>+$C103*BJ103</f>
        <v>1148.9421092555992</v>
      </c>
      <c r="L103" s="5">
        <f>+$C103*BK103</f>
        <v>1703.0770469111494</v>
      </c>
      <c r="M103" s="5">
        <f>+$C103*BL103</f>
        <v>1483.1611782607035</v>
      </c>
      <c r="N103" s="5">
        <f>+$C103*BM103</f>
        <v>1514.3637838421434</v>
      </c>
      <c r="O103" s="5">
        <f>+$C103*BN103</f>
        <v>1479.1111873135123</v>
      </c>
      <c r="P103" s="5">
        <v>0</v>
      </c>
      <c r="Q103" s="5">
        <f>+$P103*BC103</f>
        <v>0</v>
      </c>
      <c r="R103" s="5">
        <f>+$P103*BD103</f>
        <v>0</v>
      </c>
      <c r="S103" s="5">
        <f>+$P103*BE103</f>
        <v>0</v>
      </c>
      <c r="T103" s="5">
        <f>+$P103*BF103</f>
        <v>0</v>
      </c>
      <c r="U103" s="5">
        <f>+$P103*BG103</f>
        <v>0</v>
      </c>
      <c r="V103" s="5">
        <f>+$P103*BH103</f>
        <v>0</v>
      </c>
      <c r="W103" s="5">
        <f>+$P103*BI103</f>
        <v>0</v>
      </c>
      <c r="X103" s="5">
        <f>+$P103*BJ103</f>
        <v>0</v>
      </c>
      <c r="Y103" s="5">
        <f>+$P103*BK103</f>
        <v>0</v>
      </c>
      <c r="Z103" s="5">
        <f>+$P103*BL103</f>
        <v>0</v>
      </c>
      <c r="AA103" s="5">
        <f>+$P103*BM103</f>
        <v>0</v>
      </c>
      <c r="AB103" s="5">
        <f>+$P103*BN103</f>
        <v>0</v>
      </c>
      <c r="AC103" s="5">
        <v>1000</v>
      </c>
      <c r="AD103" s="5">
        <f>+$AC103*BC103</f>
        <v>89.181565948742247</v>
      </c>
      <c r="AE103" s="5">
        <f>+$AC103*BD103</f>
        <v>106.65277883445198</v>
      </c>
      <c r="AF103" s="5">
        <f>+$AC103*BE103</f>
        <v>94.388490848547647</v>
      </c>
      <c r="AG103" s="5">
        <f>+$AC103*BF103</f>
        <v>71.495649868550487</v>
      </c>
      <c r="AH103" s="5">
        <f>+$AC103*BG103</f>
        <v>103.68571810536763</v>
      </c>
      <c r="AI103" s="5">
        <f>+$AC103*BH103</f>
        <v>84.970330952544643</v>
      </c>
      <c r="AJ103" s="5">
        <f>+$AC103*BI103</f>
        <v>84.593878877262711</v>
      </c>
      <c r="AK103" s="5">
        <f>+$AC103*BJ103</f>
        <v>57.447105462779966</v>
      </c>
      <c r="AL103" s="5">
        <f>+$AC103*BK103</f>
        <v>85.153852345557468</v>
      </c>
      <c r="AM103" s="5">
        <f>+$AC103*BL103</f>
        <v>74.158058913035177</v>
      </c>
      <c r="AN103" s="5">
        <f>+$AC103*BM103</f>
        <v>75.718189192107175</v>
      </c>
      <c r="AO103" s="5">
        <f>+$AC103*BN103</f>
        <v>73.955559365675626</v>
      </c>
      <c r="AP103" s="5">
        <f>+AC103+P103+C103</f>
        <v>21000</v>
      </c>
      <c r="AQ103" s="1">
        <v>1552.4477291972394</v>
      </c>
      <c r="AR103" s="1">
        <v>1856.5817111720667</v>
      </c>
      <c r="AS103" s="1">
        <v>1643.0884199140799</v>
      </c>
      <c r="AT103" s="1">
        <v>1244.5762541297638</v>
      </c>
      <c r="AU103" s="1">
        <v>1804.9319487771702</v>
      </c>
      <c r="AV103" s="1">
        <v>1479.1397295292304</v>
      </c>
      <c r="AW103" s="1">
        <v>1472.5865572093037</v>
      </c>
      <c r="AX103" s="1">
        <v>1000.0231267065441</v>
      </c>
      <c r="AY103" s="1">
        <v>1482.3344185528078</v>
      </c>
      <c r="AZ103" s="1">
        <v>1290.9227253016209</v>
      </c>
      <c r="BA103" s="1">
        <v>1318.0810363632279</v>
      </c>
      <c r="BB103" s="1">
        <v>1287.3976698810588</v>
      </c>
      <c r="BC103" s="2">
        <v>8.9181565948742242E-2</v>
      </c>
      <c r="BD103" s="2">
        <v>0.10665277883445198</v>
      </c>
      <c r="BE103" s="2">
        <v>9.438849084854764E-2</v>
      </c>
      <c r="BF103" s="2">
        <v>7.149564986855049E-2</v>
      </c>
      <c r="BG103" s="2">
        <v>0.10368571810536763</v>
      </c>
      <c r="BH103" s="2">
        <v>8.4970330952544637E-2</v>
      </c>
      <c r="BI103" s="2">
        <v>8.4593878877262704E-2</v>
      </c>
      <c r="BJ103" s="2">
        <v>5.7447105462779965E-2</v>
      </c>
      <c r="BK103" s="2">
        <v>8.5153852345557474E-2</v>
      </c>
      <c r="BL103" s="2">
        <v>7.4158058913035174E-2</v>
      </c>
      <c r="BM103" s="2">
        <v>7.5718189192107169E-2</v>
      </c>
      <c r="BN103" s="2">
        <v>7.3955559365675619E-2</v>
      </c>
    </row>
    <row r="104" spans="1:66" x14ac:dyDescent="0.25">
      <c r="A104" s="8">
        <v>5337</v>
      </c>
      <c r="B104" s="8" t="s">
        <v>891</v>
      </c>
      <c r="C104" s="5">
        <v>0</v>
      </c>
      <c r="D104" s="5">
        <f>+$C104*BC104</f>
        <v>0</v>
      </c>
      <c r="E104" s="5">
        <f>+$C104*BD104</f>
        <v>0</v>
      </c>
      <c r="F104" s="5">
        <f>+$C104*BE104</f>
        <v>0</v>
      </c>
      <c r="G104" s="5">
        <f>+$C104*BF104</f>
        <v>0</v>
      </c>
      <c r="H104" s="5">
        <f>+$C104*BG104</f>
        <v>0</v>
      </c>
      <c r="I104" s="5">
        <f>+$C104*BH104</f>
        <v>0</v>
      </c>
      <c r="J104" s="5">
        <f>+$C104*BI104</f>
        <v>0</v>
      </c>
      <c r="K104" s="5">
        <f>+$C104*BJ104</f>
        <v>0</v>
      </c>
      <c r="L104" s="5">
        <f>+$C104*BK104</f>
        <v>0</v>
      </c>
      <c r="M104" s="5">
        <f>+$C104*BL104</f>
        <v>0</v>
      </c>
      <c r="N104" s="5">
        <f>+$C104*BM104</f>
        <v>0</v>
      </c>
      <c r="O104" s="5">
        <f>+$C104*BN104</f>
        <v>0</v>
      </c>
      <c r="P104" s="5">
        <v>20000</v>
      </c>
      <c r="Q104" s="5">
        <f>+$P104*BC104</f>
        <v>1783.6313189748448</v>
      </c>
      <c r="R104" s="5">
        <f>+$P104*BD104</f>
        <v>2133.0555766890398</v>
      </c>
      <c r="S104" s="5">
        <f>+$P104*BE104</f>
        <v>1887.7698169709529</v>
      </c>
      <c r="T104" s="5">
        <f>+$P104*BF104</f>
        <v>1429.9129973710099</v>
      </c>
      <c r="U104" s="5">
        <f>+$P104*BG104</f>
        <v>2073.7143621073524</v>
      </c>
      <c r="V104" s="5">
        <f>+$P104*BH104</f>
        <v>1699.4066190508927</v>
      </c>
      <c r="W104" s="5">
        <f>+$P104*BI104</f>
        <v>1691.8775775452541</v>
      </c>
      <c r="X104" s="5">
        <f>+$P104*BJ104</f>
        <v>1148.9421092555992</v>
      </c>
      <c r="Y104" s="5">
        <f>+$P104*BK104</f>
        <v>1703.0770469111494</v>
      </c>
      <c r="Z104" s="5">
        <f>+$P104*BL104</f>
        <v>1483.1611782607035</v>
      </c>
      <c r="AA104" s="5">
        <f>+$P104*BM104</f>
        <v>1514.3637838421434</v>
      </c>
      <c r="AB104" s="5">
        <f>+$P104*BN104</f>
        <v>1479.1111873135123</v>
      </c>
      <c r="AC104" s="5">
        <v>0</v>
      </c>
      <c r="AD104" s="5">
        <f>+$AC104*BC104</f>
        <v>0</v>
      </c>
      <c r="AE104" s="5">
        <f>+$AC104*BD104</f>
        <v>0</v>
      </c>
      <c r="AF104" s="5">
        <f>+$AC104*BE104</f>
        <v>0</v>
      </c>
      <c r="AG104" s="5">
        <f>+$AC104*BF104</f>
        <v>0</v>
      </c>
      <c r="AH104" s="5">
        <f>+$AC104*BG104</f>
        <v>0</v>
      </c>
      <c r="AI104" s="5">
        <f>+$AC104*BH104</f>
        <v>0</v>
      </c>
      <c r="AJ104" s="5">
        <f>+$AC104*BI104</f>
        <v>0</v>
      </c>
      <c r="AK104" s="5">
        <f>+$AC104*BJ104</f>
        <v>0</v>
      </c>
      <c r="AL104" s="5">
        <f>+$AC104*BK104</f>
        <v>0</v>
      </c>
      <c r="AM104" s="5">
        <f>+$AC104*BL104</f>
        <v>0</v>
      </c>
      <c r="AN104" s="5">
        <f>+$AC104*BM104</f>
        <v>0</v>
      </c>
      <c r="AO104" s="5">
        <f>+$AC104*BN104</f>
        <v>0</v>
      </c>
      <c r="AP104" s="5">
        <f>+AC104+P104+C104</f>
        <v>20000</v>
      </c>
      <c r="AQ104" s="1">
        <v>1516.0866211286182</v>
      </c>
      <c r="AR104" s="1">
        <v>1813.0972401856836</v>
      </c>
      <c r="AS104" s="1">
        <v>1604.6043444253098</v>
      </c>
      <c r="AT104" s="1">
        <v>1215.4260477653584</v>
      </c>
      <c r="AU104" s="1">
        <v>1762.6572077912497</v>
      </c>
      <c r="AV104" s="1">
        <v>1444.4956261932589</v>
      </c>
      <c r="AW104" s="1">
        <v>1438.0959409134659</v>
      </c>
      <c r="AX104" s="1">
        <v>976.60079286725943</v>
      </c>
      <c r="AY104" s="1">
        <v>1447.6154898744771</v>
      </c>
      <c r="AZ104" s="1">
        <v>1260.6870015215979</v>
      </c>
      <c r="BA104" s="1">
        <v>1287.2092162658219</v>
      </c>
      <c r="BB104" s="1">
        <v>1257.2445092164855</v>
      </c>
      <c r="BC104" s="2">
        <v>8.9181565948742242E-2</v>
      </c>
      <c r="BD104" s="2">
        <v>0.10665277883445198</v>
      </c>
      <c r="BE104" s="2">
        <v>9.438849084854764E-2</v>
      </c>
      <c r="BF104" s="2">
        <v>7.149564986855049E-2</v>
      </c>
      <c r="BG104" s="2">
        <v>0.10368571810536763</v>
      </c>
      <c r="BH104" s="2">
        <v>8.4970330952544637E-2</v>
      </c>
      <c r="BI104" s="2">
        <v>8.4593878877262704E-2</v>
      </c>
      <c r="BJ104" s="2">
        <v>5.7447105462779965E-2</v>
      </c>
      <c r="BK104" s="2">
        <v>8.5153852345557474E-2</v>
      </c>
      <c r="BL104" s="2">
        <v>7.4158058913035174E-2</v>
      </c>
      <c r="BM104" s="2">
        <v>7.5718189192107169E-2</v>
      </c>
      <c r="BN104" s="2">
        <v>7.3955559365675619E-2</v>
      </c>
    </row>
    <row r="105" spans="1:66" x14ac:dyDescent="0.25">
      <c r="A105" s="8">
        <v>23606</v>
      </c>
      <c r="B105" s="8" t="s">
        <v>890</v>
      </c>
      <c r="C105" s="5">
        <v>0</v>
      </c>
      <c r="D105" s="5">
        <f>+$C105*BC105</f>
        <v>0</v>
      </c>
      <c r="E105" s="5">
        <f>+$C105*BD105</f>
        <v>0</v>
      </c>
      <c r="F105" s="5">
        <f>+$C105*BE105</f>
        <v>0</v>
      </c>
      <c r="G105" s="5">
        <f>+$C105*BF105</f>
        <v>0</v>
      </c>
      <c r="H105" s="5">
        <f>+$C105*BG105</f>
        <v>0</v>
      </c>
      <c r="I105" s="5">
        <f>+$C105*BH105</f>
        <v>0</v>
      </c>
      <c r="J105" s="5">
        <f>+$C105*BI105</f>
        <v>0</v>
      </c>
      <c r="K105" s="5">
        <f>+$C105*BJ105</f>
        <v>0</v>
      </c>
      <c r="L105" s="5">
        <f>+$C105*BK105</f>
        <v>0</v>
      </c>
      <c r="M105" s="5">
        <f>+$C105*BL105</f>
        <v>0</v>
      </c>
      <c r="N105" s="5">
        <f>+$C105*BM105</f>
        <v>0</v>
      </c>
      <c r="O105" s="5">
        <f>+$C105*BN105</f>
        <v>0</v>
      </c>
      <c r="P105" s="5">
        <v>50000</v>
      </c>
      <c r="Q105" s="5">
        <f>+$P105*BC105</f>
        <v>4459.0782974371123</v>
      </c>
      <c r="R105" s="5">
        <f>+$P105*BD105</f>
        <v>5332.6389417225992</v>
      </c>
      <c r="S105" s="5">
        <f>+$P105*BE105</f>
        <v>4719.4245424273822</v>
      </c>
      <c r="T105" s="5">
        <f>+$P105*BF105</f>
        <v>3574.7824934275245</v>
      </c>
      <c r="U105" s="5">
        <f>+$P105*BG105</f>
        <v>5184.2859052683816</v>
      </c>
      <c r="V105" s="5">
        <f>+$P105*BH105</f>
        <v>4248.5165476272323</v>
      </c>
      <c r="W105" s="5">
        <f>+$P105*BI105</f>
        <v>4229.6939438631352</v>
      </c>
      <c r="X105" s="5">
        <f>+$P105*BJ105</f>
        <v>2872.3552731389982</v>
      </c>
      <c r="Y105" s="5">
        <f>+$P105*BK105</f>
        <v>4257.692617277874</v>
      </c>
      <c r="Z105" s="5">
        <f>+$P105*BL105</f>
        <v>3707.9029456517587</v>
      </c>
      <c r="AA105" s="5">
        <f>+$P105*BM105</f>
        <v>3785.9094596053583</v>
      </c>
      <c r="AB105" s="5">
        <f>+$P105*BN105</f>
        <v>3697.7779682837809</v>
      </c>
      <c r="AC105" s="5">
        <v>200</v>
      </c>
      <c r="AD105" s="5">
        <f>+$AC105*BC105</f>
        <v>17.836313189748449</v>
      </c>
      <c r="AE105" s="5">
        <f>+$AC105*BD105</f>
        <v>21.330555766890395</v>
      </c>
      <c r="AF105" s="5">
        <f>+$AC105*BE105</f>
        <v>18.877698169709529</v>
      </c>
      <c r="AG105" s="5">
        <f>+$AC105*BF105</f>
        <v>14.299129973710098</v>
      </c>
      <c r="AH105" s="5">
        <f>+$AC105*BG105</f>
        <v>20.737143621073525</v>
      </c>
      <c r="AI105" s="5">
        <f>+$AC105*BH105</f>
        <v>16.994066190508928</v>
      </c>
      <c r="AJ105" s="5">
        <f>+$AC105*BI105</f>
        <v>16.918775775452541</v>
      </c>
      <c r="AK105" s="5">
        <f>+$AC105*BJ105</f>
        <v>11.489421092555993</v>
      </c>
      <c r="AL105" s="5">
        <f>+$AC105*BK105</f>
        <v>17.030770469111495</v>
      </c>
      <c r="AM105" s="5">
        <f>+$AC105*BL105</f>
        <v>14.831611782607034</v>
      </c>
      <c r="AN105" s="5">
        <f>+$AC105*BM105</f>
        <v>15.143637838421434</v>
      </c>
      <c r="AO105" s="5">
        <f>+$AC105*BN105</f>
        <v>14.791111873135124</v>
      </c>
      <c r="AP105" s="5">
        <f>+AC105+P105+C105</f>
        <v>50200</v>
      </c>
      <c r="AQ105" s="1">
        <v>1516.0866211286182</v>
      </c>
      <c r="AR105" s="1">
        <v>1813.0972401856836</v>
      </c>
      <c r="AS105" s="1">
        <v>1604.6043444253098</v>
      </c>
      <c r="AT105" s="1">
        <v>1215.4260477653584</v>
      </c>
      <c r="AU105" s="1">
        <v>1762.6572077912497</v>
      </c>
      <c r="AV105" s="1">
        <v>1444.4956261932589</v>
      </c>
      <c r="AW105" s="1">
        <v>1438.0959409134659</v>
      </c>
      <c r="AX105" s="1">
        <v>976.60079286725943</v>
      </c>
      <c r="AY105" s="1">
        <v>1447.6154898744771</v>
      </c>
      <c r="AZ105" s="1">
        <v>1260.6870015215979</v>
      </c>
      <c r="BA105" s="1">
        <v>1287.2092162658219</v>
      </c>
      <c r="BB105" s="1">
        <v>1257.2445092164855</v>
      </c>
      <c r="BC105" s="2">
        <v>8.9181565948742242E-2</v>
      </c>
      <c r="BD105" s="2">
        <v>0.10665277883445198</v>
      </c>
      <c r="BE105" s="2">
        <v>9.438849084854764E-2</v>
      </c>
      <c r="BF105" s="2">
        <v>7.149564986855049E-2</v>
      </c>
      <c r="BG105" s="2">
        <v>0.10368571810536763</v>
      </c>
      <c r="BH105" s="2">
        <v>8.4970330952544637E-2</v>
      </c>
      <c r="BI105" s="2">
        <v>8.4593878877262704E-2</v>
      </c>
      <c r="BJ105" s="2">
        <v>5.7447105462779965E-2</v>
      </c>
      <c r="BK105" s="2">
        <v>8.5153852345557474E-2</v>
      </c>
      <c r="BL105" s="2">
        <v>7.4158058913035174E-2</v>
      </c>
      <c r="BM105" s="2">
        <v>7.5718189192107169E-2</v>
      </c>
      <c r="BN105" s="2">
        <v>7.3955559365675619E-2</v>
      </c>
    </row>
    <row r="106" spans="1:66" x14ac:dyDescent="0.25">
      <c r="A106" s="8">
        <v>1161</v>
      </c>
      <c r="B106" s="8" t="s">
        <v>889</v>
      </c>
      <c r="C106" s="5">
        <v>0</v>
      </c>
      <c r="D106" s="5">
        <f>+$C106*BC106</f>
        <v>0</v>
      </c>
      <c r="E106" s="5">
        <f>+$C106*BD106</f>
        <v>0</v>
      </c>
      <c r="F106" s="5">
        <f>+$C106*BE106</f>
        <v>0</v>
      </c>
      <c r="G106" s="5">
        <f>+$C106*BF106</f>
        <v>0</v>
      </c>
      <c r="H106" s="5">
        <f>+$C106*BG106</f>
        <v>0</v>
      </c>
      <c r="I106" s="5">
        <f>+$C106*BH106</f>
        <v>0</v>
      </c>
      <c r="J106" s="5">
        <f>+$C106*BI106</f>
        <v>0</v>
      </c>
      <c r="K106" s="5">
        <f>+$C106*BJ106</f>
        <v>0</v>
      </c>
      <c r="L106" s="5">
        <f>+$C106*BK106</f>
        <v>0</v>
      </c>
      <c r="M106" s="5">
        <f>+$C106*BL106</f>
        <v>0</v>
      </c>
      <c r="N106" s="5">
        <f>+$C106*BM106</f>
        <v>0</v>
      </c>
      <c r="O106" s="5">
        <f>+$C106*BN106</f>
        <v>0</v>
      </c>
      <c r="P106" s="5">
        <v>6000</v>
      </c>
      <c r="Q106" s="5">
        <f>+$P106*BC106</f>
        <v>535.08939569245342</v>
      </c>
      <c r="R106" s="5">
        <f>+$P106*BD106</f>
        <v>639.9166730067119</v>
      </c>
      <c r="S106" s="5">
        <f>+$P106*BE106</f>
        <v>566.3309450912858</v>
      </c>
      <c r="T106" s="5">
        <f>+$P106*BF106</f>
        <v>428.97389921130292</v>
      </c>
      <c r="U106" s="5">
        <f>+$P106*BG106</f>
        <v>622.11430863220573</v>
      </c>
      <c r="V106" s="5">
        <f>+$P106*BH106</f>
        <v>509.82198571526783</v>
      </c>
      <c r="W106" s="5">
        <f>+$P106*BI106</f>
        <v>507.56327326357621</v>
      </c>
      <c r="X106" s="5">
        <f>+$P106*BJ106</f>
        <v>344.68263277667978</v>
      </c>
      <c r="Y106" s="5">
        <f>+$P106*BK106</f>
        <v>510.92311407334483</v>
      </c>
      <c r="Z106" s="5">
        <f>+$P106*BL106</f>
        <v>444.94835347821106</v>
      </c>
      <c r="AA106" s="5">
        <f>+$P106*BM106</f>
        <v>454.30913515264302</v>
      </c>
      <c r="AB106" s="5">
        <f>+$P106*BN106</f>
        <v>443.73335619405373</v>
      </c>
      <c r="AC106" s="5">
        <v>0</v>
      </c>
      <c r="AD106" s="5">
        <f>+$AC106*BC106</f>
        <v>0</v>
      </c>
      <c r="AE106" s="5">
        <f>+$AC106*BD106</f>
        <v>0</v>
      </c>
      <c r="AF106" s="5">
        <f>+$AC106*BE106</f>
        <v>0</v>
      </c>
      <c r="AG106" s="5">
        <f>+$AC106*BF106</f>
        <v>0</v>
      </c>
      <c r="AH106" s="5">
        <f>+$AC106*BG106</f>
        <v>0</v>
      </c>
      <c r="AI106" s="5">
        <f>+$AC106*BH106</f>
        <v>0</v>
      </c>
      <c r="AJ106" s="5">
        <f>+$AC106*BI106</f>
        <v>0</v>
      </c>
      <c r="AK106" s="5">
        <f>+$AC106*BJ106</f>
        <v>0</v>
      </c>
      <c r="AL106" s="5">
        <f>+$AC106*BK106</f>
        <v>0</v>
      </c>
      <c r="AM106" s="5">
        <f>+$AC106*BL106</f>
        <v>0</v>
      </c>
      <c r="AN106" s="5">
        <f>+$AC106*BM106</f>
        <v>0</v>
      </c>
      <c r="AO106" s="5">
        <f>+$AC106*BN106</f>
        <v>0</v>
      </c>
      <c r="AP106" s="5">
        <f>+AC106+P106+C106</f>
        <v>6000</v>
      </c>
      <c r="AQ106" s="1">
        <v>2336.5570278570467</v>
      </c>
      <c r="AR106" s="1">
        <v>2794.302805462642</v>
      </c>
      <c r="AS106" s="1">
        <v>2472.9784602319482</v>
      </c>
      <c r="AT106" s="1">
        <v>1873.1860265560229</v>
      </c>
      <c r="AU106" s="1">
        <v>2716.565814360632</v>
      </c>
      <c r="AV106" s="1">
        <v>2226.2226709566694</v>
      </c>
      <c r="AW106" s="1">
        <v>2216.359626584283</v>
      </c>
      <c r="AX106" s="1">
        <v>1505.1141631248352</v>
      </c>
      <c r="AY106" s="1">
        <v>2231.0309314536057</v>
      </c>
      <c r="AZ106" s="1">
        <v>1942.9411435215216</v>
      </c>
      <c r="BA106" s="1">
        <v>1983.8165568332079</v>
      </c>
      <c r="BB106" s="1">
        <v>1937.6356553807011</v>
      </c>
      <c r="BC106" s="2">
        <v>8.9181565948742242E-2</v>
      </c>
      <c r="BD106" s="2">
        <v>0.10665277883445198</v>
      </c>
      <c r="BE106" s="2">
        <v>9.438849084854764E-2</v>
      </c>
      <c r="BF106" s="2">
        <v>7.149564986855049E-2</v>
      </c>
      <c r="BG106" s="2">
        <v>0.10368571810536763</v>
      </c>
      <c r="BH106" s="2">
        <v>8.4970330952544637E-2</v>
      </c>
      <c r="BI106" s="2">
        <v>8.4593878877262704E-2</v>
      </c>
      <c r="BJ106" s="2">
        <v>5.7447105462779965E-2</v>
      </c>
      <c r="BK106" s="2">
        <v>8.5153852345557474E-2</v>
      </c>
      <c r="BL106" s="2">
        <v>7.4158058913035174E-2</v>
      </c>
      <c r="BM106" s="2">
        <v>7.5718189192107169E-2</v>
      </c>
      <c r="BN106" s="2">
        <v>7.3955559365675619E-2</v>
      </c>
    </row>
    <row r="107" spans="1:66" x14ac:dyDescent="0.25">
      <c r="A107" s="8">
        <v>2179</v>
      </c>
      <c r="B107" s="8" t="s">
        <v>888</v>
      </c>
      <c r="C107" s="5">
        <v>400</v>
      </c>
      <c r="D107" s="5">
        <f>+$C107*BC107</f>
        <v>35.672626379496897</v>
      </c>
      <c r="E107" s="5">
        <f>+$C107*BD107</f>
        <v>42.66111153378079</v>
      </c>
      <c r="F107" s="5">
        <f>+$C107*BE107</f>
        <v>37.755396339419057</v>
      </c>
      <c r="G107" s="5">
        <f>+$C107*BF107</f>
        <v>28.598259947420196</v>
      </c>
      <c r="H107" s="5">
        <f>+$C107*BG107</f>
        <v>41.474287242147049</v>
      </c>
      <c r="I107" s="5">
        <f>+$C107*BH107</f>
        <v>33.988132381017856</v>
      </c>
      <c r="J107" s="5">
        <f>+$C107*BI107</f>
        <v>33.837551550905083</v>
      </c>
      <c r="K107" s="5">
        <f>+$C107*BJ107</f>
        <v>22.978842185111986</v>
      </c>
      <c r="L107" s="5">
        <f>+$C107*BK107</f>
        <v>34.06154093822299</v>
      </c>
      <c r="M107" s="5">
        <f>+$C107*BL107</f>
        <v>29.663223565214068</v>
      </c>
      <c r="N107" s="5">
        <f>+$C107*BM107</f>
        <v>30.287275676842867</v>
      </c>
      <c r="O107" s="5">
        <f>+$C107*BN107</f>
        <v>29.582223746270248</v>
      </c>
      <c r="P107" s="5">
        <v>0</v>
      </c>
      <c r="Q107" s="5">
        <f>+$P107*BC107</f>
        <v>0</v>
      </c>
      <c r="R107" s="5">
        <f>+$P107*BD107</f>
        <v>0</v>
      </c>
      <c r="S107" s="5">
        <f>+$P107*BE107</f>
        <v>0</v>
      </c>
      <c r="T107" s="5">
        <f>+$P107*BF107</f>
        <v>0</v>
      </c>
      <c r="U107" s="5">
        <f>+$P107*BG107</f>
        <v>0</v>
      </c>
      <c r="V107" s="5">
        <f>+$P107*BH107</f>
        <v>0</v>
      </c>
      <c r="W107" s="5">
        <f>+$P107*BI107</f>
        <v>0</v>
      </c>
      <c r="X107" s="5">
        <f>+$P107*BJ107</f>
        <v>0</v>
      </c>
      <c r="Y107" s="5">
        <f>+$P107*BK107</f>
        <v>0</v>
      </c>
      <c r="Z107" s="5">
        <f>+$P107*BL107</f>
        <v>0</v>
      </c>
      <c r="AA107" s="5">
        <f>+$P107*BM107</f>
        <v>0</v>
      </c>
      <c r="AB107" s="5">
        <f>+$P107*BN107</f>
        <v>0</v>
      </c>
      <c r="AC107" s="5">
        <v>0</v>
      </c>
      <c r="AD107" s="5">
        <f>+$AC107*BC107</f>
        <v>0</v>
      </c>
      <c r="AE107" s="5">
        <f>+$AC107*BD107</f>
        <v>0</v>
      </c>
      <c r="AF107" s="5">
        <f>+$AC107*BE107</f>
        <v>0</v>
      </c>
      <c r="AG107" s="5">
        <f>+$AC107*BF107</f>
        <v>0</v>
      </c>
      <c r="AH107" s="5">
        <f>+$AC107*BG107</f>
        <v>0</v>
      </c>
      <c r="AI107" s="5">
        <f>+$AC107*BH107</f>
        <v>0</v>
      </c>
      <c r="AJ107" s="5">
        <f>+$AC107*BI107</f>
        <v>0</v>
      </c>
      <c r="AK107" s="5">
        <f>+$AC107*BJ107</f>
        <v>0</v>
      </c>
      <c r="AL107" s="5">
        <f>+$AC107*BK107</f>
        <v>0</v>
      </c>
      <c r="AM107" s="5">
        <f>+$AC107*BL107</f>
        <v>0</v>
      </c>
      <c r="AN107" s="5">
        <f>+$AC107*BM107</f>
        <v>0</v>
      </c>
      <c r="AO107" s="5">
        <f>+$AC107*BN107</f>
        <v>0</v>
      </c>
      <c r="AP107" s="5">
        <f>+AC107+P107+C107</f>
        <v>400</v>
      </c>
      <c r="AQ107" s="1">
        <v>2229.5391487185561</v>
      </c>
      <c r="AR107" s="1">
        <v>2666.3194708612996</v>
      </c>
      <c r="AS107" s="1">
        <v>2359.7122712136911</v>
      </c>
      <c r="AT107" s="1">
        <v>1787.3912467137623</v>
      </c>
      <c r="AU107" s="1">
        <v>2592.1429526341908</v>
      </c>
      <c r="AV107" s="1">
        <v>2124.2582738136161</v>
      </c>
      <c r="AW107" s="1">
        <v>2114.8469719315676</v>
      </c>
      <c r="AX107" s="1">
        <v>1436.1776365694991</v>
      </c>
      <c r="AY107" s="1">
        <v>2128.846308638937</v>
      </c>
      <c r="AZ107" s="1">
        <v>1853.9514728258794</v>
      </c>
      <c r="BA107" s="1">
        <v>1892.9547298026791</v>
      </c>
      <c r="BB107" s="1">
        <v>1848.8889841418904</v>
      </c>
      <c r="BC107" s="2">
        <v>8.9181565948742242E-2</v>
      </c>
      <c r="BD107" s="2">
        <v>0.10665277883445198</v>
      </c>
      <c r="BE107" s="2">
        <v>9.438849084854764E-2</v>
      </c>
      <c r="BF107" s="2">
        <v>7.149564986855049E-2</v>
      </c>
      <c r="BG107" s="2">
        <v>0.10368571810536763</v>
      </c>
      <c r="BH107" s="2">
        <v>8.4970330952544637E-2</v>
      </c>
      <c r="BI107" s="2">
        <v>8.4593878877262704E-2</v>
      </c>
      <c r="BJ107" s="2">
        <v>5.7447105462779965E-2</v>
      </c>
      <c r="BK107" s="2">
        <v>8.5153852345557474E-2</v>
      </c>
      <c r="BL107" s="2">
        <v>7.4158058913035174E-2</v>
      </c>
      <c r="BM107" s="2">
        <v>7.5718189192107169E-2</v>
      </c>
      <c r="BN107" s="2">
        <v>7.3955559365675619E-2</v>
      </c>
    </row>
    <row r="108" spans="1:66" x14ac:dyDescent="0.25">
      <c r="A108" s="8">
        <v>2639</v>
      </c>
      <c r="B108" s="8" t="s">
        <v>887</v>
      </c>
      <c r="C108" s="5">
        <v>15000</v>
      </c>
      <c r="D108" s="5">
        <f>+$C108*BC108</f>
        <v>1337.7234892311337</v>
      </c>
      <c r="E108" s="5">
        <f>+$C108*BD108</f>
        <v>1599.7916825167797</v>
      </c>
      <c r="F108" s="5">
        <f>+$C108*BE108</f>
        <v>1415.8273627282147</v>
      </c>
      <c r="G108" s="5">
        <f>+$C108*BF108</f>
        <v>1072.4347480282574</v>
      </c>
      <c r="H108" s="5">
        <f>+$C108*BG108</f>
        <v>1555.2857715805144</v>
      </c>
      <c r="I108" s="5">
        <f>+$C108*BH108</f>
        <v>1274.5549642881695</v>
      </c>
      <c r="J108" s="5">
        <f>+$C108*BI108</f>
        <v>1268.9081831589406</v>
      </c>
      <c r="K108" s="5">
        <f>+$C108*BJ108</f>
        <v>861.70658194169948</v>
      </c>
      <c r="L108" s="5">
        <f>+$C108*BK108</f>
        <v>1277.3077851833621</v>
      </c>
      <c r="M108" s="5">
        <f>+$C108*BL108</f>
        <v>1112.3708836955277</v>
      </c>
      <c r="N108" s="5">
        <f>+$C108*BM108</f>
        <v>1135.7728378816075</v>
      </c>
      <c r="O108" s="5">
        <f>+$C108*BN108</f>
        <v>1109.3333904851343</v>
      </c>
      <c r="P108" s="5">
        <v>10000</v>
      </c>
      <c r="Q108" s="5">
        <f>+$P108*BC108</f>
        <v>891.81565948742241</v>
      </c>
      <c r="R108" s="5">
        <f>+$P108*BD108</f>
        <v>1066.5277883445199</v>
      </c>
      <c r="S108" s="5">
        <f>+$P108*BE108</f>
        <v>943.88490848547644</v>
      </c>
      <c r="T108" s="5">
        <f>+$P108*BF108</f>
        <v>714.95649868550493</v>
      </c>
      <c r="U108" s="5">
        <f>+$P108*BG108</f>
        <v>1036.8571810536762</v>
      </c>
      <c r="V108" s="5">
        <f>+$P108*BH108</f>
        <v>849.70330952544634</v>
      </c>
      <c r="W108" s="5">
        <f>+$P108*BI108</f>
        <v>845.93878877262705</v>
      </c>
      <c r="X108" s="5">
        <f>+$P108*BJ108</f>
        <v>574.47105462779962</v>
      </c>
      <c r="Y108" s="5">
        <f>+$P108*BK108</f>
        <v>851.5385234555747</v>
      </c>
      <c r="Z108" s="5">
        <f>+$P108*BL108</f>
        <v>741.58058913035177</v>
      </c>
      <c r="AA108" s="5">
        <f>+$P108*BM108</f>
        <v>757.18189192107172</v>
      </c>
      <c r="AB108" s="5">
        <f>+$P108*BN108</f>
        <v>739.55559365675617</v>
      </c>
      <c r="AC108" s="5">
        <v>0</v>
      </c>
      <c r="AD108" s="5">
        <f>+$AC108*BC108</f>
        <v>0</v>
      </c>
      <c r="AE108" s="5">
        <f>+$AC108*BD108</f>
        <v>0</v>
      </c>
      <c r="AF108" s="5">
        <f>+$AC108*BE108</f>
        <v>0</v>
      </c>
      <c r="AG108" s="5">
        <f>+$AC108*BF108</f>
        <v>0</v>
      </c>
      <c r="AH108" s="5">
        <f>+$AC108*BG108</f>
        <v>0</v>
      </c>
      <c r="AI108" s="5">
        <f>+$AC108*BH108</f>
        <v>0</v>
      </c>
      <c r="AJ108" s="5">
        <f>+$AC108*BI108</f>
        <v>0</v>
      </c>
      <c r="AK108" s="5">
        <f>+$AC108*BJ108</f>
        <v>0</v>
      </c>
      <c r="AL108" s="5">
        <f>+$AC108*BK108</f>
        <v>0</v>
      </c>
      <c r="AM108" s="5">
        <f>+$AC108*BL108</f>
        <v>0</v>
      </c>
      <c r="AN108" s="5">
        <f>+$AC108*BM108</f>
        <v>0</v>
      </c>
      <c r="AO108" s="5">
        <f>+$AC108*BN108</f>
        <v>0</v>
      </c>
      <c r="AP108" s="5">
        <f>+AC108+P108+C108</f>
        <v>25000</v>
      </c>
      <c r="AQ108" s="1">
        <v>1496.0172907090791</v>
      </c>
      <c r="AR108" s="1">
        <v>1789.0962054895574</v>
      </c>
      <c r="AS108" s="1">
        <v>1583.3632528332435</v>
      </c>
      <c r="AT108" s="1">
        <v>1199.3367382145896</v>
      </c>
      <c r="AU108" s="1">
        <v>1739.3238774745357</v>
      </c>
      <c r="AV108" s="1">
        <v>1425.373987886029</v>
      </c>
      <c r="AW108" s="1">
        <v>1419.0590190048056</v>
      </c>
      <c r="AX108" s="1">
        <v>963.67295370102079</v>
      </c>
      <c r="AY108" s="1">
        <v>1428.4525520964851</v>
      </c>
      <c r="AZ108" s="1">
        <v>1243.9985461018673</v>
      </c>
      <c r="BA108" s="1">
        <v>1270.1696706882192</v>
      </c>
      <c r="BB108" s="1">
        <v>1240.6016240923932</v>
      </c>
      <c r="BC108" s="2">
        <v>8.9181565948742242E-2</v>
      </c>
      <c r="BD108" s="2">
        <v>0.10665277883445198</v>
      </c>
      <c r="BE108" s="2">
        <v>9.438849084854764E-2</v>
      </c>
      <c r="BF108" s="2">
        <v>7.149564986855049E-2</v>
      </c>
      <c r="BG108" s="2">
        <v>0.10368571810536763</v>
      </c>
      <c r="BH108" s="2">
        <v>8.4970330952544637E-2</v>
      </c>
      <c r="BI108" s="2">
        <v>8.4593878877262704E-2</v>
      </c>
      <c r="BJ108" s="2">
        <v>5.7447105462779965E-2</v>
      </c>
      <c r="BK108" s="2">
        <v>8.5153852345557474E-2</v>
      </c>
      <c r="BL108" s="2">
        <v>7.4158058913035174E-2</v>
      </c>
      <c r="BM108" s="2">
        <v>7.5718189192107169E-2</v>
      </c>
      <c r="BN108" s="2">
        <v>7.3955559365675619E-2</v>
      </c>
    </row>
    <row r="109" spans="1:66" x14ac:dyDescent="0.25">
      <c r="A109" s="8">
        <v>2777</v>
      </c>
      <c r="B109" s="8" t="s">
        <v>886</v>
      </c>
      <c r="C109" s="5">
        <v>149850</v>
      </c>
      <c r="D109" s="5">
        <f>+$C109*BC109</f>
        <v>13363.857657419025</v>
      </c>
      <c r="E109" s="5">
        <f>+$C109*BD109</f>
        <v>15981.91890834263</v>
      </c>
      <c r="F109" s="5">
        <f>+$C109*BE109</f>
        <v>14144.115353654865</v>
      </c>
      <c r="G109" s="5">
        <f>+$C109*BF109</f>
        <v>10713.623132802291</v>
      </c>
      <c r="H109" s="5">
        <f>+$C109*BG109</f>
        <v>15537.304858089339</v>
      </c>
      <c r="I109" s="5">
        <f>+$C109*BH109</f>
        <v>12732.804093238814</v>
      </c>
      <c r="J109" s="5">
        <f>+$C109*BI109</f>
        <v>12676.392749757817</v>
      </c>
      <c r="K109" s="5">
        <f>+$C109*BJ109</f>
        <v>8608.4487535975786</v>
      </c>
      <c r="L109" s="5">
        <f>+$C109*BK109</f>
        <v>12760.304773981787</v>
      </c>
      <c r="M109" s="5">
        <f>+$C109*BL109</f>
        <v>11112.58512811832</v>
      </c>
      <c r="N109" s="5">
        <f>+$C109*BM109</f>
        <v>11346.370650437259</v>
      </c>
      <c r="O109" s="5">
        <f>+$C109*BN109</f>
        <v>11082.240570946491</v>
      </c>
      <c r="P109" s="5">
        <v>0</v>
      </c>
      <c r="Q109" s="5">
        <f>+$P109*BC109</f>
        <v>0</v>
      </c>
      <c r="R109" s="5">
        <f>+$P109*BD109</f>
        <v>0</v>
      </c>
      <c r="S109" s="5">
        <f>+$P109*BE109</f>
        <v>0</v>
      </c>
      <c r="T109" s="5">
        <f>+$P109*BF109</f>
        <v>0</v>
      </c>
      <c r="U109" s="5">
        <f>+$P109*BG109</f>
        <v>0</v>
      </c>
      <c r="V109" s="5">
        <f>+$P109*BH109</f>
        <v>0</v>
      </c>
      <c r="W109" s="5">
        <f>+$P109*BI109</f>
        <v>0</v>
      </c>
      <c r="X109" s="5">
        <f>+$P109*BJ109</f>
        <v>0</v>
      </c>
      <c r="Y109" s="5">
        <f>+$P109*BK109</f>
        <v>0</v>
      </c>
      <c r="Z109" s="5">
        <f>+$P109*BL109</f>
        <v>0</v>
      </c>
      <c r="AA109" s="5">
        <f>+$P109*BM109</f>
        <v>0</v>
      </c>
      <c r="AB109" s="5">
        <f>+$P109*BN109</f>
        <v>0</v>
      </c>
      <c r="AC109" s="5">
        <v>0</v>
      </c>
      <c r="AD109" s="5">
        <f>+$AC109*BC109</f>
        <v>0</v>
      </c>
      <c r="AE109" s="5">
        <f>+$AC109*BD109</f>
        <v>0</v>
      </c>
      <c r="AF109" s="5">
        <f>+$AC109*BE109</f>
        <v>0</v>
      </c>
      <c r="AG109" s="5">
        <f>+$AC109*BF109</f>
        <v>0</v>
      </c>
      <c r="AH109" s="5">
        <f>+$AC109*BG109</f>
        <v>0</v>
      </c>
      <c r="AI109" s="5">
        <f>+$AC109*BH109</f>
        <v>0</v>
      </c>
      <c r="AJ109" s="5">
        <f>+$AC109*BI109</f>
        <v>0</v>
      </c>
      <c r="AK109" s="5">
        <f>+$AC109*BJ109</f>
        <v>0</v>
      </c>
      <c r="AL109" s="5">
        <f>+$AC109*BK109</f>
        <v>0</v>
      </c>
      <c r="AM109" s="5">
        <f>+$AC109*BL109</f>
        <v>0</v>
      </c>
      <c r="AN109" s="5">
        <f>+$AC109*BM109</f>
        <v>0</v>
      </c>
      <c r="AO109" s="5">
        <f>+$AC109*BN109</f>
        <v>0</v>
      </c>
      <c r="AP109" s="5">
        <f>+AC109+P109+C109</f>
        <v>149850</v>
      </c>
      <c r="AQ109" s="1">
        <v>1426.9050551798759</v>
      </c>
      <c r="AR109" s="1">
        <v>1706.4444613512317</v>
      </c>
      <c r="AS109" s="1">
        <v>1510.2158535767624</v>
      </c>
      <c r="AT109" s="1">
        <v>1143.9303978968078</v>
      </c>
      <c r="AU109" s="1">
        <v>1658.971489685882</v>
      </c>
      <c r="AV109" s="1">
        <v>1359.5252952407143</v>
      </c>
      <c r="AW109" s="1">
        <v>1353.5020620362034</v>
      </c>
      <c r="AX109" s="1">
        <v>919.15368740447946</v>
      </c>
      <c r="AY109" s="1">
        <v>1362.4616375289195</v>
      </c>
      <c r="AZ109" s="1">
        <v>1186.5289426085628</v>
      </c>
      <c r="BA109" s="1">
        <v>1211.4910270737148</v>
      </c>
      <c r="BB109" s="1">
        <v>1183.28894985081</v>
      </c>
      <c r="BC109" s="2">
        <v>8.9181565948742242E-2</v>
      </c>
      <c r="BD109" s="2">
        <v>0.10665277883445198</v>
      </c>
      <c r="BE109" s="2">
        <v>9.438849084854764E-2</v>
      </c>
      <c r="BF109" s="2">
        <v>7.149564986855049E-2</v>
      </c>
      <c r="BG109" s="2">
        <v>0.10368571810536763</v>
      </c>
      <c r="BH109" s="2">
        <v>8.4970330952544637E-2</v>
      </c>
      <c r="BI109" s="2">
        <v>8.4593878877262704E-2</v>
      </c>
      <c r="BJ109" s="2">
        <v>5.7447105462779965E-2</v>
      </c>
      <c r="BK109" s="2">
        <v>8.5153852345557474E-2</v>
      </c>
      <c r="BL109" s="2">
        <v>7.4158058913035174E-2</v>
      </c>
      <c r="BM109" s="2">
        <v>7.5718189192107169E-2</v>
      </c>
      <c r="BN109" s="2">
        <v>7.3955559365675619E-2</v>
      </c>
    </row>
    <row r="110" spans="1:66" x14ac:dyDescent="0.25">
      <c r="A110" s="8">
        <v>3810</v>
      </c>
      <c r="B110" s="8" t="s">
        <v>885</v>
      </c>
      <c r="C110" s="5">
        <v>10000</v>
      </c>
      <c r="D110" s="5">
        <f>+$C110*BC110</f>
        <v>891.81565948742241</v>
      </c>
      <c r="E110" s="5">
        <f>+$C110*BD110</f>
        <v>1066.5277883445199</v>
      </c>
      <c r="F110" s="5">
        <f>+$C110*BE110</f>
        <v>943.88490848547644</v>
      </c>
      <c r="G110" s="5">
        <f>+$C110*BF110</f>
        <v>714.95649868550493</v>
      </c>
      <c r="H110" s="5">
        <f>+$C110*BG110</f>
        <v>1036.8571810536762</v>
      </c>
      <c r="I110" s="5">
        <f>+$C110*BH110</f>
        <v>849.70330952544634</v>
      </c>
      <c r="J110" s="5">
        <f>+$C110*BI110</f>
        <v>845.93878877262705</v>
      </c>
      <c r="K110" s="5">
        <f>+$C110*BJ110</f>
        <v>574.47105462779962</v>
      </c>
      <c r="L110" s="5">
        <f>+$C110*BK110</f>
        <v>851.5385234555747</v>
      </c>
      <c r="M110" s="5">
        <f>+$C110*BL110</f>
        <v>741.58058913035177</v>
      </c>
      <c r="N110" s="5">
        <f>+$C110*BM110</f>
        <v>757.18189192107172</v>
      </c>
      <c r="O110" s="5">
        <f>+$C110*BN110</f>
        <v>739.55559365675617</v>
      </c>
      <c r="P110" s="5">
        <v>14000</v>
      </c>
      <c r="Q110" s="5">
        <f>+$P110*BC110</f>
        <v>1248.5419232823913</v>
      </c>
      <c r="R110" s="5">
        <f>+$P110*BD110</f>
        <v>1493.1389036823277</v>
      </c>
      <c r="S110" s="5">
        <f>+$P110*BE110</f>
        <v>1321.438871879667</v>
      </c>
      <c r="T110" s="5">
        <f>+$P110*BF110</f>
        <v>1000.9390981597069</v>
      </c>
      <c r="U110" s="5">
        <f>+$P110*BG110</f>
        <v>1451.6000534751468</v>
      </c>
      <c r="V110" s="5">
        <f>+$P110*BH110</f>
        <v>1189.5846333356249</v>
      </c>
      <c r="W110" s="5">
        <f>+$P110*BI110</f>
        <v>1184.3143042816778</v>
      </c>
      <c r="X110" s="5">
        <f>+$P110*BJ110</f>
        <v>804.25947647891951</v>
      </c>
      <c r="Y110" s="5">
        <f>+$P110*BK110</f>
        <v>1192.1539328378046</v>
      </c>
      <c r="Z110" s="5">
        <f>+$P110*BL110</f>
        <v>1038.2128247824924</v>
      </c>
      <c r="AA110" s="5">
        <f>+$P110*BM110</f>
        <v>1060.0546486895003</v>
      </c>
      <c r="AB110" s="5">
        <f>+$P110*BN110</f>
        <v>1035.3778311194587</v>
      </c>
      <c r="AC110" s="5">
        <v>1000</v>
      </c>
      <c r="AD110" s="5">
        <f>+$AC110*BC110</f>
        <v>89.181565948742247</v>
      </c>
      <c r="AE110" s="5">
        <f>+$AC110*BD110</f>
        <v>106.65277883445198</v>
      </c>
      <c r="AF110" s="5">
        <f>+$AC110*BE110</f>
        <v>94.388490848547647</v>
      </c>
      <c r="AG110" s="5">
        <f>+$AC110*BF110</f>
        <v>71.495649868550487</v>
      </c>
      <c r="AH110" s="5">
        <f>+$AC110*BG110</f>
        <v>103.68571810536763</v>
      </c>
      <c r="AI110" s="5">
        <f>+$AC110*BH110</f>
        <v>84.970330952544643</v>
      </c>
      <c r="AJ110" s="5">
        <f>+$AC110*BI110</f>
        <v>84.593878877262711</v>
      </c>
      <c r="AK110" s="5">
        <f>+$AC110*BJ110</f>
        <v>57.447105462779966</v>
      </c>
      <c r="AL110" s="5">
        <f>+$AC110*BK110</f>
        <v>85.153852345557468</v>
      </c>
      <c r="AM110" s="5">
        <f>+$AC110*BL110</f>
        <v>74.158058913035177</v>
      </c>
      <c r="AN110" s="5">
        <f>+$AC110*BM110</f>
        <v>75.718189192107175</v>
      </c>
      <c r="AO110" s="5">
        <f>+$AC110*BN110</f>
        <v>73.955559365675626</v>
      </c>
      <c r="AP110" s="5">
        <f>+AC110+P110+C110</f>
        <v>25000</v>
      </c>
      <c r="AQ110" s="1">
        <v>1426.9050551798759</v>
      </c>
      <c r="AR110" s="1">
        <v>1706.4444613512317</v>
      </c>
      <c r="AS110" s="1">
        <v>1510.2158535767624</v>
      </c>
      <c r="AT110" s="1">
        <v>1143.9303978968078</v>
      </c>
      <c r="AU110" s="1">
        <v>1658.971489685882</v>
      </c>
      <c r="AV110" s="1">
        <v>1359.5252952407143</v>
      </c>
      <c r="AW110" s="1">
        <v>1353.5020620362034</v>
      </c>
      <c r="AX110" s="1">
        <v>919.15368740447946</v>
      </c>
      <c r="AY110" s="1">
        <v>1362.4616375289195</v>
      </c>
      <c r="AZ110" s="1">
        <v>1186.5289426085628</v>
      </c>
      <c r="BA110" s="1">
        <v>1211.4910270737148</v>
      </c>
      <c r="BB110" s="1">
        <v>1183.28894985081</v>
      </c>
      <c r="BC110" s="2">
        <v>8.9181565948742242E-2</v>
      </c>
      <c r="BD110" s="2">
        <v>0.10665277883445198</v>
      </c>
      <c r="BE110" s="2">
        <v>9.438849084854764E-2</v>
      </c>
      <c r="BF110" s="2">
        <v>7.149564986855049E-2</v>
      </c>
      <c r="BG110" s="2">
        <v>0.10368571810536763</v>
      </c>
      <c r="BH110" s="2">
        <v>8.4970330952544637E-2</v>
      </c>
      <c r="BI110" s="2">
        <v>8.4593878877262704E-2</v>
      </c>
      <c r="BJ110" s="2">
        <v>5.7447105462779965E-2</v>
      </c>
      <c r="BK110" s="2">
        <v>8.5153852345557474E-2</v>
      </c>
      <c r="BL110" s="2">
        <v>7.4158058913035174E-2</v>
      </c>
      <c r="BM110" s="2">
        <v>7.5718189192107169E-2</v>
      </c>
      <c r="BN110" s="2">
        <v>7.3955559365675619E-2</v>
      </c>
    </row>
    <row r="111" spans="1:66" x14ac:dyDescent="0.25">
      <c r="A111" s="8">
        <v>4408</v>
      </c>
      <c r="B111" s="8" t="s">
        <v>884</v>
      </c>
      <c r="C111" s="5">
        <v>15000</v>
      </c>
      <c r="D111" s="5">
        <f>+$C111*BC111</f>
        <v>1337.7234892311337</v>
      </c>
      <c r="E111" s="5">
        <f>+$C111*BD111</f>
        <v>1599.7916825167797</v>
      </c>
      <c r="F111" s="5">
        <f>+$C111*BE111</f>
        <v>1415.8273627282147</v>
      </c>
      <c r="G111" s="5">
        <f>+$C111*BF111</f>
        <v>1072.4347480282574</v>
      </c>
      <c r="H111" s="5">
        <f>+$C111*BG111</f>
        <v>1555.2857715805144</v>
      </c>
      <c r="I111" s="5">
        <f>+$C111*BH111</f>
        <v>1274.5549642881695</v>
      </c>
      <c r="J111" s="5">
        <f>+$C111*BI111</f>
        <v>1268.9081831589406</v>
      </c>
      <c r="K111" s="5">
        <f>+$C111*BJ111</f>
        <v>861.70658194169948</v>
      </c>
      <c r="L111" s="5">
        <f>+$C111*BK111</f>
        <v>1277.3077851833621</v>
      </c>
      <c r="M111" s="5">
        <f>+$C111*BL111</f>
        <v>1112.3708836955277</v>
      </c>
      <c r="N111" s="5">
        <f>+$C111*BM111</f>
        <v>1135.7728378816075</v>
      </c>
      <c r="O111" s="5">
        <f>+$C111*BN111</f>
        <v>1109.3333904851343</v>
      </c>
      <c r="P111" s="5">
        <v>15000</v>
      </c>
      <c r="Q111" s="5">
        <f>+$P111*BC111</f>
        <v>1337.7234892311337</v>
      </c>
      <c r="R111" s="5">
        <f>+$P111*BD111</f>
        <v>1599.7916825167797</v>
      </c>
      <c r="S111" s="5">
        <f>+$P111*BE111</f>
        <v>1415.8273627282147</v>
      </c>
      <c r="T111" s="5">
        <f>+$P111*BF111</f>
        <v>1072.4347480282574</v>
      </c>
      <c r="U111" s="5">
        <f>+$P111*BG111</f>
        <v>1555.2857715805144</v>
      </c>
      <c r="V111" s="5">
        <f>+$P111*BH111</f>
        <v>1274.5549642881695</v>
      </c>
      <c r="W111" s="5">
        <f>+$P111*BI111</f>
        <v>1268.9081831589406</v>
      </c>
      <c r="X111" s="5">
        <f>+$P111*BJ111</f>
        <v>861.70658194169948</v>
      </c>
      <c r="Y111" s="5">
        <f>+$P111*BK111</f>
        <v>1277.3077851833621</v>
      </c>
      <c r="Z111" s="5">
        <f>+$P111*BL111</f>
        <v>1112.3708836955277</v>
      </c>
      <c r="AA111" s="5">
        <f>+$P111*BM111</f>
        <v>1135.7728378816075</v>
      </c>
      <c r="AB111" s="5">
        <f>+$P111*BN111</f>
        <v>1109.3333904851343</v>
      </c>
      <c r="AC111" s="5">
        <v>0</v>
      </c>
      <c r="AD111" s="5">
        <f>+$AC111*BC111</f>
        <v>0</v>
      </c>
      <c r="AE111" s="5">
        <f>+$AC111*BD111</f>
        <v>0</v>
      </c>
      <c r="AF111" s="5">
        <f>+$AC111*BE111</f>
        <v>0</v>
      </c>
      <c r="AG111" s="5">
        <f>+$AC111*BF111</f>
        <v>0</v>
      </c>
      <c r="AH111" s="5">
        <f>+$AC111*BG111</f>
        <v>0</v>
      </c>
      <c r="AI111" s="5">
        <f>+$AC111*BH111</f>
        <v>0</v>
      </c>
      <c r="AJ111" s="5">
        <f>+$AC111*BI111</f>
        <v>0</v>
      </c>
      <c r="AK111" s="5">
        <f>+$AC111*BJ111</f>
        <v>0</v>
      </c>
      <c r="AL111" s="5">
        <f>+$AC111*BK111</f>
        <v>0</v>
      </c>
      <c r="AM111" s="5">
        <f>+$AC111*BL111</f>
        <v>0</v>
      </c>
      <c r="AN111" s="5">
        <f>+$AC111*BM111</f>
        <v>0</v>
      </c>
      <c r="AO111" s="5">
        <f>+$AC111*BN111</f>
        <v>0</v>
      </c>
      <c r="AP111" s="5">
        <f>+AC111+P111+C111</f>
        <v>30000</v>
      </c>
      <c r="AQ111" s="1">
        <v>1516.0866211286182</v>
      </c>
      <c r="AR111" s="1">
        <v>1813.0972401856836</v>
      </c>
      <c r="AS111" s="1">
        <v>1604.6043444253098</v>
      </c>
      <c r="AT111" s="1">
        <v>1215.4260477653584</v>
      </c>
      <c r="AU111" s="1">
        <v>1762.6572077912497</v>
      </c>
      <c r="AV111" s="1">
        <v>1444.4956261932589</v>
      </c>
      <c r="AW111" s="1">
        <v>1438.0959409134659</v>
      </c>
      <c r="AX111" s="1">
        <v>976.60079286725943</v>
      </c>
      <c r="AY111" s="1">
        <v>1447.6154898744771</v>
      </c>
      <c r="AZ111" s="1">
        <v>1260.6870015215979</v>
      </c>
      <c r="BA111" s="1">
        <v>1287.2092162658219</v>
      </c>
      <c r="BB111" s="1">
        <v>1257.2445092164855</v>
      </c>
      <c r="BC111" s="2">
        <v>8.9181565948742242E-2</v>
      </c>
      <c r="BD111" s="2">
        <v>0.10665277883445198</v>
      </c>
      <c r="BE111" s="2">
        <v>9.438849084854764E-2</v>
      </c>
      <c r="BF111" s="2">
        <v>7.149564986855049E-2</v>
      </c>
      <c r="BG111" s="2">
        <v>0.10368571810536763</v>
      </c>
      <c r="BH111" s="2">
        <v>8.4970330952544637E-2</v>
      </c>
      <c r="BI111" s="2">
        <v>8.4593878877262704E-2</v>
      </c>
      <c r="BJ111" s="2">
        <v>5.7447105462779965E-2</v>
      </c>
      <c r="BK111" s="2">
        <v>8.5153852345557474E-2</v>
      </c>
      <c r="BL111" s="2">
        <v>7.4158058913035174E-2</v>
      </c>
      <c r="BM111" s="2">
        <v>7.5718189192107169E-2</v>
      </c>
      <c r="BN111" s="2">
        <v>7.3955559365675619E-2</v>
      </c>
    </row>
    <row r="112" spans="1:66" x14ac:dyDescent="0.25">
      <c r="A112" s="8">
        <v>5544</v>
      </c>
      <c r="B112" s="8" t="s">
        <v>883</v>
      </c>
      <c r="C112" s="5">
        <v>0</v>
      </c>
      <c r="D112" s="5">
        <f>+$C112*BC112</f>
        <v>0</v>
      </c>
      <c r="E112" s="5">
        <f>+$C112*BD112</f>
        <v>0</v>
      </c>
      <c r="F112" s="5">
        <f>+$C112*BE112</f>
        <v>0</v>
      </c>
      <c r="G112" s="5">
        <f>+$C112*BF112</f>
        <v>0</v>
      </c>
      <c r="H112" s="5">
        <f>+$C112*BG112</f>
        <v>0</v>
      </c>
      <c r="I112" s="5">
        <f>+$C112*BH112</f>
        <v>0</v>
      </c>
      <c r="J112" s="5">
        <f>+$C112*BI112</f>
        <v>0</v>
      </c>
      <c r="K112" s="5">
        <f>+$C112*BJ112</f>
        <v>0</v>
      </c>
      <c r="L112" s="5">
        <f>+$C112*BK112</f>
        <v>0</v>
      </c>
      <c r="M112" s="5">
        <f>+$C112*BL112</f>
        <v>0</v>
      </c>
      <c r="N112" s="5">
        <f>+$C112*BM112</f>
        <v>0</v>
      </c>
      <c r="O112" s="5">
        <f>+$C112*BN112</f>
        <v>0</v>
      </c>
      <c r="P112" s="5">
        <v>0</v>
      </c>
      <c r="Q112" s="5">
        <f>+$P112*BC112</f>
        <v>0</v>
      </c>
      <c r="R112" s="5">
        <f>+$P112*BD112</f>
        <v>0</v>
      </c>
      <c r="S112" s="5">
        <f>+$P112*BE112</f>
        <v>0</v>
      </c>
      <c r="T112" s="5">
        <f>+$P112*BF112</f>
        <v>0</v>
      </c>
      <c r="U112" s="5">
        <f>+$P112*BG112</f>
        <v>0</v>
      </c>
      <c r="V112" s="5">
        <f>+$P112*BH112</f>
        <v>0</v>
      </c>
      <c r="W112" s="5">
        <f>+$P112*BI112</f>
        <v>0</v>
      </c>
      <c r="X112" s="5">
        <f>+$P112*BJ112</f>
        <v>0</v>
      </c>
      <c r="Y112" s="5">
        <f>+$P112*BK112</f>
        <v>0</v>
      </c>
      <c r="Z112" s="5">
        <f>+$P112*BL112</f>
        <v>0</v>
      </c>
      <c r="AA112" s="5">
        <f>+$P112*BM112</f>
        <v>0</v>
      </c>
      <c r="AB112" s="5">
        <f>+$P112*BN112</f>
        <v>0</v>
      </c>
      <c r="AC112" s="5">
        <v>6000</v>
      </c>
      <c r="AD112" s="5">
        <f>+$AC112*BC112</f>
        <v>535.08939569245342</v>
      </c>
      <c r="AE112" s="5">
        <f>+$AC112*BD112</f>
        <v>639.9166730067119</v>
      </c>
      <c r="AF112" s="5">
        <f>+$AC112*BE112</f>
        <v>566.3309450912858</v>
      </c>
      <c r="AG112" s="5">
        <f>+$AC112*BF112</f>
        <v>428.97389921130292</v>
      </c>
      <c r="AH112" s="5">
        <f>+$AC112*BG112</f>
        <v>622.11430863220573</v>
      </c>
      <c r="AI112" s="5">
        <f>+$AC112*BH112</f>
        <v>509.82198571526783</v>
      </c>
      <c r="AJ112" s="5">
        <f>+$AC112*BI112</f>
        <v>507.56327326357621</v>
      </c>
      <c r="AK112" s="5">
        <f>+$AC112*BJ112</f>
        <v>344.68263277667978</v>
      </c>
      <c r="AL112" s="5">
        <f>+$AC112*BK112</f>
        <v>510.92311407334483</v>
      </c>
      <c r="AM112" s="5">
        <f>+$AC112*BL112</f>
        <v>444.94835347821106</v>
      </c>
      <c r="AN112" s="5">
        <f>+$AC112*BM112</f>
        <v>454.30913515264302</v>
      </c>
      <c r="AO112" s="5">
        <f>+$AC112*BN112</f>
        <v>443.73335619405373</v>
      </c>
      <c r="AP112" s="5">
        <f>+AC112+P112+C112</f>
        <v>6000</v>
      </c>
      <c r="AQ112" s="1">
        <v>1426.9050551798759</v>
      </c>
      <c r="AR112" s="1">
        <v>1706.4444613512317</v>
      </c>
      <c r="AS112" s="1">
        <v>1510.2158535767624</v>
      </c>
      <c r="AT112" s="1">
        <v>1143.9303978968078</v>
      </c>
      <c r="AU112" s="1">
        <v>1658.971489685882</v>
      </c>
      <c r="AV112" s="1">
        <v>1359.5252952407143</v>
      </c>
      <c r="AW112" s="1">
        <v>1353.5020620362034</v>
      </c>
      <c r="AX112" s="1">
        <v>919.15368740447946</v>
      </c>
      <c r="AY112" s="1">
        <v>1362.4616375289195</v>
      </c>
      <c r="AZ112" s="1">
        <v>1186.5289426085628</v>
      </c>
      <c r="BA112" s="1">
        <v>1211.4910270737148</v>
      </c>
      <c r="BB112" s="1">
        <v>1183.28894985081</v>
      </c>
      <c r="BC112" s="2">
        <v>8.9181565948742242E-2</v>
      </c>
      <c r="BD112" s="2">
        <v>0.10665277883445198</v>
      </c>
      <c r="BE112" s="2">
        <v>9.438849084854764E-2</v>
      </c>
      <c r="BF112" s="2">
        <v>7.149564986855049E-2</v>
      </c>
      <c r="BG112" s="2">
        <v>0.10368571810536763</v>
      </c>
      <c r="BH112" s="2">
        <v>8.4970330952544637E-2</v>
      </c>
      <c r="BI112" s="2">
        <v>8.4593878877262704E-2</v>
      </c>
      <c r="BJ112" s="2">
        <v>5.7447105462779965E-2</v>
      </c>
      <c r="BK112" s="2">
        <v>8.5153852345557474E-2</v>
      </c>
      <c r="BL112" s="2">
        <v>7.4158058913035174E-2</v>
      </c>
      <c r="BM112" s="2">
        <v>7.5718189192107169E-2</v>
      </c>
      <c r="BN112" s="2">
        <v>7.3955559365675619E-2</v>
      </c>
    </row>
    <row r="113" spans="1:66" x14ac:dyDescent="0.25">
      <c r="A113" s="8">
        <v>16088</v>
      </c>
      <c r="B113" s="8" t="s">
        <v>882</v>
      </c>
      <c r="C113" s="5">
        <v>0</v>
      </c>
      <c r="D113" s="5">
        <f>+$C113*BC113</f>
        <v>0</v>
      </c>
      <c r="E113" s="5">
        <f>+$C113*BD113</f>
        <v>0</v>
      </c>
      <c r="F113" s="5">
        <f>+$C113*BE113</f>
        <v>0</v>
      </c>
      <c r="G113" s="5">
        <f>+$C113*BF113</f>
        <v>0</v>
      </c>
      <c r="H113" s="5">
        <f>+$C113*BG113</f>
        <v>0</v>
      </c>
      <c r="I113" s="5">
        <f>+$C113*BH113</f>
        <v>0</v>
      </c>
      <c r="J113" s="5">
        <f>+$C113*BI113</f>
        <v>0</v>
      </c>
      <c r="K113" s="5">
        <f>+$C113*BJ113</f>
        <v>0</v>
      </c>
      <c r="L113" s="5">
        <f>+$C113*BK113</f>
        <v>0</v>
      </c>
      <c r="M113" s="5">
        <f>+$C113*BL113</f>
        <v>0</v>
      </c>
      <c r="N113" s="5">
        <f>+$C113*BM113</f>
        <v>0</v>
      </c>
      <c r="O113" s="5">
        <f>+$C113*BN113</f>
        <v>0</v>
      </c>
      <c r="P113" s="5">
        <v>1000</v>
      </c>
      <c r="Q113" s="5">
        <f>+$P113*BC113</f>
        <v>89.181565948742247</v>
      </c>
      <c r="R113" s="5">
        <f>+$P113*BD113</f>
        <v>106.65277883445198</v>
      </c>
      <c r="S113" s="5">
        <f>+$P113*BE113</f>
        <v>94.388490848547647</v>
      </c>
      <c r="T113" s="5">
        <f>+$P113*BF113</f>
        <v>71.495649868550487</v>
      </c>
      <c r="U113" s="5">
        <f>+$P113*BG113</f>
        <v>103.68571810536763</v>
      </c>
      <c r="V113" s="5">
        <f>+$P113*BH113</f>
        <v>84.970330952544643</v>
      </c>
      <c r="W113" s="5">
        <f>+$P113*BI113</f>
        <v>84.593878877262711</v>
      </c>
      <c r="X113" s="5">
        <f>+$P113*BJ113</f>
        <v>57.447105462779966</v>
      </c>
      <c r="Y113" s="5">
        <f>+$P113*BK113</f>
        <v>85.153852345557468</v>
      </c>
      <c r="Z113" s="5">
        <f>+$P113*BL113</f>
        <v>74.158058913035177</v>
      </c>
      <c r="AA113" s="5">
        <f>+$P113*BM113</f>
        <v>75.718189192107175</v>
      </c>
      <c r="AB113" s="5">
        <f>+$P113*BN113</f>
        <v>73.955559365675626</v>
      </c>
      <c r="AC113" s="5">
        <v>0</v>
      </c>
      <c r="AD113" s="5">
        <f>+$AC113*BC113</f>
        <v>0</v>
      </c>
      <c r="AE113" s="5">
        <f>+$AC113*BD113</f>
        <v>0</v>
      </c>
      <c r="AF113" s="5">
        <f>+$AC113*BE113</f>
        <v>0</v>
      </c>
      <c r="AG113" s="5">
        <f>+$AC113*BF113</f>
        <v>0</v>
      </c>
      <c r="AH113" s="5">
        <f>+$AC113*BG113</f>
        <v>0</v>
      </c>
      <c r="AI113" s="5">
        <f>+$AC113*BH113</f>
        <v>0</v>
      </c>
      <c r="AJ113" s="5">
        <f>+$AC113*BI113</f>
        <v>0</v>
      </c>
      <c r="AK113" s="5">
        <f>+$AC113*BJ113</f>
        <v>0</v>
      </c>
      <c r="AL113" s="5">
        <f>+$AC113*BK113</f>
        <v>0</v>
      </c>
      <c r="AM113" s="5">
        <f>+$AC113*BL113</f>
        <v>0</v>
      </c>
      <c r="AN113" s="5">
        <f>+$AC113*BM113</f>
        <v>0</v>
      </c>
      <c r="AO113" s="5">
        <f>+$AC113*BN113</f>
        <v>0</v>
      </c>
      <c r="AP113" s="5">
        <f>+AC113+P113+C113</f>
        <v>1000</v>
      </c>
      <c r="AQ113" s="1">
        <v>1426.9050551798759</v>
      </c>
      <c r="AR113" s="1">
        <v>1706.4444613512317</v>
      </c>
      <c r="AS113" s="1">
        <v>1510.2158535767624</v>
      </c>
      <c r="AT113" s="1">
        <v>1143.9303978968078</v>
      </c>
      <c r="AU113" s="1">
        <v>1658.971489685882</v>
      </c>
      <c r="AV113" s="1">
        <v>1359.5252952407143</v>
      </c>
      <c r="AW113" s="1">
        <v>1353.5020620362034</v>
      </c>
      <c r="AX113" s="1">
        <v>919.15368740447946</v>
      </c>
      <c r="AY113" s="1">
        <v>1362.4616375289195</v>
      </c>
      <c r="AZ113" s="1">
        <v>1186.5289426085628</v>
      </c>
      <c r="BA113" s="1">
        <v>1211.4910270737148</v>
      </c>
      <c r="BB113" s="1">
        <v>1183.28894985081</v>
      </c>
      <c r="BC113" s="2">
        <v>8.9181565948742242E-2</v>
      </c>
      <c r="BD113" s="2">
        <v>0.10665277883445198</v>
      </c>
      <c r="BE113" s="2">
        <v>9.438849084854764E-2</v>
      </c>
      <c r="BF113" s="2">
        <v>7.149564986855049E-2</v>
      </c>
      <c r="BG113" s="2">
        <v>0.10368571810536763</v>
      </c>
      <c r="BH113" s="2">
        <v>8.4970330952544637E-2</v>
      </c>
      <c r="BI113" s="2">
        <v>8.4593878877262704E-2</v>
      </c>
      <c r="BJ113" s="2">
        <v>5.7447105462779965E-2</v>
      </c>
      <c r="BK113" s="2">
        <v>8.5153852345557474E-2</v>
      </c>
      <c r="BL113" s="2">
        <v>7.4158058913035174E-2</v>
      </c>
      <c r="BM113" s="2">
        <v>7.5718189192107169E-2</v>
      </c>
      <c r="BN113" s="2">
        <v>7.3955559365675619E-2</v>
      </c>
    </row>
    <row r="114" spans="1:66" x14ac:dyDescent="0.25">
      <c r="A114" s="8">
        <v>3451</v>
      </c>
      <c r="B114" s="8" t="s">
        <v>881</v>
      </c>
      <c r="C114" s="5">
        <v>896.11500000000001</v>
      </c>
      <c r="D114" s="5">
        <f>+$C114*BC114</f>
        <v>79.916938970157162</v>
      </c>
      <c r="E114" s="5">
        <f>+$C114*BD114</f>
        <v>95.573154905234944</v>
      </c>
      <c r="F114" s="5">
        <f>+$C114*BE114</f>
        <v>84.582942476746268</v>
      </c>
      <c r="G114" s="5">
        <f>+$C114*BF114</f>
        <v>64.068324281956123</v>
      </c>
      <c r="H114" s="5">
        <f>+$C114*BG114</f>
        <v>92.914327279991511</v>
      </c>
      <c r="I114" s="5">
        <f>+$C114*BH114</f>
        <v>76.143188121539538</v>
      </c>
      <c r="J114" s="5">
        <f>+$C114*BI114</f>
        <v>75.805843770098264</v>
      </c>
      <c r="K114" s="5">
        <f>+$C114*BJ114</f>
        <v>51.479212911779072</v>
      </c>
      <c r="L114" s="5">
        <f>+$C114*BK114</f>
        <v>76.30764439463924</v>
      </c>
      <c r="M114" s="5">
        <f>+$C114*BL114</f>
        <v>66.454148962854518</v>
      </c>
      <c r="N114" s="5">
        <f>+$C114*BM114</f>
        <v>67.852205107885112</v>
      </c>
      <c r="O114" s="5">
        <f>+$C114*BN114</f>
        <v>66.272686080972406</v>
      </c>
      <c r="P114" s="5">
        <v>15000</v>
      </c>
      <c r="Q114" s="5">
        <f>+$P114*BC114</f>
        <v>1337.7234892311337</v>
      </c>
      <c r="R114" s="5">
        <f>+$P114*BD114</f>
        <v>1599.7916825167797</v>
      </c>
      <c r="S114" s="5">
        <f>+$P114*BE114</f>
        <v>1415.8273627282147</v>
      </c>
      <c r="T114" s="5">
        <f>+$P114*BF114</f>
        <v>1072.4347480282574</v>
      </c>
      <c r="U114" s="5">
        <f>+$P114*BG114</f>
        <v>1555.2857715805144</v>
      </c>
      <c r="V114" s="5">
        <f>+$P114*BH114</f>
        <v>1274.5549642881695</v>
      </c>
      <c r="W114" s="5">
        <f>+$P114*BI114</f>
        <v>1268.9081831589406</v>
      </c>
      <c r="X114" s="5">
        <f>+$P114*BJ114</f>
        <v>861.70658194169948</v>
      </c>
      <c r="Y114" s="5">
        <f>+$P114*BK114</f>
        <v>1277.3077851833621</v>
      </c>
      <c r="Z114" s="5">
        <f>+$P114*BL114</f>
        <v>1112.3708836955277</v>
      </c>
      <c r="AA114" s="5">
        <f>+$P114*BM114</f>
        <v>1135.7728378816075</v>
      </c>
      <c r="AB114" s="5">
        <f>+$P114*BN114</f>
        <v>1109.3333904851343</v>
      </c>
      <c r="AC114" s="5">
        <v>0</v>
      </c>
      <c r="AD114" s="5">
        <f>+$AC114*BC114</f>
        <v>0</v>
      </c>
      <c r="AE114" s="5">
        <f>+$AC114*BD114</f>
        <v>0</v>
      </c>
      <c r="AF114" s="5">
        <f>+$AC114*BE114</f>
        <v>0</v>
      </c>
      <c r="AG114" s="5">
        <f>+$AC114*BF114</f>
        <v>0</v>
      </c>
      <c r="AH114" s="5">
        <f>+$AC114*BG114</f>
        <v>0</v>
      </c>
      <c r="AI114" s="5">
        <f>+$AC114*BH114</f>
        <v>0</v>
      </c>
      <c r="AJ114" s="5">
        <f>+$AC114*BI114</f>
        <v>0</v>
      </c>
      <c r="AK114" s="5">
        <f>+$AC114*BJ114</f>
        <v>0</v>
      </c>
      <c r="AL114" s="5">
        <f>+$AC114*BK114</f>
        <v>0</v>
      </c>
      <c r="AM114" s="5">
        <f>+$AC114*BL114</f>
        <v>0</v>
      </c>
      <c r="AN114" s="5">
        <f>+$AC114*BM114</f>
        <v>0</v>
      </c>
      <c r="AO114" s="5">
        <f>+$AC114*BN114</f>
        <v>0</v>
      </c>
      <c r="AP114" s="5">
        <f>+AC114+P114+C114</f>
        <v>15896.115</v>
      </c>
      <c r="AQ114" s="1">
        <v>1529.9097638506732</v>
      </c>
      <c r="AR114" s="1">
        <v>1829.6284209050239</v>
      </c>
      <c r="AS114" s="1">
        <v>1619.2345605068347</v>
      </c>
      <c r="AT114" s="1">
        <v>1226.5078734949836</v>
      </c>
      <c r="AU114" s="1">
        <v>1778.7284940975817</v>
      </c>
      <c r="AV114" s="1">
        <v>1457.6660274909032</v>
      </c>
      <c r="AW114" s="1">
        <v>1451.2079921394418</v>
      </c>
      <c r="AX114" s="1">
        <v>985.50509421399033</v>
      </c>
      <c r="AY114" s="1">
        <v>1460.8143369880383</v>
      </c>
      <c r="AZ114" s="1">
        <v>1272.1815006531185</v>
      </c>
      <c r="BA114" s="1">
        <v>1298.9455355905984</v>
      </c>
      <c r="BB114" s="1">
        <v>1268.7076209181653</v>
      </c>
      <c r="BC114" s="2">
        <v>8.9181565948742242E-2</v>
      </c>
      <c r="BD114" s="2">
        <v>0.10665277883445198</v>
      </c>
      <c r="BE114" s="2">
        <v>9.438849084854764E-2</v>
      </c>
      <c r="BF114" s="2">
        <v>7.149564986855049E-2</v>
      </c>
      <c r="BG114" s="2">
        <v>0.10368571810536763</v>
      </c>
      <c r="BH114" s="2">
        <v>8.4970330952544637E-2</v>
      </c>
      <c r="BI114" s="2">
        <v>8.4593878877262704E-2</v>
      </c>
      <c r="BJ114" s="2">
        <v>5.7447105462779965E-2</v>
      </c>
      <c r="BK114" s="2">
        <v>8.5153852345557474E-2</v>
      </c>
      <c r="BL114" s="2">
        <v>7.4158058913035174E-2</v>
      </c>
      <c r="BM114" s="2">
        <v>7.5718189192107169E-2</v>
      </c>
      <c r="BN114" s="2">
        <v>7.3955559365675619E-2</v>
      </c>
    </row>
    <row r="115" spans="1:66" x14ac:dyDescent="0.25">
      <c r="A115" s="8">
        <v>1223</v>
      </c>
      <c r="B115" s="8" t="s">
        <v>880</v>
      </c>
      <c r="C115" s="5">
        <v>0</v>
      </c>
      <c r="D115" s="5">
        <f>+$C115*BC115</f>
        <v>0</v>
      </c>
      <c r="E115" s="5">
        <f>+$C115*BD115</f>
        <v>0</v>
      </c>
      <c r="F115" s="5">
        <f>+$C115*BE115</f>
        <v>0</v>
      </c>
      <c r="G115" s="5">
        <f>+$C115*BF115</f>
        <v>0</v>
      </c>
      <c r="H115" s="5">
        <f>+$C115*BG115</f>
        <v>0</v>
      </c>
      <c r="I115" s="5">
        <f>+$C115*BH115</f>
        <v>0</v>
      </c>
      <c r="J115" s="5">
        <f>+$C115*BI115</f>
        <v>0</v>
      </c>
      <c r="K115" s="5">
        <f>+$C115*BJ115</f>
        <v>0</v>
      </c>
      <c r="L115" s="5">
        <f>+$C115*BK115</f>
        <v>0</v>
      </c>
      <c r="M115" s="5">
        <f>+$C115*BL115</f>
        <v>0</v>
      </c>
      <c r="N115" s="5">
        <f>+$C115*BM115</f>
        <v>0</v>
      </c>
      <c r="O115" s="5">
        <f>+$C115*BN115</f>
        <v>0</v>
      </c>
      <c r="P115" s="5">
        <v>0</v>
      </c>
      <c r="Q115" s="5">
        <f>+$P115*BC115</f>
        <v>0</v>
      </c>
      <c r="R115" s="5">
        <f>+$P115*BD115</f>
        <v>0</v>
      </c>
      <c r="S115" s="5">
        <f>+$P115*BE115</f>
        <v>0</v>
      </c>
      <c r="T115" s="5">
        <f>+$P115*BF115</f>
        <v>0</v>
      </c>
      <c r="U115" s="5">
        <f>+$P115*BG115</f>
        <v>0</v>
      </c>
      <c r="V115" s="5">
        <f>+$P115*BH115</f>
        <v>0</v>
      </c>
      <c r="W115" s="5">
        <f>+$P115*BI115</f>
        <v>0</v>
      </c>
      <c r="X115" s="5">
        <f>+$P115*BJ115</f>
        <v>0</v>
      </c>
      <c r="Y115" s="5">
        <f>+$P115*BK115</f>
        <v>0</v>
      </c>
      <c r="Z115" s="5">
        <f>+$P115*BL115</f>
        <v>0</v>
      </c>
      <c r="AA115" s="5">
        <f>+$P115*BM115</f>
        <v>0</v>
      </c>
      <c r="AB115" s="5">
        <f>+$P115*BN115</f>
        <v>0</v>
      </c>
      <c r="AC115" s="5">
        <v>0</v>
      </c>
      <c r="AD115" s="5">
        <f>+$AC115*BC115</f>
        <v>0</v>
      </c>
      <c r="AE115" s="5">
        <f>+$AC115*BD115</f>
        <v>0</v>
      </c>
      <c r="AF115" s="5">
        <f>+$AC115*BE115</f>
        <v>0</v>
      </c>
      <c r="AG115" s="5">
        <f>+$AC115*BF115</f>
        <v>0</v>
      </c>
      <c r="AH115" s="5">
        <f>+$AC115*BG115</f>
        <v>0</v>
      </c>
      <c r="AI115" s="5">
        <f>+$AC115*BH115</f>
        <v>0</v>
      </c>
      <c r="AJ115" s="5">
        <f>+$AC115*BI115</f>
        <v>0</v>
      </c>
      <c r="AK115" s="5">
        <f>+$AC115*BJ115</f>
        <v>0</v>
      </c>
      <c r="AL115" s="5">
        <f>+$AC115*BK115</f>
        <v>0</v>
      </c>
      <c r="AM115" s="5">
        <f>+$AC115*BL115</f>
        <v>0</v>
      </c>
      <c r="AN115" s="5">
        <f>+$AC115*BM115</f>
        <v>0</v>
      </c>
      <c r="AO115" s="5">
        <f>+$AC115*BN115</f>
        <v>0</v>
      </c>
      <c r="AP115" s="5">
        <f>+AC115+P115+C115</f>
        <v>0</v>
      </c>
      <c r="AQ115" s="1">
        <v>1417.6404282012907</v>
      </c>
      <c r="AR115" s="1">
        <v>1695.3648374220147</v>
      </c>
      <c r="AS115" s="1">
        <v>1500.4103052049609</v>
      </c>
      <c r="AT115" s="1">
        <v>1136.5030723102134</v>
      </c>
      <c r="AU115" s="1">
        <v>1648.2000988605059</v>
      </c>
      <c r="AV115" s="1">
        <v>1350.6981524097091</v>
      </c>
      <c r="AW115" s="1">
        <v>1344.7140269290387</v>
      </c>
      <c r="AX115" s="1">
        <v>913.18579485347857</v>
      </c>
      <c r="AY115" s="1">
        <v>1353.6154295780013</v>
      </c>
      <c r="AZ115" s="1">
        <v>1178.825032658382</v>
      </c>
      <c r="BA115" s="1">
        <v>1203.6250429894926</v>
      </c>
      <c r="BB115" s="1">
        <v>1175.6060765661066</v>
      </c>
      <c r="BC115" s="2">
        <v>8.9181565948742242E-2</v>
      </c>
      <c r="BD115" s="2">
        <v>0.10665277883445198</v>
      </c>
      <c r="BE115" s="2">
        <v>9.438849084854764E-2</v>
      </c>
      <c r="BF115" s="2">
        <v>7.149564986855049E-2</v>
      </c>
      <c r="BG115" s="2">
        <v>0.10368571810536763</v>
      </c>
      <c r="BH115" s="2">
        <v>8.4970330952544637E-2</v>
      </c>
      <c r="BI115" s="2">
        <v>8.4593878877262704E-2</v>
      </c>
      <c r="BJ115" s="2">
        <v>5.7447105462779965E-2</v>
      </c>
      <c r="BK115" s="2">
        <v>8.5153852345557474E-2</v>
      </c>
      <c r="BL115" s="2">
        <v>7.4158058913035174E-2</v>
      </c>
      <c r="BM115" s="2">
        <v>7.5718189192107169E-2</v>
      </c>
      <c r="BN115" s="2">
        <v>7.3955559365675619E-2</v>
      </c>
    </row>
    <row r="116" spans="1:66" x14ac:dyDescent="0.25">
      <c r="A116" s="8">
        <v>1928</v>
      </c>
      <c r="B116" s="8" t="s">
        <v>879</v>
      </c>
      <c r="C116" s="5">
        <v>0</v>
      </c>
      <c r="D116" s="5">
        <f>+$C116*BC116</f>
        <v>0</v>
      </c>
      <c r="E116" s="5">
        <f>+$C116*BD116</f>
        <v>0</v>
      </c>
      <c r="F116" s="5">
        <f>+$C116*BE116</f>
        <v>0</v>
      </c>
      <c r="G116" s="5">
        <f>+$C116*BF116</f>
        <v>0</v>
      </c>
      <c r="H116" s="5">
        <f>+$C116*BG116</f>
        <v>0</v>
      </c>
      <c r="I116" s="5">
        <f>+$C116*BH116</f>
        <v>0</v>
      </c>
      <c r="J116" s="5">
        <f>+$C116*BI116</f>
        <v>0</v>
      </c>
      <c r="K116" s="5">
        <f>+$C116*BJ116</f>
        <v>0</v>
      </c>
      <c r="L116" s="5">
        <f>+$C116*BK116</f>
        <v>0</v>
      </c>
      <c r="M116" s="5">
        <f>+$C116*BL116</f>
        <v>0</v>
      </c>
      <c r="N116" s="5">
        <f>+$C116*BM116</f>
        <v>0</v>
      </c>
      <c r="O116" s="5">
        <f>+$C116*BN116</f>
        <v>0</v>
      </c>
      <c r="P116" s="5">
        <v>1000</v>
      </c>
      <c r="Q116" s="5">
        <f>+$P116*BC116</f>
        <v>89.181565948742247</v>
      </c>
      <c r="R116" s="5">
        <f>+$P116*BD116</f>
        <v>106.65277883445198</v>
      </c>
      <c r="S116" s="5">
        <f>+$P116*BE116</f>
        <v>94.388490848547647</v>
      </c>
      <c r="T116" s="5">
        <f>+$P116*BF116</f>
        <v>71.495649868550487</v>
      </c>
      <c r="U116" s="5">
        <f>+$P116*BG116</f>
        <v>103.68571810536763</v>
      </c>
      <c r="V116" s="5">
        <f>+$P116*BH116</f>
        <v>84.970330952544643</v>
      </c>
      <c r="W116" s="5">
        <f>+$P116*BI116</f>
        <v>84.593878877262711</v>
      </c>
      <c r="X116" s="5">
        <f>+$P116*BJ116</f>
        <v>57.447105462779966</v>
      </c>
      <c r="Y116" s="5">
        <f>+$P116*BK116</f>
        <v>85.153852345557468</v>
      </c>
      <c r="Z116" s="5">
        <f>+$P116*BL116</f>
        <v>74.158058913035177</v>
      </c>
      <c r="AA116" s="5">
        <f>+$P116*BM116</f>
        <v>75.718189192107175</v>
      </c>
      <c r="AB116" s="5">
        <f>+$P116*BN116</f>
        <v>73.955559365675626</v>
      </c>
      <c r="AC116" s="5">
        <v>0</v>
      </c>
      <c r="AD116" s="5">
        <f>+$AC116*BC116</f>
        <v>0</v>
      </c>
      <c r="AE116" s="5">
        <f>+$AC116*BD116</f>
        <v>0</v>
      </c>
      <c r="AF116" s="5">
        <f>+$AC116*BE116</f>
        <v>0</v>
      </c>
      <c r="AG116" s="5">
        <f>+$AC116*BF116</f>
        <v>0</v>
      </c>
      <c r="AH116" s="5">
        <f>+$AC116*BG116</f>
        <v>0</v>
      </c>
      <c r="AI116" s="5">
        <f>+$AC116*BH116</f>
        <v>0</v>
      </c>
      <c r="AJ116" s="5">
        <f>+$AC116*BI116</f>
        <v>0</v>
      </c>
      <c r="AK116" s="5">
        <f>+$AC116*BJ116</f>
        <v>0</v>
      </c>
      <c r="AL116" s="5">
        <f>+$AC116*BK116</f>
        <v>0</v>
      </c>
      <c r="AM116" s="5">
        <f>+$AC116*BL116</f>
        <v>0</v>
      </c>
      <c r="AN116" s="5">
        <f>+$AC116*BM116</f>
        <v>0</v>
      </c>
      <c r="AO116" s="5">
        <f>+$AC116*BN116</f>
        <v>0</v>
      </c>
      <c r="AP116" s="5">
        <f>+AC116+P116+C116</f>
        <v>1000</v>
      </c>
      <c r="AQ116" s="1">
        <v>1337.7234892311337</v>
      </c>
      <c r="AR116" s="1">
        <v>1599.7916825167797</v>
      </c>
      <c r="AS116" s="1">
        <v>1415.8273627282147</v>
      </c>
      <c r="AT116" s="1">
        <v>1072.4347480282574</v>
      </c>
      <c r="AU116" s="1">
        <v>1555.2857715805144</v>
      </c>
      <c r="AV116" s="1">
        <v>1274.5549642881695</v>
      </c>
      <c r="AW116" s="1">
        <v>1268.9081831589406</v>
      </c>
      <c r="AX116" s="1">
        <v>861.70658194169948</v>
      </c>
      <c r="AY116" s="1">
        <v>1277.3077851833621</v>
      </c>
      <c r="AZ116" s="1">
        <v>1112.3708836955277</v>
      </c>
      <c r="BA116" s="1">
        <v>1135.7728378816075</v>
      </c>
      <c r="BB116" s="1">
        <v>1109.3333904851343</v>
      </c>
      <c r="BC116" s="2">
        <v>8.9181565948742242E-2</v>
      </c>
      <c r="BD116" s="2">
        <v>0.10665277883445198</v>
      </c>
      <c r="BE116" s="2">
        <v>9.438849084854764E-2</v>
      </c>
      <c r="BF116" s="2">
        <v>7.149564986855049E-2</v>
      </c>
      <c r="BG116" s="2">
        <v>0.10368571810536763</v>
      </c>
      <c r="BH116" s="2">
        <v>8.4970330952544637E-2</v>
      </c>
      <c r="BI116" s="2">
        <v>8.4593878877262704E-2</v>
      </c>
      <c r="BJ116" s="2">
        <v>5.7447105462779965E-2</v>
      </c>
      <c r="BK116" s="2">
        <v>8.5153852345557474E-2</v>
      </c>
      <c r="BL116" s="2">
        <v>7.4158058913035174E-2</v>
      </c>
      <c r="BM116" s="2">
        <v>7.5718189192107169E-2</v>
      </c>
      <c r="BN116" s="2">
        <v>7.3955559365675619E-2</v>
      </c>
    </row>
    <row r="117" spans="1:66" x14ac:dyDescent="0.25">
      <c r="A117" s="8">
        <v>3753</v>
      </c>
      <c r="B117" s="8" t="s">
        <v>878</v>
      </c>
      <c r="C117" s="5">
        <v>15000</v>
      </c>
      <c r="D117" s="5">
        <f>+$C117*BC117</f>
        <v>1337.7234892311337</v>
      </c>
      <c r="E117" s="5">
        <f>+$C117*BD117</f>
        <v>1599.7916825167797</v>
      </c>
      <c r="F117" s="5">
        <f>+$C117*BE117</f>
        <v>1415.8273627282147</v>
      </c>
      <c r="G117" s="5">
        <f>+$C117*BF117</f>
        <v>1072.4347480282574</v>
      </c>
      <c r="H117" s="5">
        <f>+$C117*BG117</f>
        <v>1555.2857715805144</v>
      </c>
      <c r="I117" s="5">
        <f>+$C117*BH117</f>
        <v>1274.5549642881695</v>
      </c>
      <c r="J117" s="5">
        <f>+$C117*BI117</f>
        <v>1268.9081831589406</v>
      </c>
      <c r="K117" s="5">
        <f>+$C117*BJ117</f>
        <v>861.70658194169948</v>
      </c>
      <c r="L117" s="5">
        <f>+$C117*BK117</f>
        <v>1277.3077851833621</v>
      </c>
      <c r="M117" s="5">
        <f>+$C117*BL117</f>
        <v>1112.3708836955277</v>
      </c>
      <c r="N117" s="5">
        <f>+$C117*BM117</f>
        <v>1135.7728378816075</v>
      </c>
      <c r="O117" s="5">
        <f>+$C117*BN117</f>
        <v>1109.3333904851343</v>
      </c>
      <c r="P117" s="5">
        <v>0</v>
      </c>
      <c r="Q117" s="5">
        <f>+$P117*BC117</f>
        <v>0</v>
      </c>
      <c r="R117" s="5">
        <f>+$P117*BD117</f>
        <v>0</v>
      </c>
      <c r="S117" s="5">
        <f>+$P117*BE117</f>
        <v>0</v>
      </c>
      <c r="T117" s="5">
        <f>+$P117*BF117</f>
        <v>0</v>
      </c>
      <c r="U117" s="5">
        <f>+$P117*BG117</f>
        <v>0</v>
      </c>
      <c r="V117" s="5">
        <f>+$P117*BH117</f>
        <v>0</v>
      </c>
      <c r="W117" s="5">
        <f>+$P117*BI117</f>
        <v>0</v>
      </c>
      <c r="X117" s="5">
        <f>+$P117*BJ117</f>
        <v>0</v>
      </c>
      <c r="Y117" s="5">
        <f>+$P117*BK117</f>
        <v>0</v>
      </c>
      <c r="Z117" s="5">
        <f>+$P117*BL117</f>
        <v>0</v>
      </c>
      <c r="AA117" s="5">
        <f>+$P117*BM117</f>
        <v>0</v>
      </c>
      <c r="AB117" s="5">
        <f>+$P117*BN117</f>
        <v>0</v>
      </c>
      <c r="AC117" s="5">
        <v>0</v>
      </c>
      <c r="AD117" s="5">
        <f>+$AC117*BC117</f>
        <v>0</v>
      </c>
      <c r="AE117" s="5">
        <f>+$AC117*BD117</f>
        <v>0</v>
      </c>
      <c r="AF117" s="5">
        <f>+$AC117*BE117</f>
        <v>0</v>
      </c>
      <c r="AG117" s="5">
        <f>+$AC117*BF117</f>
        <v>0</v>
      </c>
      <c r="AH117" s="5">
        <f>+$AC117*BG117</f>
        <v>0</v>
      </c>
      <c r="AI117" s="5">
        <f>+$AC117*BH117</f>
        <v>0</v>
      </c>
      <c r="AJ117" s="5">
        <f>+$AC117*BI117</f>
        <v>0</v>
      </c>
      <c r="AK117" s="5">
        <f>+$AC117*BJ117</f>
        <v>0</v>
      </c>
      <c r="AL117" s="5">
        <f>+$AC117*BK117</f>
        <v>0</v>
      </c>
      <c r="AM117" s="5">
        <f>+$AC117*BL117</f>
        <v>0</v>
      </c>
      <c r="AN117" s="5">
        <f>+$AC117*BM117</f>
        <v>0</v>
      </c>
      <c r="AO117" s="5">
        <f>+$AC117*BN117</f>
        <v>0</v>
      </c>
      <c r="AP117" s="5">
        <f>+AC117+P117+C117</f>
        <v>15000</v>
      </c>
      <c r="AQ117" s="1">
        <v>2229.5391487185561</v>
      </c>
      <c r="AR117" s="1">
        <v>2666.3194708612996</v>
      </c>
      <c r="AS117" s="1">
        <v>2359.7122712136911</v>
      </c>
      <c r="AT117" s="1">
        <v>1787.3912467137623</v>
      </c>
      <c r="AU117" s="1">
        <v>2592.1429526341908</v>
      </c>
      <c r="AV117" s="1">
        <v>2124.2582738136161</v>
      </c>
      <c r="AW117" s="1">
        <v>2114.8469719315676</v>
      </c>
      <c r="AX117" s="1">
        <v>1436.1776365694991</v>
      </c>
      <c r="AY117" s="1">
        <v>2128.846308638937</v>
      </c>
      <c r="AZ117" s="1">
        <v>1853.9514728258794</v>
      </c>
      <c r="BA117" s="1">
        <v>1892.9547298026791</v>
      </c>
      <c r="BB117" s="1">
        <v>1848.8889841418904</v>
      </c>
      <c r="BC117" s="2">
        <v>8.9181565948742242E-2</v>
      </c>
      <c r="BD117" s="2">
        <v>0.10665277883445198</v>
      </c>
      <c r="BE117" s="2">
        <v>9.438849084854764E-2</v>
      </c>
      <c r="BF117" s="2">
        <v>7.149564986855049E-2</v>
      </c>
      <c r="BG117" s="2">
        <v>0.10368571810536763</v>
      </c>
      <c r="BH117" s="2">
        <v>8.4970330952544637E-2</v>
      </c>
      <c r="BI117" s="2">
        <v>8.4593878877262704E-2</v>
      </c>
      <c r="BJ117" s="2">
        <v>5.7447105462779965E-2</v>
      </c>
      <c r="BK117" s="2">
        <v>8.5153852345557474E-2</v>
      </c>
      <c r="BL117" s="2">
        <v>7.4158058913035174E-2</v>
      </c>
      <c r="BM117" s="2">
        <v>7.5718189192107169E-2</v>
      </c>
      <c r="BN117" s="2">
        <v>7.3955559365675619E-2</v>
      </c>
    </row>
    <row r="118" spans="1:66" x14ac:dyDescent="0.25">
      <c r="A118" s="8">
        <v>4386</v>
      </c>
      <c r="B118" s="8" t="s">
        <v>877</v>
      </c>
      <c r="C118" s="5">
        <v>0</v>
      </c>
      <c r="D118" s="5">
        <f>+$C118*BC118</f>
        <v>0</v>
      </c>
      <c r="E118" s="5">
        <f>+$C118*BD118</f>
        <v>0</v>
      </c>
      <c r="F118" s="5">
        <f>+$C118*BE118</f>
        <v>0</v>
      </c>
      <c r="G118" s="5">
        <f>+$C118*BF118</f>
        <v>0</v>
      </c>
      <c r="H118" s="5">
        <f>+$C118*BG118</f>
        <v>0</v>
      </c>
      <c r="I118" s="5">
        <f>+$C118*BH118</f>
        <v>0</v>
      </c>
      <c r="J118" s="5">
        <f>+$C118*BI118</f>
        <v>0</v>
      </c>
      <c r="K118" s="5">
        <f>+$C118*BJ118</f>
        <v>0</v>
      </c>
      <c r="L118" s="5">
        <f>+$C118*BK118</f>
        <v>0</v>
      </c>
      <c r="M118" s="5">
        <f>+$C118*BL118</f>
        <v>0</v>
      </c>
      <c r="N118" s="5">
        <f>+$C118*BM118</f>
        <v>0</v>
      </c>
      <c r="O118" s="5">
        <f>+$C118*BN118</f>
        <v>0</v>
      </c>
      <c r="P118" s="5">
        <v>2000</v>
      </c>
      <c r="Q118" s="5">
        <f>+$P118*BC118</f>
        <v>178.36313189748449</v>
      </c>
      <c r="R118" s="5">
        <f>+$P118*BD118</f>
        <v>213.30555766890396</v>
      </c>
      <c r="S118" s="5">
        <f>+$P118*BE118</f>
        <v>188.77698169709529</v>
      </c>
      <c r="T118" s="5">
        <f>+$P118*BF118</f>
        <v>142.99129973710097</v>
      </c>
      <c r="U118" s="5">
        <f>+$P118*BG118</f>
        <v>207.37143621073525</v>
      </c>
      <c r="V118" s="5">
        <f>+$P118*BH118</f>
        <v>169.94066190508929</v>
      </c>
      <c r="W118" s="5">
        <f>+$P118*BI118</f>
        <v>169.18775775452542</v>
      </c>
      <c r="X118" s="5">
        <f>+$P118*BJ118</f>
        <v>114.89421092555993</v>
      </c>
      <c r="Y118" s="5">
        <f>+$P118*BK118</f>
        <v>170.30770469111494</v>
      </c>
      <c r="Z118" s="5">
        <f>+$P118*BL118</f>
        <v>148.31611782607035</v>
      </c>
      <c r="AA118" s="5">
        <f>+$P118*BM118</f>
        <v>151.43637838421435</v>
      </c>
      <c r="AB118" s="5">
        <f>+$P118*BN118</f>
        <v>147.91111873135125</v>
      </c>
      <c r="AC118" s="5">
        <v>0</v>
      </c>
      <c r="AD118" s="5">
        <f>+$AC118*BC118</f>
        <v>0</v>
      </c>
      <c r="AE118" s="5">
        <f>+$AC118*BD118</f>
        <v>0</v>
      </c>
      <c r="AF118" s="5">
        <f>+$AC118*BE118</f>
        <v>0</v>
      </c>
      <c r="AG118" s="5">
        <f>+$AC118*BF118</f>
        <v>0</v>
      </c>
      <c r="AH118" s="5">
        <f>+$AC118*BG118</f>
        <v>0</v>
      </c>
      <c r="AI118" s="5">
        <f>+$AC118*BH118</f>
        <v>0</v>
      </c>
      <c r="AJ118" s="5">
        <f>+$AC118*BI118</f>
        <v>0</v>
      </c>
      <c r="AK118" s="5">
        <f>+$AC118*BJ118</f>
        <v>0</v>
      </c>
      <c r="AL118" s="5">
        <f>+$AC118*BK118</f>
        <v>0</v>
      </c>
      <c r="AM118" s="5">
        <f>+$AC118*BL118</f>
        <v>0</v>
      </c>
      <c r="AN118" s="5">
        <f>+$AC118*BM118</f>
        <v>0</v>
      </c>
      <c r="AO118" s="5">
        <f>+$AC118*BN118</f>
        <v>0</v>
      </c>
      <c r="AP118" s="5">
        <f>+AC118+P118+C118</f>
        <v>2000</v>
      </c>
      <c r="AQ118" s="1">
        <v>1339.0919803606171</v>
      </c>
      <c r="AR118" s="1">
        <v>1601.4282694079943</v>
      </c>
      <c r="AS118" s="1">
        <v>1417.2757541202855</v>
      </c>
      <c r="AT118" s="1">
        <v>1073.5318487754903</v>
      </c>
      <c r="AU118" s="1">
        <v>1556.8768289248412</v>
      </c>
      <c r="AV118" s="1">
        <v>1275.8588340166364</v>
      </c>
      <c r="AW118" s="1">
        <v>1270.2062762303121</v>
      </c>
      <c r="AX118" s="1">
        <v>862.58810777502583</v>
      </c>
      <c r="AY118" s="1">
        <v>1278.6144710476046</v>
      </c>
      <c r="AZ118" s="1">
        <v>1113.508839109548</v>
      </c>
      <c r="BA118" s="1">
        <v>1136.9347334947604</v>
      </c>
      <c r="BB118" s="1">
        <v>1110.4682385436006</v>
      </c>
      <c r="BC118" s="2">
        <v>8.9181565948742242E-2</v>
      </c>
      <c r="BD118" s="2">
        <v>0.10665277883445198</v>
      </c>
      <c r="BE118" s="2">
        <v>9.438849084854764E-2</v>
      </c>
      <c r="BF118" s="2">
        <v>7.149564986855049E-2</v>
      </c>
      <c r="BG118" s="2">
        <v>0.10368571810536763</v>
      </c>
      <c r="BH118" s="2">
        <v>8.4970330952544637E-2</v>
      </c>
      <c r="BI118" s="2">
        <v>8.4593878877262704E-2</v>
      </c>
      <c r="BJ118" s="2">
        <v>5.7447105462779965E-2</v>
      </c>
      <c r="BK118" s="2">
        <v>8.5153852345557474E-2</v>
      </c>
      <c r="BL118" s="2">
        <v>7.4158058913035174E-2</v>
      </c>
      <c r="BM118" s="2">
        <v>7.5718189192107169E-2</v>
      </c>
      <c r="BN118" s="2">
        <v>7.3955559365675619E-2</v>
      </c>
    </row>
    <row r="119" spans="1:66" x14ac:dyDescent="0.25">
      <c r="A119" s="8">
        <v>17086</v>
      </c>
      <c r="B119" s="8" t="s">
        <v>876</v>
      </c>
      <c r="C119" s="5">
        <v>0</v>
      </c>
      <c r="D119" s="5">
        <f>+$C119*BC119</f>
        <v>0</v>
      </c>
      <c r="E119" s="5">
        <f>+$C119*BD119</f>
        <v>0</v>
      </c>
      <c r="F119" s="5">
        <f>+$C119*BE119</f>
        <v>0</v>
      </c>
      <c r="G119" s="5">
        <f>+$C119*BF119</f>
        <v>0</v>
      </c>
      <c r="H119" s="5">
        <f>+$C119*BG119</f>
        <v>0</v>
      </c>
      <c r="I119" s="5">
        <f>+$C119*BH119</f>
        <v>0</v>
      </c>
      <c r="J119" s="5">
        <f>+$C119*BI119</f>
        <v>0</v>
      </c>
      <c r="K119" s="5">
        <f>+$C119*BJ119</f>
        <v>0</v>
      </c>
      <c r="L119" s="5">
        <f>+$C119*BK119</f>
        <v>0</v>
      </c>
      <c r="M119" s="5">
        <f>+$C119*BL119</f>
        <v>0</v>
      </c>
      <c r="N119" s="5">
        <f>+$C119*BM119</f>
        <v>0</v>
      </c>
      <c r="O119" s="5">
        <f>+$C119*BN119</f>
        <v>0</v>
      </c>
      <c r="P119" s="5">
        <v>50000</v>
      </c>
      <c r="Q119" s="5">
        <f>+$P119*BC119</f>
        <v>4459.0782974371123</v>
      </c>
      <c r="R119" s="5">
        <f>+$P119*BD119</f>
        <v>5332.6389417225992</v>
      </c>
      <c r="S119" s="5">
        <f>+$P119*BE119</f>
        <v>4719.4245424273822</v>
      </c>
      <c r="T119" s="5">
        <f>+$P119*BF119</f>
        <v>3574.7824934275245</v>
      </c>
      <c r="U119" s="5">
        <f>+$P119*BG119</f>
        <v>5184.2859052683816</v>
      </c>
      <c r="V119" s="5">
        <f>+$P119*BH119</f>
        <v>4248.5165476272323</v>
      </c>
      <c r="W119" s="5">
        <f>+$P119*BI119</f>
        <v>4229.6939438631352</v>
      </c>
      <c r="X119" s="5">
        <f>+$P119*BJ119</f>
        <v>2872.3552731389982</v>
      </c>
      <c r="Y119" s="5">
        <f>+$P119*BK119</f>
        <v>4257.692617277874</v>
      </c>
      <c r="Z119" s="5">
        <f>+$P119*BL119</f>
        <v>3707.9029456517587</v>
      </c>
      <c r="AA119" s="5">
        <f>+$P119*BM119</f>
        <v>3785.9094596053583</v>
      </c>
      <c r="AB119" s="5">
        <f>+$P119*BN119</f>
        <v>3697.7779682837809</v>
      </c>
      <c r="AC119" s="5">
        <v>0</v>
      </c>
      <c r="AD119" s="5">
        <f>+$AC119*BC119</f>
        <v>0</v>
      </c>
      <c r="AE119" s="5">
        <f>+$AC119*BD119</f>
        <v>0</v>
      </c>
      <c r="AF119" s="5">
        <f>+$AC119*BE119</f>
        <v>0</v>
      </c>
      <c r="AG119" s="5">
        <f>+$AC119*BF119</f>
        <v>0</v>
      </c>
      <c r="AH119" s="5">
        <f>+$AC119*BG119</f>
        <v>0</v>
      </c>
      <c r="AI119" s="5">
        <f>+$AC119*BH119</f>
        <v>0</v>
      </c>
      <c r="AJ119" s="5">
        <f>+$AC119*BI119</f>
        <v>0</v>
      </c>
      <c r="AK119" s="5">
        <f>+$AC119*BJ119</f>
        <v>0</v>
      </c>
      <c r="AL119" s="5">
        <f>+$AC119*BK119</f>
        <v>0</v>
      </c>
      <c r="AM119" s="5">
        <f>+$AC119*BL119</f>
        <v>0</v>
      </c>
      <c r="AN119" s="5">
        <f>+$AC119*BM119</f>
        <v>0</v>
      </c>
      <c r="AO119" s="5">
        <f>+$AC119*BN119</f>
        <v>0</v>
      </c>
      <c r="AP119" s="5">
        <f>+AC119+P119+C119</f>
        <v>50000</v>
      </c>
      <c r="AQ119" s="1">
        <v>1783.6313189748448</v>
      </c>
      <c r="AR119" s="1">
        <v>2133.0555766890398</v>
      </c>
      <c r="AS119" s="1">
        <v>1887.7698169709529</v>
      </c>
      <c r="AT119" s="1">
        <v>1429.9129973710099</v>
      </c>
      <c r="AU119" s="1">
        <v>2073.7143621073524</v>
      </c>
      <c r="AV119" s="1">
        <v>1699.4066190508927</v>
      </c>
      <c r="AW119" s="1">
        <v>1691.8775775452541</v>
      </c>
      <c r="AX119" s="1">
        <v>1148.9421092555992</v>
      </c>
      <c r="AY119" s="1">
        <v>1703.0770469111494</v>
      </c>
      <c r="AZ119" s="1">
        <v>1483.1611782607035</v>
      </c>
      <c r="BA119" s="1">
        <v>1514.3637838421434</v>
      </c>
      <c r="BB119" s="1">
        <v>1479.1111873135123</v>
      </c>
      <c r="BC119" s="2">
        <v>8.9181565948742242E-2</v>
      </c>
      <c r="BD119" s="2">
        <v>0.10665277883445198</v>
      </c>
      <c r="BE119" s="2">
        <v>9.438849084854764E-2</v>
      </c>
      <c r="BF119" s="2">
        <v>7.149564986855049E-2</v>
      </c>
      <c r="BG119" s="2">
        <v>0.10368571810536763</v>
      </c>
      <c r="BH119" s="2">
        <v>8.4970330952544637E-2</v>
      </c>
      <c r="BI119" s="2">
        <v>8.4593878877262704E-2</v>
      </c>
      <c r="BJ119" s="2">
        <v>5.7447105462779965E-2</v>
      </c>
      <c r="BK119" s="2">
        <v>8.5153852345557474E-2</v>
      </c>
      <c r="BL119" s="2">
        <v>7.4158058913035174E-2</v>
      </c>
      <c r="BM119" s="2">
        <v>7.5718189192107169E-2</v>
      </c>
      <c r="BN119" s="2">
        <v>7.3955559365675619E-2</v>
      </c>
    </row>
    <row r="120" spans="1:66" x14ac:dyDescent="0.25">
      <c r="A120" s="8">
        <v>2539</v>
      </c>
      <c r="B120" s="8" t="s">
        <v>875</v>
      </c>
      <c r="C120" s="5">
        <v>0</v>
      </c>
      <c r="D120" s="5">
        <f>+$C120*BC120</f>
        <v>0</v>
      </c>
      <c r="E120" s="5">
        <f>+$C120*BD120</f>
        <v>0</v>
      </c>
      <c r="F120" s="5">
        <f>+$C120*BE120</f>
        <v>0</v>
      </c>
      <c r="G120" s="5">
        <f>+$C120*BF120</f>
        <v>0</v>
      </c>
      <c r="H120" s="5">
        <f>+$C120*BG120</f>
        <v>0</v>
      </c>
      <c r="I120" s="5">
        <f>+$C120*BH120</f>
        <v>0</v>
      </c>
      <c r="J120" s="5">
        <f>+$C120*BI120</f>
        <v>0</v>
      </c>
      <c r="K120" s="5">
        <f>+$C120*BJ120</f>
        <v>0</v>
      </c>
      <c r="L120" s="5">
        <f>+$C120*BK120</f>
        <v>0</v>
      </c>
      <c r="M120" s="5">
        <f>+$C120*BL120</f>
        <v>0</v>
      </c>
      <c r="N120" s="5">
        <f>+$C120*BM120</f>
        <v>0</v>
      </c>
      <c r="O120" s="5">
        <f>+$C120*BN120</f>
        <v>0</v>
      </c>
      <c r="P120" s="5">
        <v>6000</v>
      </c>
      <c r="Q120" s="5">
        <f>+$P120*BC120</f>
        <v>535.08939569245342</v>
      </c>
      <c r="R120" s="5">
        <f>+$P120*BD120</f>
        <v>639.9166730067119</v>
      </c>
      <c r="S120" s="5">
        <f>+$P120*BE120</f>
        <v>566.3309450912858</v>
      </c>
      <c r="T120" s="5">
        <f>+$P120*BF120</f>
        <v>428.97389921130292</v>
      </c>
      <c r="U120" s="5">
        <f>+$P120*BG120</f>
        <v>622.11430863220573</v>
      </c>
      <c r="V120" s="5">
        <f>+$P120*BH120</f>
        <v>509.82198571526783</v>
      </c>
      <c r="W120" s="5">
        <f>+$P120*BI120</f>
        <v>507.56327326357621</v>
      </c>
      <c r="X120" s="5">
        <f>+$P120*BJ120</f>
        <v>344.68263277667978</v>
      </c>
      <c r="Y120" s="5">
        <f>+$P120*BK120</f>
        <v>510.92311407334483</v>
      </c>
      <c r="Z120" s="5">
        <f>+$P120*BL120</f>
        <v>444.94835347821106</v>
      </c>
      <c r="AA120" s="5">
        <f>+$P120*BM120</f>
        <v>454.30913515264302</v>
      </c>
      <c r="AB120" s="5">
        <f>+$P120*BN120</f>
        <v>443.73335619405373</v>
      </c>
      <c r="AC120" s="5">
        <v>0</v>
      </c>
      <c r="AD120" s="5">
        <f>+$AC120*BC120</f>
        <v>0</v>
      </c>
      <c r="AE120" s="5">
        <f>+$AC120*BD120</f>
        <v>0</v>
      </c>
      <c r="AF120" s="5">
        <f>+$AC120*BE120</f>
        <v>0</v>
      </c>
      <c r="AG120" s="5">
        <f>+$AC120*BF120</f>
        <v>0</v>
      </c>
      <c r="AH120" s="5">
        <f>+$AC120*BG120</f>
        <v>0</v>
      </c>
      <c r="AI120" s="5">
        <f>+$AC120*BH120</f>
        <v>0</v>
      </c>
      <c r="AJ120" s="5">
        <f>+$AC120*BI120</f>
        <v>0</v>
      </c>
      <c r="AK120" s="5">
        <f>+$AC120*BJ120</f>
        <v>0</v>
      </c>
      <c r="AL120" s="5">
        <f>+$AC120*BK120</f>
        <v>0</v>
      </c>
      <c r="AM120" s="5">
        <f>+$AC120*BL120</f>
        <v>0</v>
      </c>
      <c r="AN120" s="5">
        <f>+$AC120*BM120</f>
        <v>0</v>
      </c>
      <c r="AO120" s="5">
        <f>+$AC120*BN120</f>
        <v>0</v>
      </c>
      <c r="AP120" s="5">
        <f>+AC120+P120+C120</f>
        <v>6000</v>
      </c>
      <c r="AQ120" s="1">
        <v>4459.0782974371123</v>
      </c>
      <c r="AR120" s="1">
        <v>5332.6389417225992</v>
      </c>
      <c r="AS120" s="1">
        <v>4719.4245424273822</v>
      </c>
      <c r="AT120" s="1">
        <v>3574.7824934275245</v>
      </c>
      <c r="AU120" s="1">
        <v>5184.2859052683816</v>
      </c>
      <c r="AV120" s="1">
        <v>4248.5165476272323</v>
      </c>
      <c r="AW120" s="1">
        <v>4229.6939438631352</v>
      </c>
      <c r="AX120" s="1">
        <v>2872.3552731389982</v>
      </c>
      <c r="AY120" s="1">
        <v>4257.692617277874</v>
      </c>
      <c r="AZ120" s="1">
        <v>3707.9029456517587</v>
      </c>
      <c r="BA120" s="1">
        <v>3785.9094596053583</v>
      </c>
      <c r="BB120" s="1">
        <v>3697.7779682837809</v>
      </c>
      <c r="BC120" s="2">
        <v>8.9181565948742242E-2</v>
      </c>
      <c r="BD120" s="2">
        <v>0.10665277883445198</v>
      </c>
      <c r="BE120" s="2">
        <v>9.438849084854764E-2</v>
      </c>
      <c r="BF120" s="2">
        <v>7.149564986855049E-2</v>
      </c>
      <c r="BG120" s="2">
        <v>0.10368571810536763</v>
      </c>
      <c r="BH120" s="2">
        <v>8.4970330952544637E-2</v>
      </c>
      <c r="BI120" s="2">
        <v>8.4593878877262704E-2</v>
      </c>
      <c r="BJ120" s="2">
        <v>5.7447105462779965E-2</v>
      </c>
      <c r="BK120" s="2">
        <v>8.5153852345557474E-2</v>
      </c>
      <c r="BL120" s="2">
        <v>7.4158058913035174E-2</v>
      </c>
      <c r="BM120" s="2">
        <v>7.5718189192107169E-2</v>
      </c>
      <c r="BN120" s="2">
        <v>7.3955559365675619E-2</v>
      </c>
    </row>
    <row r="121" spans="1:66" x14ac:dyDescent="0.25">
      <c r="A121" s="8">
        <v>1064</v>
      </c>
      <c r="B121" s="8" t="s">
        <v>874</v>
      </c>
      <c r="C121" s="5">
        <v>25000</v>
      </c>
      <c r="D121" s="5">
        <f>+$C121*BC121</f>
        <v>2229.5391487185561</v>
      </c>
      <c r="E121" s="5">
        <f>+$C121*BD121</f>
        <v>2666.3194708612996</v>
      </c>
      <c r="F121" s="5">
        <f>+$C121*BE121</f>
        <v>2359.7122712136911</v>
      </c>
      <c r="G121" s="5">
        <f>+$C121*BF121</f>
        <v>1787.3912467137623</v>
      </c>
      <c r="H121" s="5">
        <f>+$C121*BG121</f>
        <v>2592.1429526341908</v>
      </c>
      <c r="I121" s="5">
        <f>+$C121*BH121</f>
        <v>2124.2582738136161</v>
      </c>
      <c r="J121" s="5">
        <f>+$C121*BI121</f>
        <v>2114.8469719315676</v>
      </c>
      <c r="K121" s="5">
        <f>+$C121*BJ121</f>
        <v>1436.1776365694991</v>
      </c>
      <c r="L121" s="5">
        <f>+$C121*BK121</f>
        <v>2128.846308638937</v>
      </c>
      <c r="M121" s="5">
        <f>+$C121*BL121</f>
        <v>1853.9514728258794</v>
      </c>
      <c r="N121" s="5">
        <f>+$C121*BM121</f>
        <v>1892.9547298026791</v>
      </c>
      <c r="O121" s="5">
        <f>+$C121*BN121</f>
        <v>1848.8889841418904</v>
      </c>
      <c r="P121" s="5">
        <v>3000</v>
      </c>
      <c r="Q121" s="5">
        <f>+$P121*BC121</f>
        <v>267.54469784622671</v>
      </c>
      <c r="R121" s="5">
        <f>+$P121*BD121</f>
        <v>319.95833650335595</v>
      </c>
      <c r="S121" s="5">
        <f>+$P121*BE121</f>
        <v>283.1654725456429</v>
      </c>
      <c r="T121" s="5">
        <f>+$P121*BF121</f>
        <v>214.48694960565146</v>
      </c>
      <c r="U121" s="5">
        <f>+$P121*BG121</f>
        <v>311.05715431610287</v>
      </c>
      <c r="V121" s="5">
        <f>+$P121*BH121</f>
        <v>254.91099285763391</v>
      </c>
      <c r="W121" s="5">
        <f>+$P121*BI121</f>
        <v>253.7816366317881</v>
      </c>
      <c r="X121" s="5">
        <f>+$P121*BJ121</f>
        <v>172.34131638833989</v>
      </c>
      <c r="Y121" s="5">
        <f>+$P121*BK121</f>
        <v>255.46155703667242</v>
      </c>
      <c r="Z121" s="5">
        <f>+$P121*BL121</f>
        <v>222.47417673910553</v>
      </c>
      <c r="AA121" s="5">
        <f>+$P121*BM121</f>
        <v>227.15456757632151</v>
      </c>
      <c r="AB121" s="5">
        <f>+$P121*BN121</f>
        <v>221.86667809702686</v>
      </c>
      <c r="AC121" s="5">
        <v>0</v>
      </c>
      <c r="AD121" s="5">
        <f>+$AC121*BC121</f>
        <v>0</v>
      </c>
      <c r="AE121" s="5">
        <f>+$AC121*BD121</f>
        <v>0</v>
      </c>
      <c r="AF121" s="5">
        <f>+$AC121*BE121</f>
        <v>0</v>
      </c>
      <c r="AG121" s="5">
        <f>+$AC121*BF121</f>
        <v>0</v>
      </c>
      <c r="AH121" s="5">
        <f>+$AC121*BG121</f>
        <v>0</v>
      </c>
      <c r="AI121" s="5">
        <f>+$AC121*BH121</f>
        <v>0</v>
      </c>
      <c r="AJ121" s="5">
        <f>+$AC121*BI121</f>
        <v>0</v>
      </c>
      <c r="AK121" s="5">
        <f>+$AC121*BJ121</f>
        <v>0</v>
      </c>
      <c r="AL121" s="5">
        <f>+$AC121*BK121</f>
        <v>0</v>
      </c>
      <c r="AM121" s="5">
        <f>+$AC121*BL121</f>
        <v>0</v>
      </c>
      <c r="AN121" s="5">
        <f>+$AC121*BM121</f>
        <v>0</v>
      </c>
      <c r="AO121" s="5">
        <f>+$AC121*BN121</f>
        <v>0</v>
      </c>
      <c r="AP121" s="5">
        <f>+AC121+P121+C121</f>
        <v>28000</v>
      </c>
      <c r="AQ121" s="1">
        <v>1296.111994830412</v>
      </c>
      <c r="AR121" s="1">
        <v>1550.0282424820762</v>
      </c>
      <c r="AS121" s="1">
        <v>1371.7863536177181</v>
      </c>
      <c r="AT121" s="1">
        <v>1039.0753782691406</v>
      </c>
      <c r="AU121" s="1">
        <v>1506.9067413125765</v>
      </c>
      <c r="AV121" s="1">
        <v>1234.9084026580288</v>
      </c>
      <c r="AW121" s="1">
        <v>1229.4372714319618</v>
      </c>
      <c r="AX121" s="1">
        <v>834.90216466250456</v>
      </c>
      <c r="AY121" s="1">
        <v>1237.5755937558913</v>
      </c>
      <c r="AZ121" s="1">
        <v>1077.7692525131176</v>
      </c>
      <c r="BA121" s="1">
        <v>1100.4432608318946</v>
      </c>
      <c r="BB121" s="1">
        <v>1074.8262441740255</v>
      </c>
      <c r="BC121" s="2">
        <v>8.9181565948742242E-2</v>
      </c>
      <c r="BD121" s="2">
        <v>0.10665277883445198</v>
      </c>
      <c r="BE121" s="2">
        <v>9.438849084854764E-2</v>
      </c>
      <c r="BF121" s="2">
        <v>7.149564986855049E-2</v>
      </c>
      <c r="BG121" s="2">
        <v>0.10368571810536763</v>
      </c>
      <c r="BH121" s="2">
        <v>8.4970330952544637E-2</v>
      </c>
      <c r="BI121" s="2">
        <v>8.4593878877262704E-2</v>
      </c>
      <c r="BJ121" s="2">
        <v>5.7447105462779965E-2</v>
      </c>
      <c r="BK121" s="2">
        <v>8.5153852345557474E-2</v>
      </c>
      <c r="BL121" s="2">
        <v>7.4158058913035174E-2</v>
      </c>
      <c r="BM121" s="2">
        <v>7.5718189192107169E-2</v>
      </c>
      <c r="BN121" s="2">
        <v>7.3955559365675619E-2</v>
      </c>
    </row>
    <row r="122" spans="1:66" x14ac:dyDescent="0.25">
      <c r="A122" s="8">
        <v>31002</v>
      </c>
      <c r="B122" s="8" t="s">
        <v>873</v>
      </c>
      <c r="C122" s="5">
        <v>0</v>
      </c>
      <c r="D122" s="5">
        <f>+$C122*BC122</f>
        <v>0</v>
      </c>
      <c r="E122" s="5">
        <f>+$C122*BD122</f>
        <v>0</v>
      </c>
      <c r="F122" s="5">
        <f>+$C122*BE122</f>
        <v>0</v>
      </c>
      <c r="G122" s="5">
        <f>+$C122*BF122</f>
        <v>0</v>
      </c>
      <c r="H122" s="5">
        <f>+$C122*BG122</f>
        <v>0</v>
      </c>
      <c r="I122" s="5">
        <f>+$C122*BH122</f>
        <v>0</v>
      </c>
      <c r="J122" s="5">
        <f>+$C122*BI122</f>
        <v>0</v>
      </c>
      <c r="K122" s="5">
        <f>+$C122*BJ122</f>
        <v>0</v>
      </c>
      <c r="L122" s="5">
        <f>+$C122*BK122</f>
        <v>0</v>
      </c>
      <c r="M122" s="5">
        <f>+$C122*BL122</f>
        <v>0</v>
      </c>
      <c r="N122" s="5">
        <f>+$C122*BM122</f>
        <v>0</v>
      </c>
      <c r="O122" s="5">
        <f>+$C122*BN122</f>
        <v>0</v>
      </c>
      <c r="P122" s="5">
        <v>40000</v>
      </c>
      <c r="Q122" s="5">
        <f>+$P122*BC122</f>
        <v>3567.2626379496896</v>
      </c>
      <c r="R122" s="5">
        <f>+$P122*BD122</f>
        <v>4266.1111533780795</v>
      </c>
      <c r="S122" s="5">
        <f>+$P122*BE122</f>
        <v>3775.5396339419058</v>
      </c>
      <c r="T122" s="5">
        <f>+$P122*BF122</f>
        <v>2859.8259947420197</v>
      </c>
      <c r="U122" s="5">
        <f>+$P122*BG122</f>
        <v>4147.4287242147047</v>
      </c>
      <c r="V122" s="5">
        <f>+$P122*BH122</f>
        <v>3398.8132381017854</v>
      </c>
      <c r="W122" s="5">
        <f>+$P122*BI122</f>
        <v>3383.7551550905082</v>
      </c>
      <c r="X122" s="5">
        <f>+$P122*BJ122</f>
        <v>2297.8842185111985</v>
      </c>
      <c r="Y122" s="5">
        <f>+$P122*BK122</f>
        <v>3406.1540938222988</v>
      </c>
      <c r="Z122" s="5">
        <f>+$P122*BL122</f>
        <v>2966.3223565214071</v>
      </c>
      <c r="AA122" s="5">
        <f>+$P122*BM122</f>
        <v>3028.7275676842869</v>
      </c>
      <c r="AB122" s="5">
        <f>+$P122*BN122</f>
        <v>2958.2223746270247</v>
      </c>
      <c r="AC122" s="5">
        <v>0</v>
      </c>
      <c r="AD122" s="5">
        <f>+$AC122*BC122</f>
        <v>0</v>
      </c>
      <c r="AE122" s="5">
        <f>+$AC122*BD122</f>
        <v>0</v>
      </c>
      <c r="AF122" s="5">
        <f>+$AC122*BE122</f>
        <v>0</v>
      </c>
      <c r="AG122" s="5">
        <f>+$AC122*BF122</f>
        <v>0</v>
      </c>
      <c r="AH122" s="5">
        <f>+$AC122*BG122</f>
        <v>0</v>
      </c>
      <c r="AI122" s="5">
        <f>+$AC122*BH122</f>
        <v>0</v>
      </c>
      <c r="AJ122" s="5">
        <f>+$AC122*BI122</f>
        <v>0</v>
      </c>
      <c r="AK122" s="5">
        <f>+$AC122*BJ122</f>
        <v>0</v>
      </c>
      <c r="AL122" s="5">
        <f>+$AC122*BK122</f>
        <v>0</v>
      </c>
      <c r="AM122" s="5">
        <f>+$AC122*BL122</f>
        <v>0</v>
      </c>
      <c r="AN122" s="5">
        <f>+$AC122*BM122</f>
        <v>0</v>
      </c>
      <c r="AO122" s="5">
        <f>+$AC122*BN122</f>
        <v>0</v>
      </c>
      <c r="AP122" s="5">
        <f>+AC122+P122+C122</f>
        <v>40000</v>
      </c>
      <c r="AQ122" s="1">
        <v>1285.1331197911602</v>
      </c>
      <c r="AR122" s="1">
        <v>1536.8985388381034</v>
      </c>
      <c r="AS122" s="1">
        <v>1360.166469674826</v>
      </c>
      <c r="AT122" s="1">
        <v>1030.273763300773</v>
      </c>
      <c r="AU122" s="1">
        <v>1494.1423036137789</v>
      </c>
      <c r="AV122" s="1">
        <v>1224.4479601254538</v>
      </c>
      <c r="AW122" s="1">
        <v>1219.0231727850187</v>
      </c>
      <c r="AX122" s="1">
        <v>827.83002385029806</v>
      </c>
      <c r="AY122" s="1">
        <v>1227.0925584551867</v>
      </c>
      <c r="AZ122" s="1">
        <v>1068.6398763545108</v>
      </c>
      <c r="BA122" s="1">
        <v>1091.121821715022</v>
      </c>
      <c r="BB122" s="1">
        <v>1065.7217971271953</v>
      </c>
      <c r="BC122" s="2">
        <v>8.9181565948742242E-2</v>
      </c>
      <c r="BD122" s="2">
        <v>0.10665277883445198</v>
      </c>
      <c r="BE122" s="2">
        <v>9.438849084854764E-2</v>
      </c>
      <c r="BF122" s="2">
        <v>7.149564986855049E-2</v>
      </c>
      <c r="BG122" s="2">
        <v>0.10368571810536763</v>
      </c>
      <c r="BH122" s="2">
        <v>8.4970330952544637E-2</v>
      </c>
      <c r="BI122" s="2">
        <v>8.4593878877262704E-2</v>
      </c>
      <c r="BJ122" s="2">
        <v>5.7447105462779965E-2</v>
      </c>
      <c r="BK122" s="2">
        <v>8.5153852345557474E-2</v>
      </c>
      <c r="BL122" s="2">
        <v>7.4158058913035174E-2</v>
      </c>
      <c r="BM122" s="2">
        <v>7.5718189192107169E-2</v>
      </c>
      <c r="BN122" s="2">
        <v>7.3955559365675619E-2</v>
      </c>
    </row>
    <row r="123" spans="1:66" x14ac:dyDescent="0.25">
      <c r="A123" s="8">
        <v>2820</v>
      </c>
      <c r="B123" s="8" t="s">
        <v>872</v>
      </c>
      <c r="C123" s="5">
        <v>18000</v>
      </c>
      <c r="D123" s="5">
        <f>+$C123*BC123</f>
        <v>1605.2681870773604</v>
      </c>
      <c r="E123" s="5">
        <f>+$C123*BD123</f>
        <v>1919.7500190201356</v>
      </c>
      <c r="F123" s="5">
        <f>+$C123*BE123</f>
        <v>1698.9928352738575</v>
      </c>
      <c r="G123" s="5">
        <f>+$C123*BF123</f>
        <v>1286.9216976339087</v>
      </c>
      <c r="H123" s="5">
        <f>+$C123*BG123</f>
        <v>1866.3429258966173</v>
      </c>
      <c r="I123" s="5">
        <f>+$C123*BH123</f>
        <v>1529.4659571458035</v>
      </c>
      <c r="J123" s="5">
        <f>+$C123*BI123</f>
        <v>1522.6898197907287</v>
      </c>
      <c r="K123" s="5">
        <f>+$C123*BJ123</f>
        <v>1034.0478983300393</v>
      </c>
      <c r="L123" s="5">
        <f>+$C123*BK123</f>
        <v>1532.7693422200346</v>
      </c>
      <c r="M123" s="5">
        <f>+$C123*BL123</f>
        <v>1334.8450604346331</v>
      </c>
      <c r="N123" s="5">
        <f>+$C123*BM123</f>
        <v>1362.9274054579291</v>
      </c>
      <c r="O123" s="5">
        <f>+$C123*BN123</f>
        <v>1331.2000685821611</v>
      </c>
      <c r="P123" s="5">
        <v>0</v>
      </c>
      <c r="Q123" s="5">
        <f>+$P123*BC123</f>
        <v>0</v>
      </c>
      <c r="R123" s="5">
        <f>+$P123*BD123</f>
        <v>0</v>
      </c>
      <c r="S123" s="5">
        <f>+$P123*BE123</f>
        <v>0</v>
      </c>
      <c r="T123" s="5">
        <f>+$P123*BF123</f>
        <v>0</v>
      </c>
      <c r="U123" s="5">
        <f>+$P123*BG123</f>
        <v>0</v>
      </c>
      <c r="V123" s="5">
        <f>+$P123*BH123</f>
        <v>0</v>
      </c>
      <c r="W123" s="5">
        <f>+$P123*BI123</f>
        <v>0</v>
      </c>
      <c r="X123" s="5">
        <f>+$P123*BJ123</f>
        <v>0</v>
      </c>
      <c r="Y123" s="5">
        <f>+$P123*BK123</f>
        <v>0</v>
      </c>
      <c r="Z123" s="5">
        <f>+$P123*BL123</f>
        <v>0</v>
      </c>
      <c r="AA123" s="5">
        <f>+$P123*BM123</f>
        <v>0</v>
      </c>
      <c r="AB123" s="5">
        <f>+$P123*BN123</f>
        <v>0</v>
      </c>
      <c r="AC123" s="5">
        <v>0</v>
      </c>
      <c r="AD123" s="5">
        <f>+$AC123*BC123</f>
        <v>0</v>
      </c>
      <c r="AE123" s="5">
        <f>+$AC123*BD123</f>
        <v>0</v>
      </c>
      <c r="AF123" s="5">
        <f>+$AC123*BE123</f>
        <v>0</v>
      </c>
      <c r="AG123" s="5">
        <f>+$AC123*BF123</f>
        <v>0</v>
      </c>
      <c r="AH123" s="5">
        <f>+$AC123*BG123</f>
        <v>0</v>
      </c>
      <c r="AI123" s="5">
        <f>+$AC123*BH123</f>
        <v>0</v>
      </c>
      <c r="AJ123" s="5">
        <f>+$AC123*BI123</f>
        <v>0</v>
      </c>
      <c r="AK123" s="5">
        <f>+$AC123*BJ123</f>
        <v>0</v>
      </c>
      <c r="AL123" s="5">
        <f>+$AC123*BK123</f>
        <v>0</v>
      </c>
      <c r="AM123" s="5">
        <f>+$AC123*BL123</f>
        <v>0</v>
      </c>
      <c r="AN123" s="5">
        <f>+$AC123*BM123</f>
        <v>0</v>
      </c>
      <c r="AO123" s="5">
        <f>+$AC123*BN123</f>
        <v>0</v>
      </c>
      <c r="AP123" s="5">
        <f>+AC123+P123+C123</f>
        <v>18000</v>
      </c>
      <c r="AQ123" s="1">
        <v>1248.5419232823913</v>
      </c>
      <c r="AR123" s="1">
        <v>1493.1389036823277</v>
      </c>
      <c r="AS123" s="1">
        <v>1321.438871879667</v>
      </c>
      <c r="AT123" s="1">
        <v>1000.9390981597069</v>
      </c>
      <c r="AU123" s="1">
        <v>1451.6000534751468</v>
      </c>
      <c r="AV123" s="1">
        <v>1189.5846333356249</v>
      </c>
      <c r="AW123" s="1">
        <v>1184.3143042816778</v>
      </c>
      <c r="AX123" s="1">
        <v>804.25947647891951</v>
      </c>
      <c r="AY123" s="1">
        <v>1192.1539328378046</v>
      </c>
      <c r="AZ123" s="1">
        <v>1038.2128247824924</v>
      </c>
      <c r="BA123" s="1">
        <v>1060.0546486895003</v>
      </c>
      <c r="BB123" s="1">
        <v>1035.3778311194587</v>
      </c>
      <c r="BC123" s="2">
        <v>8.9181565948742242E-2</v>
      </c>
      <c r="BD123" s="2">
        <v>0.10665277883445198</v>
      </c>
      <c r="BE123" s="2">
        <v>9.438849084854764E-2</v>
      </c>
      <c r="BF123" s="2">
        <v>7.149564986855049E-2</v>
      </c>
      <c r="BG123" s="2">
        <v>0.10368571810536763</v>
      </c>
      <c r="BH123" s="2">
        <v>8.4970330952544637E-2</v>
      </c>
      <c r="BI123" s="2">
        <v>8.4593878877262704E-2</v>
      </c>
      <c r="BJ123" s="2">
        <v>5.7447105462779965E-2</v>
      </c>
      <c r="BK123" s="2">
        <v>8.5153852345557474E-2</v>
      </c>
      <c r="BL123" s="2">
        <v>7.4158058913035174E-2</v>
      </c>
      <c r="BM123" s="2">
        <v>7.5718189192107169E-2</v>
      </c>
      <c r="BN123" s="2">
        <v>7.3955559365675619E-2</v>
      </c>
    </row>
    <row r="124" spans="1:66" x14ac:dyDescent="0.25">
      <c r="A124" s="8">
        <v>3396</v>
      </c>
      <c r="B124" s="8" t="s">
        <v>871</v>
      </c>
      <c r="C124" s="5">
        <v>15000</v>
      </c>
      <c r="D124" s="5">
        <f>+$C124*BC124</f>
        <v>1337.7234892311337</v>
      </c>
      <c r="E124" s="5">
        <f>+$C124*BD124</f>
        <v>1599.7916825167797</v>
      </c>
      <c r="F124" s="5">
        <f>+$C124*BE124</f>
        <v>1415.8273627282147</v>
      </c>
      <c r="G124" s="5">
        <f>+$C124*BF124</f>
        <v>1072.4347480282574</v>
      </c>
      <c r="H124" s="5">
        <f>+$C124*BG124</f>
        <v>1555.2857715805144</v>
      </c>
      <c r="I124" s="5">
        <f>+$C124*BH124</f>
        <v>1274.5549642881695</v>
      </c>
      <c r="J124" s="5">
        <f>+$C124*BI124</f>
        <v>1268.9081831589406</v>
      </c>
      <c r="K124" s="5">
        <f>+$C124*BJ124</f>
        <v>861.70658194169948</v>
      </c>
      <c r="L124" s="5">
        <f>+$C124*BK124</f>
        <v>1277.3077851833621</v>
      </c>
      <c r="M124" s="5">
        <f>+$C124*BL124</f>
        <v>1112.3708836955277</v>
      </c>
      <c r="N124" s="5">
        <f>+$C124*BM124</f>
        <v>1135.7728378816075</v>
      </c>
      <c r="O124" s="5">
        <f>+$C124*BN124</f>
        <v>1109.3333904851343</v>
      </c>
      <c r="P124" s="5">
        <v>0</v>
      </c>
      <c r="Q124" s="5">
        <f>+$P124*BC124</f>
        <v>0</v>
      </c>
      <c r="R124" s="5">
        <f>+$P124*BD124</f>
        <v>0</v>
      </c>
      <c r="S124" s="5">
        <f>+$P124*BE124</f>
        <v>0</v>
      </c>
      <c r="T124" s="5">
        <f>+$P124*BF124</f>
        <v>0</v>
      </c>
      <c r="U124" s="5">
        <f>+$P124*BG124</f>
        <v>0</v>
      </c>
      <c r="V124" s="5">
        <f>+$P124*BH124</f>
        <v>0</v>
      </c>
      <c r="W124" s="5">
        <f>+$P124*BI124</f>
        <v>0</v>
      </c>
      <c r="X124" s="5">
        <f>+$P124*BJ124</f>
        <v>0</v>
      </c>
      <c r="Y124" s="5">
        <f>+$P124*BK124</f>
        <v>0</v>
      </c>
      <c r="Z124" s="5">
        <f>+$P124*BL124</f>
        <v>0</v>
      </c>
      <c r="AA124" s="5">
        <f>+$P124*BM124</f>
        <v>0</v>
      </c>
      <c r="AB124" s="5">
        <f>+$P124*BN124</f>
        <v>0</v>
      </c>
      <c r="AC124" s="5">
        <v>0</v>
      </c>
      <c r="AD124" s="5">
        <f>+$AC124*BC124</f>
        <v>0</v>
      </c>
      <c r="AE124" s="5">
        <f>+$AC124*BD124</f>
        <v>0</v>
      </c>
      <c r="AF124" s="5">
        <f>+$AC124*BE124</f>
        <v>0</v>
      </c>
      <c r="AG124" s="5">
        <f>+$AC124*BF124</f>
        <v>0</v>
      </c>
      <c r="AH124" s="5">
        <f>+$AC124*BG124</f>
        <v>0</v>
      </c>
      <c r="AI124" s="5">
        <f>+$AC124*BH124</f>
        <v>0</v>
      </c>
      <c r="AJ124" s="5">
        <f>+$AC124*BI124</f>
        <v>0</v>
      </c>
      <c r="AK124" s="5">
        <f>+$AC124*BJ124</f>
        <v>0</v>
      </c>
      <c r="AL124" s="5">
        <f>+$AC124*BK124</f>
        <v>0</v>
      </c>
      <c r="AM124" s="5">
        <f>+$AC124*BL124</f>
        <v>0</v>
      </c>
      <c r="AN124" s="5">
        <f>+$AC124*BM124</f>
        <v>0</v>
      </c>
      <c r="AO124" s="5">
        <f>+$AC124*BN124</f>
        <v>0</v>
      </c>
      <c r="AP124" s="5">
        <f>+AC124+P124+C124</f>
        <v>15000</v>
      </c>
      <c r="AQ124" s="1">
        <v>1159.3603573336491</v>
      </c>
      <c r="AR124" s="1">
        <v>1386.4861248478758</v>
      </c>
      <c r="AS124" s="1">
        <v>1227.0503810311193</v>
      </c>
      <c r="AT124" s="1">
        <v>929.44344829115641</v>
      </c>
      <c r="AU124" s="1">
        <v>1347.9143353697791</v>
      </c>
      <c r="AV124" s="1">
        <v>1104.6143023830803</v>
      </c>
      <c r="AW124" s="1">
        <v>1099.7204254044152</v>
      </c>
      <c r="AX124" s="1">
        <v>746.81237101613954</v>
      </c>
      <c r="AY124" s="1">
        <v>1107.0000804922472</v>
      </c>
      <c r="AZ124" s="1">
        <v>964.05476586945724</v>
      </c>
      <c r="BA124" s="1">
        <v>984.33645949739321</v>
      </c>
      <c r="BB124" s="1">
        <v>961.42227175378309</v>
      </c>
      <c r="BC124" s="2">
        <v>8.9181565948742242E-2</v>
      </c>
      <c r="BD124" s="2">
        <v>0.10665277883445198</v>
      </c>
      <c r="BE124" s="2">
        <v>9.438849084854764E-2</v>
      </c>
      <c r="BF124" s="2">
        <v>7.149564986855049E-2</v>
      </c>
      <c r="BG124" s="2">
        <v>0.10368571810536763</v>
      </c>
      <c r="BH124" s="2">
        <v>8.4970330952544637E-2</v>
      </c>
      <c r="BI124" s="2">
        <v>8.4593878877262704E-2</v>
      </c>
      <c r="BJ124" s="2">
        <v>5.7447105462779965E-2</v>
      </c>
      <c r="BK124" s="2">
        <v>8.5153852345557474E-2</v>
      </c>
      <c r="BL124" s="2">
        <v>7.4158058913035174E-2</v>
      </c>
      <c r="BM124" s="2">
        <v>7.5718189192107169E-2</v>
      </c>
      <c r="BN124" s="2">
        <v>7.3955559365675619E-2</v>
      </c>
    </row>
    <row r="125" spans="1:66" x14ac:dyDescent="0.25">
      <c r="A125" s="8">
        <v>5425</v>
      </c>
      <c r="B125" s="8" t="s">
        <v>870</v>
      </c>
      <c r="C125" s="5">
        <v>13000</v>
      </c>
      <c r="D125" s="5">
        <f>+$C125*BC125</f>
        <v>1159.3603573336491</v>
      </c>
      <c r="E125" s="5">
        <f>+$C125*BD125</f>
        <v>1386.4861248478758</v>
      </c>
      <c r="F125" s="5">
        <f>+$C125*BE125</f>
        <v>1227.0503810311193</v>
      </c>
      <c r="G125" s="5">
        <f>+$C125*BF125</f>
        <v>929.44344829115641</v>
      </c>
      <c r="H125" s="5">
        <f>+$C125*BG125</f>
        <v>1347.9143353697791</v>
      </c>
      <c r="I125" s="5">
        <f>+$C125*BH125</f>
        <v>1104.6143023830803</v>
      </c>
      <c r="J125" s="5">
        <f>+$C125*BI125</f>
        <v>1099.7204254044152</v>
      </c>
      <c r="K125" s="5">
        <f>+$C125*BJ125</f>
        <v>746.81237101613954</v>
      </c>
      <c r="L125" s="5">
        <f>+$C125*BK125</f>
        <v>1107.0000804922472</v>
      </c>
      <c r="M125" s="5">
        <f>+$C125*BL125</f>
        <v>964.05476586945724</v>
      </c>
      <c r="N125" s="5">
        <f>+$C125*BM125</f>
        <v>984.33645949739321</v>
      </c>
      <c r="O125" s="5">
        <f>+$C125*BN125</f>
        <v>961.42227175378309</v>
      </c>
      <c r="P125" s="5">
        <v>0</v>
      </c>
      <c r="Q125" s="5">
        <f>+$P125*BC125</f>
        <v>0</v>
      </c>
      <c r="R125" s="5">
        <f>+$P125*BD125</f>
        <v>0</v>
      </c>
      <c r="S125" s="5">
        <f>+$P125*BE125</f>
        <v>0</v>
      </c>
      <c r="T125" s="5">
        <f>+$P125*BF125</f>
        <v>0</v>
      </c>
      <c r="U125" s="5">
        <f>+$P125*BG125</f>
        <v>0</v>
      </c>
      <c r="V125" s="5">
        <f>+$P125*BH125</f>
        <v>0</v>
      </c>
      <c r="W125" s="5">
        <f>+$P125*BI125</f>
        <v>0</v>
      </c>
      <c r="X125" s="5">
        <f>+$P125*BJ125</f>
        <v>0</v>
      </c>
      <c r="Y125" s="5">
        <f>+$P125*BK125</f>
        <v>0</v>
      </c>
      <c r="Z125" s="5">
        <f>+$P125*BL125</f>
        <v>0</v>
      </c>
      <c r="AA125" s="5">
        <f>+$P125*BM125</f>
        <v>0</v>
      </c>
      <c r="AB125" s="5">
        <f>+$P125*BN125</f>
        <v>0</v>
      </c>
      <c r="AC125" s="5">
        <v>0</v>
      </c>
      <c r="AD125" s="5">
        <f>+$AC125*BC125</f>
        <v>0</v>
      </c>
      <c r="AE125" s="5">
        <f>+$AC125*BD125</f>
        <v>0</v>
      </c>
      <c r="AF125" s="5">
        <f>+$AC125*BE125</f>
        <v>0</v>
      </c>
      <c r="AG125" s="5">
        <f>+$AC125*BF125</f>
        <v>0</v>
      </c>
      <c r="AH125" s="5">
        <f>+$AC125*BG125</f>
        <v>0</v>
      </c>
      <c r="AI125" s="5">
        <f>+$AC125*BH125</f>
        <v>0</v>
      </c>
      <c r="AJ125" s="5">
        <f>+$AC125*BI125</f>
        <v>0</v>
      </c>
      <c r="AK125" s="5">
        <f>+$AC125*BJ125</f>
        <v>0</v>
      </c>
      <c r="AL125" s="5">
        <f>+$AC125*BK125</f>
        <v>0</v>
      </c>
      <c r="AM125" s="5">
        <f>+$AC125*BL125</f>
        <v>0</v>
      </c>
      <c r="AN125" s="5">
        <f>+$AC125*BM125</f>
        <v>0</v>
      </c>
      <c r="AO125" s="5">
        <f>+$AC125*BN125</f>
        <v>0</v>
      </c>
      <c r="AP125" s="5">
        <f>+AC125+P125+C125</f>
        <v>13000</v>
      </c>
      <c r="AQ125" s="1">
        <v>1159.3603573336491</v>
      </c>
      <c r="AR125" s="1">
        <v>1386.4861248478758</v>
      </c>
      <c r="AS125" s="1">
        <v>1227.0503810311193</v>
      </c>
      <c r="AT125" s="1">
        <v>929.44344829115641</v>
      </c>
      <c r="AU125" s="1">
        <v>1347.9143353697791</v>
      </c>
      <c r="AV125" s="1">
        <v>1104.6143023830803</v>
      </c>
      <c r="AW125" s="1">
        <v>1099.7204254044152</v>
      </c>
      <c r="AX125" s="1">
        <v>746.81237101613954</v>
      </c>
      <c r="AY125" s="1">
        <v>1107.0000804922472</v>
      </c>
      <c r="AZ125" s="1">
        <v>964.05476586945724</v>
      </c>
      <c r="BA125" s="1">
        <v>984.33645949739321</v>
      </c>
      <c r="BB125" s="1">
        <v>961.42227175378309</v>
      </c>
      <c r="BC125" s="2">
        <v>8.9181565948742242E-2</v>
      </c>
      <c r="BD125" s="2">
        <v>0.10665277883445198</v>
      </c>
      <c r="BE125" s="2">
        <v>9.438849084854764E-2</v>
      </c>
      <c r="BF125" s="2">
        <v>7.149564986855049E-2</v>
      </c>
      <c r="BG125" s="2">
        <v>0.10368571810536763</v>
      </c>
      <c r="BH125" s="2">
        <v>8.4970330952544637E-2</v>
      </c>
      <c r="BI125" s="2">
        <v>8.4593878877262704E-2</v>
      </c>
      <c r="BJ125" s="2">
        <v>5.7447105462779965E-2</v>
      </c>
      <c r="BK125" s="2">
        <v>8.5153852345557474E-2</v>
      </c>
      <c r="BL125" s="2">
        <v>7.4158058913035174E-2</v>
      </c>
      <c r="BM125" s="2">
        <v>7.5718189192107169E-2</v>
      </c>
      <c r="BN125" s="2">
        <v>7.3955559365675619E-2</v>
      </c>
    </row>
    <row r="126" spans="1:66" x14ac:dyDescent="0.25">
      <c r="A126" s="8">
        <v>20328</v>
      </c>
      <c r="B126" s="8" t="s">
        <v>869</v>
      </c>
      <c r="C126" s="5">
        <v>13000</v>
      </c>
      <c r="D126" s="5">
        <f>+$C126*BC126</f>
        <v>1159.3603573336491</v>
      </c>
      <c r="E126" s="5">
        <f>+$C126*BD126</f>
        <v>1386.4861248478758</v>
      </c>
      <c r="F126" s="5">
        <f>+$C126*BE126</f>
        <v>1227.0503810311193</v>
      </c>
      <c r="G126" s="5">
        <f>+$C126*BF126</f>
        <v>929.44344829115641</v>
      </c>
      <c r="H126" s="5">
        <f>+$C126*BG126</f>
        <v>1347.9143353697791</v>
      </c>
      <c r="I126" s="5">
        <f>+$C126*BH126</f>
        <v>1104.6143023830803</v>
      </c>
      <c r="J126" s="5">
        <f>+$C126*BI126</f>
        <v>1099.7204254044152</v>
      </c>
      <c r="K126" s="5">
        <f>+$C126*BJ126</f>
        <v>746.81237101613954</v>
      </c>
      <c r="L126" s="5">
        <f>+$C126*BK126</f>
        <v>1107.0000804922472</v>
      </c>
      <c r="M126" s="5">
        <f>+$C126*BL126</f>
        <v>964.05476586945724</v>
      </c>
      <c r="N126" s="5">
        <f>+$C126*BM126</f>
        <v>984.33645949739321</v>
      </c>
      <c r="O126" s="5">
        <f>+$C126*BN126</f>
        <v>961.42227175378309</v>
      </c>
      <c r="P126" s="5">
        <v>0</v>
      </c>
      <c r="Q126" s="5">
        <f>+$P126*BC126</f>
        <v>0</v>
      </c>
      <c r="R126" s="5">
        <f>+$P126*BD126</f>
        <v>0</v>
      </c>
      <c r="S126" s="5">
        <f>+$P126*BE126</f>
        <v>0</v>
      </c>
      <c r="T126" s="5">
        <f>+$P126*BF126</f>
        <v>0</v>
      </c>
      <c r="U126" s="5">
        <f>+$P126*BG126</f>
        <v>0</v>
      </c>
      <c r="V126" s="5">
        <f>+$P126*BH126</f>
        <v>0</v>
      </c>
      <c r="W126" s="5">
        <f>+$P126*BI126</f>
        <v>0</v>
      </c>
      <c r="X126" s="5">
        <f>+$P126*BJ126</f>
        <v>0</v>
      </c>
      <c r="Y126" s="5">
        <f>+$P126*BK126</f>
        <v>0</v>
      </c>
      <c r="Z126" s="5">
        <f>+$P126*BL126</f>
        <v>0</v>
      </c>
      <c r="AA126" s="5">
        <f>+$P126*BM126</f>
        <v>0</v>
      </c>
      <c r="AB126" s="5">
        <f>+$P126*BN126</f>
        <v>0</v>
      </c>
      <c r="AC126" s="5">
        <v>0</v>
      </c>
      <c r="AD126" s="5">
        <f>+$AC126*BC126</f>
        <v>0</v>
      </c>
      <c r="AE126" s="5">
        <f>+$AC126*BD126</f>
        <v>0</v>
      </c>
      <c r="AF126" s="5">
        <f>+$AC126*BE126</f>
        <v>0</v>
      </c>
      <c r="AG126" s="5">
        <f>+$AC126*BF126</f>
        <v>0</v>
      </c>
      <c r="AH126" s="5">
        <f>+$AC126*BG126</f>
        <v>0</v>
      </c>
      <c r="AI126" s="5">
        <f>+$AC126*BH126</f>
        <v>0</v>
      </c>
      <c r="AJ126" s="5">
        <f>+$AC126*BI126</f>
        <v>0</v>
      </c>
      <c r="AK126" s="5">
        <f>+$AC126*BJ126</f>
        <v>0</v>
      </c>
      <c r="AL126" s="5">
        <f>+$AC126*BK126</f>
        <v>0</v>
      </c>
      <c r="AM126" s="5">
        <f>+$AC126*BL126</f>
        <v>0</v>
      </c>
      <c r="AN126" s="5">
        <f>+$AC126*BM126</f>
        <v>0</v>
      </c>
      <c r="AO126" s="5">
        <f>+$AC126*BN126</f>
        <v>0</v>
      </c>
      <c r="AP126" s="5">
        <f>+AC126+P126+C126</f>
        <v>13000</v>
      </c>
      <c r="AQ126" s="1">
        <v>1159.3603573336491</v>
      </c>
      <c r="AR126" s="1">
        <v>1386.4861248478758</v>
      </c>
      <c r="AS126" s="1">
        <v>1227.0503810311193</v>
      </c>
      <c r="AT126" s="1">
        <v>929.44344829115641</v>
      </c>
      <c r="AU126" s="1">
        <v>1347.9143353697791</v>
      </c>
      <c r="AV126" s="1">
        <v>1104.6143023830803</v>
      </c>
      <c r="AW126" s="1">
        <v>1099.7204254044152</v>
      </c>
      <c r="AX126" s="1">
        <v>746.81237101613954</v>
      </c>
      <c r="AY126" s="1">
        <v>1107.0000804922472</v>
      </c>
      <c r="AZ126" s="1">
        <v>964.05476586945724</v>
      </c>
      <c r="BA126" s="1">
        <v>984.33645949739321</v>
      </c>
      <c r="BB126" s="1">
        <v>961.42227175378309</v>
      </c>
      <c r="BC126" s="2">
        <v>8.9181565948742242E-2</v>
      </c>
      <c r="BD126" s="2">
        <v>0.10665277883445198</v>
      </c>
      <c r="BE126" s="2">
        <v>9.438849084854764E-2</v>
      </c>
      <c r="BF126" s="2">
        <v>7.149564986855049E-2</v>
      </c>
      <c r="BG126" s="2">
        <v>0.10368571810536763</v>
      </c>
      <c r="BH126" s="2">
        <v>8.4970330952544637E-2</v>
      </c>
      <c r="BI126" s="2">
        <v>8.4593878877262704E-2</v>
      </c>
      <c r="BJ126" s="2">
        <v>5.7447105462779965E-2</v>
      </c>
      <c r="BK126" s="2">
        <v>8.5153852345557474E-2</v>
      </c>
      <c r="BL126" s="2">
        <v>7.4158058913035174E-2</v>
      </c>
      <c r="BM126" s="2">
        <v>7.5718189192107169E-2</v>
      </c>
      <c r="BN126" s="2">
        <v>7.3955559365675619E-2</v>
      </c>
    </row>
    <row r="127" spans="1:66" x14ac:dyDescent="0.25">
      <c r="A127" s="8">
        <v>27041</v>
      </c>
      <c r="B127" s="8" t="s">
        <v>868</v>
      </c>
      <c r="C127" s="5">
        <v>0</v>
      </c>
      <c r="D127" s="5">
        <f>+$C127*BC127</f>
        <v>0</v>
      </c>
      <c r="E127" s="5">
        <f>+$C127*BD127</f>
        <v>0</v>
      </c>
      <c r="F127" s="5">
        <f>+$C127*BE127</f>
        <v>0</v>
      </c>
      <c r="G127" s="5">
        <f>+$C127*BF127</f>
        <v>0</v>
      </c>
      <c r="H127" s="5">
        <f>+$C127*BG127</f>
        <v>0</v>
      </c>
      <c r="I127" s="5">
        <f>+$C127*BH127</f>
        <v>0</v>
      </c>
      <c r="J127" s="5">
        <f>+$C127*BI127</f>
        <v>0</v>
      </c>
      <c r="K127" s="5">
        <f>+$C127*BJ127</f>
        <v>0</v>
      </c>
      <c r="L127" s="5">
        <f>+$C127*BK127</f>
        <v>0</v>
      </c>
      <c r="M127" s="5">
        <f>+$C127*BL127</f>
        <v>0</v>
      </c>
      <c r="N127" s="5">
        <f>+$C127*BM127</f>
        <v>0</v>
      </c>
      <c r="O127" s="5">
        <f>+$C127*BN127</f>
        <v>0</v>
      </c>
      <c r="P127" s="5">
        <v>6000</v>
      </c>
      <c r="Q127" s="5">
        <f>+$P127*BC127</f>
        <v>535.08939569245342</v>
      </c>
      <c r="R127" s="5">
        <f>+$P127*BD127</f>
        <v>639.9166730067119</v>
      </c>
      <c r="S127" s="5">
        <f>+$P127*BE127</f>
        <v>566.3309450912858</v>
      </c>
      <c r="T127" s="5">
        <f>+$P127*BF127</f>
        <v>428.97389921130292</v>
      </c>
      <c r="U127" s="5">
        <f>+$P127*BG127</f>
        <v>622.11430863220573</v>
      </c>
      <c r="V127" s="5">
        <f>+$P127*BH127</f>
        <v>509.82198571526783</v>
      </c>
      <c r="W127" s="5">
        <f>+$P127*BI127</f>
        <v>507.56327326357621</v>
      </c>
      <c r="X127" s="5">
        <f>+$P127*BJ127</f>
        <v>344.68263277667978</v>
      </c>
      <c r="Y127" s="5">
        <f>+$P127*BK127</f>
        <v>510.92311407334483</v>
      </c>
      <c r="Z127" s="5">
        <f>+$P127*BL127</f>
        <v>444.94835347821106</v>
      </c>
      <c r="AA127" s="5">
        <f>+$P127*BM127</f>
        <v>454.30913515264302</v>
      </c>
      <c r="AB127" s="5">
        <f>+$P127*BN127</f>
        <v>443.73335619405373</v>
      </c>
      <c r="AC127" s="5">
        <v>0</v>
      </c>
      <c r="AD127" s="5">
        <f>+$AC127*BC127</f>
        <v>0</v>
      </c>
      <c r="AE127" s="5">
        <f>+$AC127*BD127</f>
        <v>0</v>
      </c>
      <c r="AF127" s="5">
        <f>+$AC127*BE127</f>
        <v>0</v>
      </c>
      <c r="AG127" s="5">
        <f>+$AC127*BF127</f>
        <v>0</v>
      </c>
      <c r="AH127" s="5">
        <f>+$AC127*BG127</f>
        <v>0</v>
      </c>
      <c r="AI127" s="5">
        <f>+$AC127*BH127</f>
        <v>0</v>
      </c>
      <c r="AJ127" s="5">
        <f>+$AC127*BI127</f>
        <v>0</v>
      </c>
      <c r="AK127" s="5">
        <f>+$AC127*BJ127</f>
        <v>0</v>
      </c>
      <c r="AL127" s="5">
        <f>+$AC127*BK127</f>
        <v>0</v>
      </c>
      <c r="AM127" s="5">
        <f>+$AC127*BL127</f>
        <v>0</v>
      </c>
      <c r="AN127" s="5">
        <f>+$AC127*BM127</f>
        <v>0</v>
      </c>
      <c r="AO127" s="5">
        <f>+$AC127*BN127</f>
        <v>0</v>
      </c>
      <c r="AP127" s="5">
        <f>+AC127+P127+C127</f>
        <v>6000</v>
      </c>
      <c r="AQ127" s="1">
        <v>1159.3603573336491</v>
      </c>
      <c r="AR127" s="1">
        <v>1386.4861248478758</v>
      </c>
      <c r="AS127" s="1">
        <v>1227.0503810311193</v>
      </c>
      <c r="AT127" s="1">
        <v>929.44344829115641</v>
      </c>
      <c r="AU127" s="1">
        <v>1347.9143353697791</v>
      </c>
      <c r="AV127" s="1">
        <v>1104.6143023830803</v>
      </c>
      <c r="AW127" s="1">
        <v>1099.7204254044152</v>
      </c>
      <c r="AX127" s="1">
        <v>746.81237101613954</v>
      </c>
      <c r="AY127" s="1">
        <v>1107.0000804922472</v>
      </c>
      <c r="AZ127" s="1">
        <v>964.05476586945724</v>
      </c>
      <c r="BA127" s="1">
        <v>984.33645949739321</v>
      </c>
      <c r="BB127" s="1">
        <v>961.42227175378309</v>
      </c>
      <c r="BC127" s="2">
        <v>8.9181565948742242E-2</v>
      </c>
      <c r="BD127" s="2">
        <v>0.10665277883445198</v>
      </c>
      <c r="BE127" s="2">
        <v>9.438849084854764E-2</v>
      </c>
      <c r="BF127" s="2">
        <v>7.149564986855049E-2</v>
      </c>
      <c r="BG127" s="2">
        <v>0.10368571810536763</v>
      </c>
      <c r="BH127" s="2">
        <v>8.4970330952544637E-2</v>
      </c>
      <c r="BI127" s="2">
        <v>8.4593878877262704E-2</v>
      </c>
      <c r="BJ127" s="2">
        <v>5.7447105462779965E-2</v>
      </c>
      <c r="BK127" s="2">
        <v>8.5153852345557474E-2</v>
      </c>
      <c r="BL127" s="2">
        <v>7.4158058913035174E-2</v>
      </c>
      <c r="BM127" s="2">
        <v>7.5718189192107169E-2</v>
      </c>
      <c r="BN127" s="2">
        <v>7.3955559365675619E-2</v>
      </c>
    </row>
    <row r="128" spans="1:66" x14ac:dyDescent="0.25">
      <c r="A128" s="8">
        <v>3928</v>
      </c>
      <c r="B128" s="8" t="s">
        <v>867</v>
      </c>
      <c r="C128" s="5">
        <v>0</v>
      </c>
      <c r="D128" s="5">
        <f>+$C128*BC128</f>
        <v>0</v>
      </c>
      <c r="E128" s="5">
        <f>+$C128*BD128</f>
        <v>0</v>
      </c>
      <c r="F128" s="5">
        <f>+$C128*BE128</f>
        <v>0</v>
      </c>
      <c r="G128" s="5">
        <f>+$C128*BF128</f>
        <v>0</v>
      </c>
      <c r="H128" s="5">
        <f>+$C128*BG128</f>
        <v>0</v>
      </c>
      <c r="I128" s="5">
        <f>+$C128*BH128</f>
        <v>0</v>
      </c>
      <c r="J128" s="5">
        <f>+$C128*BI128</f>
        <v>0</v>
      </c>
      <c r="K128" s="5">
        <f>+$C128*BJ128</f>
        <v>0</v>
      </c>
      <c r="L128" s="5">
        <f>+$C128*BK128</f>
        <v>0</v>
      </c>
      <c r="M128" s="5">
        <f>+$C128*BL128</f>
        <v>0</v>
      </c>
      <c r="N128" s="5">
        <f>+$C128*BM128</f>
        <v>0</v>
      </c>
      <c r="O128" s="5">
        <f>+$C128*BN128</f>
        <v>0</v>
      </c>
      <c r="P128" s="5">
        <v>6000</v>
      </c>
      <c r="Q128" s="5">
        <f>+$P128*BC128</f>
        <v>535.08939569245342</v>
      </c>
      <c r="R128" s="5">
        <f>+$P128*BD128</f>
        <v>639.9166730067119</v>
      </c>
      <c r="S128" s="5">
        <f>+$P128*BE128</f>
        <v>566.3309450912858</v>
      </c>
      <c r="T128" s="5">
        <f>+$P128*BF128</f>
        <v>428.97389921130292</v>
      </c>
      <c r="U128" s="5">
        <f>+$P128*BG128</f>
        <v>622.11430863220573</v>
      </c>
      <c r="V128" s="5">
        <f>+$P128*BH128</f>
        <v>509.82198571526783</v>
      </c>
      <c r="W128" s="5">
        <f>+$P128*BI128</f>
        <v>507.56327326357621</v>
      </c>
      <c r="X128" s="5">
        <f>+$P128*BJ128</f>
        <v>344.68263277667978</v>
      </c>
      <c r="Y128" s="5">
        <f>+$P128*BK128</f>
        <v>510.92311407334483</v>
      </c>
      <c r="Z128" s="5">
        <f>+$P128*BL128</f>
        <v>444.94835347821106</v>
      </c>
      <c r="AA128" s="5">
        <f>+$P128*BM128</f>
        <v>454.30913515264302</v>
      </c>
      <c r="AB128" s="5">
        <f>+$P128*BN128</f>
        <v>443.73335619405373</v>
      </c>
      <c r="AC128" s="5">
        <v>0</v>
      </c>
      <c r="AD128" s="5">
        <f>+$AC128*BC128</f>
        <v>0</v>
      </c>
      <c r="AE128" s="5">
        <f>+$AC128*BD128</f>
        <v>0</v>
      </c>
      <c r="AF128" s="5">
        <f>+$AC128*BE128</f>
        <v>0</v>
      </c>
      <c r="AG128" s="5">
        <f>+$AC128*BF128</f>
        <v>0</v>
      </c>
      <c r="AH128" s="5">
        <f>+$AC128*BG128</f>
        <v>0</v>
      </c>
      <c r="AI128" s="5">
        <f>+$AC128*BH128</f>
        <v>0</v>
      </c>
      <c r="AJ128" s="5">
        <f>+$AC128*BI128</f>
        <v>0</v>
      </c>
      <c r="AK128" s="5">
        <f>+$AC128*BJ128</f>
        <v>0</v>
      </c>
      <c r="AL128" s="5">
        <f>+$AC128*BK128</f>
        <v>0</v>
      </c>
      <c r="AM128" s="5">
        <f>+$AC128*BL128</f>
        <v>0</v>
      </c>
      <c r="AN128" s="5">
        <f>+$AC128*BM128</f>
        <v>0</v>
      </c>
      <c r="AO128" s="5">
        <f>+$AC128*BN128</f>
        <v>0</v>
      </c>
      <c r="AP128" s="5">
        <f>+AC128+P128+C128</f>
        <v>6000</v>
      </c>
      <c r="AQ128" s="1">
        <v>1159.3603573336491</v>
      </c>
      <c r="AR128" s="1">
        <v>1386.4861248478758</v>
      </c>
      <c r="AS128" s="1">
        <v>1227.0503810311193</v>
      </c>
      <c r="AT128" s="1">
        <v>929.44344829115641</v>
      </c>
      <c r="AU128" s="1">
        <v>1347.9143353697791</v>
      </c>
      <c r="AV128" s="1">
        <v>1104.6143023830803</v>
      </c>
      <c r="AW128" s="1">
        <v>1099.7204254044152</v>
      </c>
      <c r="AX128" s="1">
        <v>746.81237101613954</v>
      </c>
      <c r="AY128" s="1">
        <v>1107.0000804922472</v>
      </c>
      <c r="AZ128" s="1">
        <v>964.05476586945724</v>
      </c>
      <c r="BA128" s="1">
        <v>984.33645949739321</v>
      </c>
      <c r="BB128" s="1">
        <v>961.42227175378309</v>
      </c>
      <c r="BC128" s="2">
        <v>8.9181565948742242E-2</v>
      </c>
      <c r="BD128" s="2">
        <v>0.10665277883445198</v>
      </c>
      <c r="BE128" s="2">
        <v>9.438849084854764E-2</v>
      </c>
      <c r="BF128" s="2">
        <v>7.149564986855049E-2</v>
      </c>
      <c r="BG128" s="2">
        <v>0.10368571810536763</v>
      </c>
      <c r="BH128" s="2">
        <v>8.4970330952544637E-2</v>
      </c>
      <c r="BI128" s="2">
        <v>8.4593878877262704E-2</v>
      </c>
      <c r="BJ128" s="2">
        <v>5.7447105462779965E-2</v>
      </c>
      <c r="BK128" s="2">
        <v>8.5153852345557474E-2</v>
      </c>
      <c r="BL128" s="2">
        <v>7.4158058913035174E-2</v>
      </c>
      <c r="BM128" s="2">
        <v>7.5718189192107169E-2</v>
      </c>
      <c r="BN128" s="2">
        <v>7.3955559365675619E-2</v>
      </c>
    </row>
    <row r="129" spans="1:66" x14ac:dyDescent="0.25">
      <c r="A129" s="8">
        <v>1200</v>
      </c>
      <c r="B129" s="8" t="s">
        <v>866</v>
      </c>
      <c r="C129" s="5">
        <v>0</v>
      </c>
      <c r="D129" s="5">
        <f>+$C129*BC129</f>
        <v>0</v>
      </c>
      <c r="E129" s="5">
        <f>+$C129*BD129</f>
        <v>0</v>
      </c>
      <c r="F129" s="5">
        <f>+$C129*BE129</f>
        <v>0</v>
      </c>
      <c r="G129" s="5">
        <f>+$C129*BF129</f>
        <v>0</v>
      </c>
      <c r="H129" s="5">
        <f>+$C129*BG129</f>
        <v>0</v>
      </c>
      <c r="I129" s="5">
        <f>+$C129*BH129</f>
        <v>0</v>
      </c>
      <c r="J129" s="5">
        <f>+$C129*BI129</f>
        <v>0</v>
      </c>
      <c r="K129" s="5">
        <f>+$C129*BJ129</f>
        <v>0</v>
      </c>
      <c r="L129" s="5">
        <f>+$C129*BK129</f>
        <v>0</v>
      </c>
      <c r="M129" s="5">
        <f>+$C129*BL129</f>
        <v>0</v>
      </c>
      <c r="N129" s="5">
        <f>+$C129*BM129</f>
        <v>0</v>
      </c>
      <c r="O129" s="5">
        <f>+$C129*BN129</f>
        <v>0</v>
      </c>
      <c r="P129" s="5">
        <v>0</v>
      </c>
      <c r="Q129" s="5">
        <f>+$P129*BC129</f>
        <v>0</v>
      </c>
      <c r="R129" s="5">
        <f>+$P129*BD129</f>
        <v>0</v>
      </c>
      <c r="S129" s="5">
        <f>+$P129*BE129</f>
        <v>0</v>
      </c>
      <c r="T129" s="5">
        <f>+$P129*BF129</f>
        <v>0</v>
      </c>
      <c r="U129" s="5">
        <f>+$P129*BG129</f>
        <v>0</v>
      </c>
      <c r="V129" s="5">
        <f>+$P129*BH129</f>
        <v>0</v>
      </c>
      <c r="W129" s="5">
        <f>+$P129*BI129</f>
        <v>0</v>
      </c>
      <c r="X129" s="5">
        <f>+$P129*BJ129</f>
        <v>0</v>
      </c>
      <c r="Y129" s="5">
        <f>+$P129*BK129</f>
        <v>0</v>
      </c>
      <c r="Z129" s="5">
        <f>+$P129*BL129</f>
        <v>0</v>
      </c>
      <c r="AA129" s="5">
        <f>+$P129*BM129</f>
        <v>0</v>
      </c>
      <c r="AB129" s="5">
        <f>+$P129*BN129</f>
        <v>0</v>
      </c>
      <c r="AC129" s="5">
        <v>0</v>
      </c>
      <c r="AD129" s="5">
        <f>+$AC129*BC129</f>
        <v>0</v>
      </c>
      <c r="AE129" s="5">
        <f>+$AC129*BD129</f>
        <v>0</v>
      </c>
      <c r="AF129" s="5">
        <f>+$AC129*BE129</f>
        <v>0</v>
      </c>
      <c r="AG129" s="5">
        <f>+$AC129*BF129</f>
        <v>0</v>
      </c>
      <c r="AH129" s="5">
        <f>+$AC129*BG129</f>
        <v>0</v>
      </c>
      <c r="AI129" s="5">
        <f>+$AC129*BH129</f>
        <v>0</v>
      </c>
      <c r="AJ129" s="5">
        <f>+$AC129*BI129</f>
        <v>0</v>
      </c>
      <c r="AK129" s="5">
        <f>+$AC129*BJ129</f>
        <v>0</v>
      </c>
      <c r="AL129" s="5">
        <f>+$AC129*BK129</f>
        <v>0</v>
      </c>
      <c r="AM129" s="5">
        <f>+$AC129*BL129</f>
        <v>0</v>
      </c>
      <c r="AN129" s="5">
        <f>+$AC129*BM129</f>
        <v>0</v>
      </c>
      <c r="AO129" s="5">
        <f>+$AC129*BN129</f>
        <v>0</v>
      </c>
      <c r="AP129" s="5">
        <f>+AC129+P129+C129</f>
        <v>0</v>
      </c>
      <c r="AQ129" s="1">
        <v>1114.7695743592781</v>
      </c>
      <c r="AR129" s="1">
        <v>1333.1597354306498</v>
      </c>
      <c r="AS129" s="1">
        <v>1179.8561356068456</v>
      </c>
      <c r="AT129" s="1">
        <v>893.69562335688113</v>
      </c>
      <c r="AU129" s="1">
        <v>1296.0714763170954</v>
      </c>
      <c r="AV129" s="1">
        <v>1062.1291369068081</v>
      </c>
      <c r="AW129" s="1">
        <v>1057.4234859657838</v>
      </c>
      <c r="AX129" s="1">
        <v>718.08881828474955</v>
      </c>
      <c r="AY129" s="1">
        <v>1064.4231543194685</v>
      </c>
      <c r="AZ129" s="1">
        <v>926.97573641293968</v>
      </c>
      <c r="BA129" s="1">
        <v>946.47736490133957</v>
      </c>
      <c r="BB129" s="1">
        <v>924.44449207094522</v>
      </c>
      <c r="BC129" s="2">
        <v>8.9181565948742242E-2</v>
      </c>
      <c r="BD129" s="2">
        <v>0.10665277883445198</v>
      </c>
      <c r="BE129" s="2">
        <v>9.438849084854764E-2</v>
      </c>
      <c r="BF129" s="2">
        <v>7.149564986855049E-2</v>
      </c>
      <c r="BG129" s="2">
        <v>0.10368571810536763</v>
      </c>
      <c r="BH129" s="2">
        <v>8.4970330952544637E-2</v>
      </c>
      <c r="BI129" s="2">
        <v>8.4593878877262704E-2</v>
      </c>
      <c r="BJ129" s="2">
        <v>5.7447105462779965E-2</v>
      </c>
      <c r="BK129" s="2">
        <v>8.5153852345557474E-2</v>
      </c>
      <c r="BL129" s="2">
        <v>7.4158058913035174E-2</v>
      </c>
      <c r="BM129" s="2">
        <v>7.5718189192107169E-2</v>
      </c>
      <c r="BN129" s="2">
        <v>7.3955559365675619E-2</v>
      </c>
    </row>
    <row r="130" spans="1:66" x14ac:dyDescent="0.25">
      <c r="A130" s="8">
        <v>1260</v>
      </c>
      <c r="B130" s="8" t="s">
        <v>865</v>
      </c>
      <c r="C130" s="5">
        <v>0</v>
      </c>
      <c r="D130" s="5">
        <f>+$C130*BC130</f>
        <v>0</v>
      </c>
      <c r="E130" s="5">
        <f>+$C130*BD130</f>
        <v>0</v>
      </c>
      <c r="F130" s="5">
        <f>+$C130*BE130</f>
        <v>0</v>
      </c>
      <c r="G130" s="5">
        <f>+$C130*BF130</f>
        <v>0</v>
      </c>
      <c r="H130" s="5">
        <f>+$C130*BG130</f>
        <v>0</v>
      </c>
      <c r="I130" s="5">
        <f>+$C130*BH130</f>
        <v>0</v>
      </c>
      <c r="J130" s="5">
        <f>+$C130*BI130</f>
        <v>0</v>
      </c>
      <c r="K130" s="5">
        <f>+$C130*BJ130</f>
        <v>0</v>
      </c>
      <c r="L130" s="5">
        <f>+$C130*BK130</f>
        <v>0</v>
      </c>
      <c r="M130" s="5">
        <f>+$C130*BL130</f>
        <v>0</v>
      </c>
      <c r="N130" s="5">
        <f>+$C130*BM130</f>
        <v>0</v>
      </c>
      <c r="O130" s="5">
        <f>+$C130*BN130</f>
        <v>0</v>
      </c>
      <c r="P130" s="5">
        <v>15000</v>
      </c>
      <c r="Q130" s="5">
        <f>+$P130*BC130</f>
        <v>1337.7234892311337</v>
      </c>
      <c r="R130" s="5">
        <f>+$P130*BD130</f>
        <v>1599.7916825167797</v>
      </c>
      <c r="S130" s="5">
        <f>+$P130*BE130</f>
        <v>1415.8273627282147</v>
      </c>
      <c r="T130" s="5">
        <f>+$P130*BF130</f>
        <v>1072.4347480282574</v>
      </c>
      <c r="U130" s="5">
        <f>+$P130*BG130</f>
        <v>1555.2857715805144</v>
      </c>
      <c r="V130" s="5">
        <f>+$P130*BH130</f>
        <v>1274.5549642881695</v>
      </c>
      <c r="W130" s="5">
        <f>+$P130*BI130</f>
        <v>1268.9081831589406</v>
      </c>
      <c r="X130" s="5">
        <f>+$P130*BJ130</f>
        <v>861.70658194169948</v>
      </c>
      <c r="Y130" s="5">
        <f>+$P130*BK130</f>
        <v>1277.3077851833621</v>
      </c>
      <c r="Z130" s="5">
        <f>+$P130*BL130</f>
        <v>1112.3708836955277</v>
      </c>
      <c r="AA130" s="5">
        <f>+$P130*BM130</f>
        <v>1135.7728378816075</v>
      </c>
      <c r="AB130" s="5">
        <f>+$P130*BN130</f>
        <v>1109.3333904851343</v>
      </c>
      <c r="AC130" s="5">
        <v>0</v>
      </c>
      <c r="AD130" s="5">
        <f>+$AC130*BC130</f>
        <v>0</v>
      </c>
      <c r="AE130" s="5">
        <f>+$AC130*BD130</f>
        <v>0</v>
      </c>
      <c r="AF130" s="5">
        <f>+$AC130*BE130</f>
        <v>0</v>
      </c>
      <c r="AG130" s="5">
        <f>+$AC130*BF130</f>
        <v>0</v>
      </c>
      <c r="AH130" s="5">
        <f>+$AC130*BG130</f>
        <v>0</v>
      </c>
      <c r="AI130" s="5">
        <f>+$AC130*BH130</f>
        <v>0</v>
      </c>
      <c r="AJ130" s="5">
        <f>+$AC130*BI130</f>
        <v>0</v>
      </c>
      <c r="AK130" s="5">
        <f>+$AC130*BJ130</f>
        <v>0</v>
      </c>
      <c r="AL130" s="5">
        <f>+$AC130*BK130</f>
        <v>0</v>
      </c>
      <c r="AM130" s="5">
        <f>+$AC130*BL130</f>
        <v>0</v>
      </c>
      <c r="AN130" s="5">
        <f>+$AC130*BM130</f>
        <v>0</v>
      </c>
      <c r="AO130" s="5">
        <f>+$AC130*BN130</f>
        <v>0</v>
      </c>
      <c r="AP130" s="5">
        <f>+AC130+P130+C130</f>
        <v>15000</v>
      </c>
      <c r="AQ130" s="1">
        <v>1070.1787913849068</v>
      </c>
      <c r="AR130" s="1">
        <v>1279.8333460134238</v>
      </c>
      <c r="AS130" s="1">
        <v>1132.6618901825716</v>
      </c>
      <c r="AT130" s="1">
        <v>857.94779842260584</v>
      </c>
      <c r="AU130" s="1">
        <v>1244.2286172644115</v>
      </c>
      <c r="AV130" s="1">
        <v>1019.6439714305357</v>
      </c>
      <c r="AW130" s="1">
        <v>1015.1265465271524</v>
      </c>
      <c r="AX130" s="1">
        <v>689.36526555335956</v>
      </c>
      <c r="AY130" s="1">
        <v>1021.8462281466897</v>
      </c>
      <c r="AZ130" s="1">
        <v>889.89670695642212</v>
      </c>
      <c r="BA130" s="1">
        <v>908.61827030528605</v>
      </c>
      <c r="BB130" s="1">
        <v>887.46671238810745</v>
      </c>
      <c r="BC130" s="2">
        <v>8.9181565948742242E-2</v>
      </c>
      <c r="BD130" s="2">
        <v>0.10665277883445198</v>
      </c>
      <c r="BE130" s="2">
        <v>9.438849084854764E-2</v>
      </c>
      <c r="BF130" s="2">
        <v>7.149564986855049E-2</v>
      </c>
      <c r="BG130" s="2">
        <v>0.10368571810536763</v>
      </c>
      <c r="BH130" s="2">
        <v>8.4970330952544637E-2</v>
      </c>
      <c r="BI130" s="2">
        <v>8.4593878877262704E-2</v>
      </c>
      <c r="BJ130" s="2">
        <v>5.7447105462779965E-2</v>
      </c>
      <c r="BK130" s="2">
        <v>8.5153852345557474E-2</v>
      </c>
      <c r="BL130" s="2">
        <v>7.4158058913035174E-2</v>
      </c>
      <c r="BM130" s="2">
        <v>7.5718189192107169E-2</v>
      </c>
      <c r="BN130" s="2">
        <v>7.3955559365675619E-2</v>
      </c>
    </row>
    <row r="131" spans="1:66" x14ac:dyDescent="0.25">
      <c r="A131" s="8">
        <v>3274</v>
      </c>
      <c r="B131" s="8" t="s">
        <v>864</v>
      </c>
      <c r="C131" s="5">
        <v>12000</v>
      </c>
      <c r="D131" s="5">
        <f>+$C131*BC131</f>
        <v>1070.1787913849068</v>
      </c>
      <c r="E131" s="5">
        <f>+$C131*BD131</f>
        <v>1279.8333460134238</v>
      </c>
      <c r="F131" s="5">
        <f>+$C131*BE131</f>
        <v>1132.6618901825716</v>
      </c>
      <c r="G131" s="5">
        <f>+$C131*BF131</f>
        <v>857.94779842260584</v>
      </c>
      <c r="H131" s="5">
        <f>+$C131*BG131</f>
        <v>1244.2286172644115</v>
      </c>
      <c r="I131" s="5">
        <f>+$C131*BH131</f>
        <v>1019.6439714305357</v>
      </c>
      <c r="J131" s="5">
        <f>+$C131*BI131</f>
        <v>1015.1265465271524</v>
      </c>
      <c r="K131" s="5">
        <f>+$C131*BJ131</f>
        <v>689.36526555335956</v>
      </c>
      <c r="L131" s="5">
        <f>+$C131*BK131</f>
        <v>1021.8462281466897</v>
      </c>
      <c r="M131" s="5">
        <f>+$C131*BL131</f>
        <v>889.89670695642212</v>
      </c>
      <c r="N131" s="5">
        <f>+$C131*BM131</f>
        <v>908.61827030528605</v>
      </c>
      <c r="O131" s="5">
        <f>+$C131*BN131</f>
        <v>887.46671238810745</v>
      </c>
      <c r="P131" s="5">
        <v>0</v>
      </c>
      <c r="Q131" s="5">
        <f>+$P131*BC131</f>
        <v>0</v>
      </c>
      <c r="R131" s="5">
        <f>+$P131*BD131</f>
        <v>0</v>
      </c>
      <c r="S131" s="5">
        <f>+$P131*BE131</f>
        <v>0</v>
      </c>
      <c r="T131" s="5">
        <f>+$P131*BF131</f>
        <v>0</v>
      </c>
      <c r="U131" s="5">
        <f>+$P131*BG131</f>
        <v>0</v>
      </c>
      <c r="V131" s="5">
        <f>+$P131*BH131</f>
        <v>0</v>
      </c>
      <c r="W131" s="5">
        <f>+$P131*BI131</f>
        <v>0</v>
      </c>
      <c r="X131" s="5">
        <f>+$P131*BJ131</f>
        <v>0</v>
      </c>
      <c r="Y131" s="5">
        <f>+$P131*BK131</f>
        <v>0</v>
      </c>
      <c r="Z131" s="5">
        <f>+$P131*BL131</f>
        <v>0</v>
      </c>
      <c r="AA131" s="5">
        <f>+$P131*BM131</f>
        <v>0</v>
      </c>
      <c r="AB131" s="5">
        <f>+$P131*BN131</f>
        <v>0</v>
      </c>
      <c r="AC131" s="5">
        <v>0</v>
      </c>
      <c r="AD131" s="5">
        <f>+$AC131*BC131</f>
        <v>0</v>
      </c>
      <c r="AE131" s="5">
        <f>+$AC131*BD131</f>
        <v>0</v>
      </c>
      <c r="AF131" s="5">
        <f>+$AC131*BE131</f>
        <v>0</v>
      </c>
      <c r="AG131" s="5">
        <f>+$AC131*BF131</f>
        <v>0</v>
      </c>
      <c r="AH131" s="5">
        <f>+$AC131*BG131</f>
        <v>0</v>
      </c>
      <c r="AI131" s="5">
        <f>+$AC131*BH131</f>
        <v>0</v>
      </c>
      <c r="AJ131" s="5">
        <f>+$AC131*BI131</f>
        <v>0</v>
      </c>
      <c r="AK131" s="5">
        <f>+$AC131*BJ131</f>
        <v>0</v>
      </c>
      <c r="AL131" s="5">
        <f>+$AC131*BK131</f>
        <v>0</v>
      </c>
      <c r="AM131" s="5">
        <f>+$AC131*BL131</f>
        <v>0</v>
      </c>
      <c r="AN131" s="5">
        <f>+$AC131*BM131</f>
        <v>0</v>
      </c>
      <c r="AO131" s="5">
        <f>+$AC131*BN131</f>
        <v>0</v>
      </c>
      <c r="AP131" s="5">
        <f>+AC131+P131+C131</f>
        <v>12000</v>
      </c>
      <c r="AQ131" s="1">
        <v>1070.1787913849068</v>
      </c>
      <c r="AR131" s="1">
        <v>1279.8333460134238</v>
      </c>
      <c r="AS131" s="1">
        <v>1132.6618901825716</v>
      </c>
      <c r="AT131" s="1">
        <v>857.94779842260584</v>
      </c>
      <c r="AU131" s="1">
        <v>1244.2286172644115</v>
      </c>
      <c r="AV131" s="1">
        <v>1019.6439714305357</v>
      </c>
      <c r="AW131" s="1">
        <v>1015.1265465271524</v>
      </c>
      <c r="AX131" s="1">
        <v>689.36526555335956</v>
      </c>
      <c r="AY131" s="1">
        <v>1021.8462281466897</v>
      </c>
      <c r="AZ131" s="1">
        <v>889.89670695642212</v>
      </c>
      <c r="BA131" s="1">
        <v>908.61827030528605</v>
      </c>
      <c r="BB131" s="1">
        <v>887.46671238810745</v>
      </c>
      <c r="BC131" s="2">
        <v>8.9181565948742242E-2</v>
      </c>
      <c r="BD131" s="2">
        <v>0.10665277883445198</v>
      </c>
      <c r="BE131" s="2">
        <v>9.438849084854764E-2</v>
      </c>
      <c r="BF131" s="2">
        <v>7.149564986855049E-2</v>
      </c>
      <c r="BG131" s="2">
        <v>0.10368571810536763</v>
      </c>
      <c r="BH131" s="2">
        <v>8.4970330952544637E-2</v>
      </c>
      <c r="BI131" s="2">
        <v>8.4593878877262704E-2</v>
      </c>
      <c r="BJ131" s="2">
        <v>5.7447105462779965E-2</v>
      </c>
      <c r="BK131" s="2">
        <v>8.5153852345557474E-2</v>
      </c>
      <c r="BL131" s="2">
        <v>7.4158058913035174E-2</v>
      </c>
      <c r="BM131" s="2">
        <v>7.5718189192107169E-2</v>
      </c>
      <c r="BN131" s="2">
        <v>7.3955559365675619E-2</v>
      </c>
    </row>
    <row r="132" spans="1:66" x14ac:dyDescent="0.25">
      <c r="A132" s="8">
        <v>3570</v>
      </c>
      <c r="B132" s="8" t="s">
        <v>863</v>
      </c>
      <c r="C132" s="5">
        <v>0</v>
      </c>
      <c r="D132" s="5">
        <f>+$C132*BC132</f>
        <v>0</v>
      </c>
      <c r="E132" s="5">
        <f>+$C132*BD132</f>
        <v>0</v>
      </c>
      <c r="F132" s="5">
        <f>+$C132*BE132</f>
        <v>0</v>
      </c>
      <c r="G132" s="5">
        <f>+$C132*BF132</f>
        <v>0</v>
      </c>
      <c r="H132" s="5">
        <f>+$C132*BG132</f>
        <v>0</v>
      </c>
      <c r="I132" s="5">
        <f>+$C132*BH132</f>
        <v>0</v>
      </c>
      <c r="J132" s="5">
        <f>+$C132*BI132</f>
        <v>0</v>
      </c>
      <c r="K132" s="5">
        <f>+$C132*BJ132</f>
        <v>0</v>
      </c>
      <c r="L132" s="5">
        <f>+$C132*BK132</f>
        <v>0</v>
      </c>
      <c r="M132" s="5">
        <f>+$C132*BL132</f>
        <v>0</v>
      </c>
      <c r="N132" s="5">
        <f>+$C132*BM132</f>
        <v>0</v>
      </c>
      <c r="O132" s="5">
        <f>+$C132*BN132</f>
        <v>0</v>
      </c>
      <c r="P132" s="5">
        <v>25000</v>
      </c>
      <c r="Q132" s="5">
        <f>+$P132*BC132</f>
        <v>2229.5391487185561</v>
      </c>
      <c r="R132" s="5">
        <f>+$P132*BD132</f>
        <v>2666.3194708612996</v>
      </c>
      <c r="S132" s="5">
        <f>+$P132*BE132</f>
        <v>2359.7122712136911</v>
      </c>
      <c r="T132" s="5">
        <f>+$P132*BF132</f>
        <v>1787.3912467137623</v>
      </c>
      <c r="U132" s="5">
        <f>+$P132*BG132</f>
        <v>2592.1429526341908</v>
      </c>
      <c r="V132" s="5">
        <f>+$P132*BH132</f>
        <v>2124.2582738136161</v>
      </c>
      <c r="W132" s="5">
        <f>+$P132*BI132</f>
        <v>2114.8469719315676</v>
      </c>
      <c r="X132" s="5">
        <f>+$P132*BJ132</f>
        <v>1436.1776365694991</v>
      </c>
      <c r="Y132" s="5">
        <f>+$P132*BK132</f>
        <v>2128.846308638937</v>
      </c>
      <c r="Z132" s="5">
        <f>+$P132*BL132</f>
        <v>1853.9514728258794</v>
      </c>
      <c r="AA132" s="5">
        <f>+$P132*BM132</f>
        <v>1892.9547298026791</v>
      </c>
      <c r="AB132" s="5">
        <f>+$P132*BN132</f>
        <v>1848.8889841418904</v>
      </c>
      <c r="AC132" s="5">
        <v>0</v>
      </c>
      <c r="AD132" s="5">
        <f>+$AC132*BC132</f>
        <v>0</v>
      </c>
      <c r="AE132" s="5">
        <f>+$AC132*BD132</f>
        <v>0</v>
      </c>
      <c r="AF132" s="5">
        <f>+$AC132*BE132</f>
        <v>0</v>
      </c>
      <c r="AG132" s="5">
        <f>+$AC132*BF132</f>
        <v>0</v>
      </c>
      <c r="AH132" s="5">
        <f>+$AC132*BG132</f>
        <v>0</v>
      </c>
      <c r="AI132" s="5">
        <f>+$AC132*BH132</f>
        <v>0</v>
      </c>
      <c r="AJ132" s="5">
        <f>+$AC132*BI132</f>
        <v>0</v>
      </c>
      <c r="AK132" s="5">
        <f>+$AC132*BJ132</f>
        <v>0</v>
      </c>
      <c r="AL132" s="5">
        <f>+$AC132*BK132</f>
        <v>0</v>
      </c>
      <c r="AM132" s="5">
        <f>+$AC132*BL132</f>
        <v>0</v>
      </c>
      <c r="AN132" s="5">
        <f>+$AC132*BM132</f>
        <v>0</v>
      </c>
      <c r="AO132" s="5">
        <f>+$AC132*BN132</f>
        <v>0</v>
      </c>
      <c r="AP132" s="5">
        <f>+AC132+P132+C132</f>
        <v>25000</v>
      </c>
      <c r="AQ132" s="1">
        <v>1070.1787913849068</v>
      </c>
      <c r="AR132" s="1">
        <v>1279.8333460134238</v>
      </c>
      <c r="AS132" s="1">
        <v>1132.6618901825716</v>
      </c>
      <c r="AT132" s="1">
        <v>857.94779842260584</v>
      </c>
      <c r="AU132" s="1">
        <v>1244.2286172644115</v>
      </c>
      <c r="AV132" s="1">
        <v>1019.6439714305357</v>
      </c>
      <c r="AW132" s="1">
        <v>1015.1265465271524</v>
      </c>
      <c r="AX132" s="1">
        <v>689.36526555335956</v>
      </c>
      <c r="AY132" s="1">
        <v>1021.8462281466897</v>
      </c>
      <c r="AZ132" s="1">
        <v>889.89670695642212</v>
      </c>
      <c r="BA132" s="1">
        <v>908.61827030528605</v>
      </c>
      <c r="BB132" s="1">
        <v>887.46671238810745</v>
      </c>
      <c r="BC132" s="2">
        <v>8.9181565948742242E-2</v>
      </c>
      <c r="BD132" s="2">
        <v>0.10665277883445198</v>
      </c>
      <c r="BE132" s="2">
        <v>9.438849084854764E-2</v>
      </c>
      <c r="BF132" s="2">
        <v>7.149564986855049E-2</v>
      </c>
      <c r="BG132" s="2">
        <v>0.10368571810536763</v>
      </c>
      <c r="BH132" s="2">
        <v>8.4970330952544637E-2</v>
      </c>
      <c r="BI132" s="2">
        <v>8.4593878877262704E-2</v>
      </c>
      <c r="BJ132" s="2">
        <v>5.7447105462779965E-2</v>
      </c>
      <c r="BK132" s="2">
        <v>8.5153852345557474E-2</v>
      </c>
      <c r="BL132" s="2">
        <v>7.4158058913035174E-2</v>
      </c>
      <c r="BM132" s="2">
        <v>7.5718189192107169E-2</v>
      </c>
      <c r="BN132" s="2">
        <v>7.3955559365675619E-2</v>
      </c>
    </row>
    <row r="133" spans="1:66" x14ac:dyDescent="0.25">
      <c r="A133" s="8">
        <v>3680</v>
      </c>
      <c r="B133" s="8" t="s">
        <v>862</v>
      </c>
      <c r="C133" s="5">
        <v>0</v>
      </c>
      <c r="D133" s="5">
        <f>+$C133*BC133</f>
        <v>0</v>
      </c>
      <c r="E133" s="5">
        <f>+$C133*BD133</f>
        <v>0</v>
      </c>
      <c r="F133" s="5">
        <f>+$C133*BE133</f>
        <v>0</v>
      </c>
      <c r="G133" s="5">
        <f>+$C133*BF133</f>
        <v>0</v>
      </c>
      <c r="H133" s="5">
        <f>+$C133*BG133</f>
        <v>0</v>
      </c>
      <c r="I133" s="5">
        <f>+$C133*BH133</f>
        <v>0</v>
      </c>
      <c r="J133" s="5">
        <f>+$C133*BI133</f>
        <v>0</v>
      </c>
      <c r="K133" s="5">
        <f>+$C133*BJ133</f>
        <v>0</v>
      </c>
      <c r="L133" s="5">
        <f>+$C133*BK133</f>
        <v>0</v>
      </c>
      <c r="M133" s="5">
        <f>+$C133*BL133</f>
        <v>0</v>
      </c>
      <c r="N133" s="5">
        <f>+$C133*BM133</f>
        <v>0</v>
      </c>
      <c r="O133" s="5">
        <f>+$C133*BN133</f>
        <v>0</v>
      </c>
      <c r="P133" s="5">
        <v>0</v>
      </c>
      <c r="Q133" s="5">
        <f>+$P133*BC133</f>
        <v>0</v>
      </c>
      <c r="R133" s="5">
        <f>+$P133*BD133</f>
        <v>0</v>
      </c>
      <c r="S133" s="5">
        <f>+$P133*BE133</f>
        <v>0</v>
      </c>
      <c r="T133" s="5">
        <f>+$P133*BF133</f>
        <v>0</v>
      </c>
      <c r="U133" s="5">
        <f>+$P133*BG133</f>
        <v>0</v>
      </c>
      <c r="V133" s="5">
        <f>+$P133*BH133</f>
        <v>0</v>
      </c>
      <c r="W133" s="5">
        <f>+$P133*BI133</f>
        <v>0</v>
      </c>
      <c r="X133" s="5">
        <f>+$P133*BJ133</f>
        <v>0</v>
      </c>
      <c r="Y133" s="5">
        <f>+$P133*BK133</f>
        <v>0</v>
      </c>
      <c r="Z133" s="5">
        <f>+$P133*BL133</f>
        <v>0</v>
      </c>
      <c r="AA133" s="5">
        <f>+$P133*BM133</f>
        <v>0</v>
      </c>
      <c r="AB133" s="5">
        <f>+$P133*BN133</f>
        <v>0</v>
      </c>
      <c r="AC133" s="5">
        <v>0</v>
      </c>
      <c r="AD133" s="5">
        <f>+$AC133*BC133</f>
        <v>0</v>
      </c>
      <c r="AE133" s="5">
        <f>+$AC133*BD133</f>
        <v>0</v>
      </c>
      <c r="AF133" s="5">
        <f>+$AC133*BE133</f>
        <v>0</v>
      </c>
      <c r="AG133" s="5">
        <f>+$AC133*BF133</f>
        <v>0</v>
      </c>
      <c r="AH133" s="5">
        <f>+$AC133*BG133</f>
        <v>0</v>
      </c>
      <c r="AI133" s="5">
        <f>+$AC133*BH133</f>
        <v>0</v>
      </c>
      <c r="AJ133" s="5">
        <f>+$AC133*BI133</f>
        <v>0</v>
      </c>
      <c r="AK133" s="5">
        <f>+$AC133*BJ133</f>
        <v>0</v>
      </c>
      <c r="AL133" s="5">
        <f>+$AC133*BK133</f>
        <v>0</v>
      </c>
      <c r="AM133" s="5">
        <f>+$AC133*BL133</f>
        <v>0</v>
      </c>
      <c r="AN133" s="5">
        <f>+$AC133*BM133</f>
        <v>0</v>
      </c>
      <c r="AO133" s="5">
        <f>+$AC133*BN133</f>
        <v>0</v>
      </c>
      <c r="AP133" s="5">
        <f>+AC133+P133+C133</f>
        <v>0</v>
      </c>
      <c r="AQ133" s="1">
        <v>1070.1787913849068</v>
      </c>
      <c r="AR133" s="1">
        <v>1279.8333460134238</v>
      </c>
      <c r="AS133" s="1">
        <v>1132.6618901825716</v>
      </c>
      <c r="AT133" s="1">
        <v>857.94779842260584</v>
      </c>
      <c r="AU133" s="1">
        <v>1244.2286172644115</v>
      </c>
      <c r="AV133" s="1">
        <v>1019.6439714305357</v>
      </c>
      <c r="AW133" s="1">
        <v>1015.1265465271524</v>
      </c>
      <c r="AX133" s="1">
        <v>689.36526555335956</v>
      </c>
      <c r="AY133" s="1">
        <v>1021.8462281466897</v>
      </c>
      <c r="AZ133" s="1">
        <v>889.89670695642212</v>
      </c>
      <c r="BA133" s="1">
        <v>908.61827030528605</v>
      </c>
      <c r="BB133" s="1">
        <v>887.46671238810745</v>
      </c>
      <c r="BC133" s="2">
        <v>8.9181565948742242E-2</v>
      </c>
      <c r="BD133" s="2">
        <v>0.10665277883445198</v>
      </c>
      <c r="BE133" s="2">
        <v>9.438849084854764E-2</v>
      </c>
      <c r="BF133" s="2">
        <v>7.149564986855049E-2</v>
      </c>
      <c r="BG133" s="2">
        <v>0.10368571810536763</v>
      </c>
      <c r="BH133" s="2">
        <v>8.4970330952544637E-2</v>
      </c>
      <c r="BI133" s="2">
        <v>8.4593878877262704E-2</v>
      </c>
      <c r="BJ133" s="2">
        <v>5.7447105462779965E-2</v>
      </c>
      <c r="BK133" s="2">
        <v>8.5153852345557474E-2</v>
      </c>
      <c r="BL133" s="2">
        <v>7.4158058913035174E-2</v>
      </c>
      <c r="BM133" s="2">
        <v>7.5718189192107169E-2</v>
      </c>
      <c r="BN133" s="2">
        <v>7.3955559365675619E-2</v>
      </c>
    </row>
    <row r="134" spans="1:66" x14ac:dyDescent="0.25">
      <c r="A134" s="8">
        <v>4174</v>
      </c>
      <c r="B134" s="8" t="s">
        <v>861</v>
      </c>
      <c r="C134" s="5">
        <v>0</v>
      </c>
      <c r="D134" s="5">
        <f>+$C134*BC134</f>
        <v>0</v>
      </c>
      <c r="E134" s="5">
        <f>+$C134*BD134</f>
        <v>0</v>
      </c>
      <c r="F134" s="5">
        <f>+$C134*BE134</f>
        <v>0</v>
      </c>
      <c r="G134" s="5">
        <f>+$C134*BF134</f>
        <v>0</v>
      </c>
      <c r="H134" s="5">
        <f>+$C134*BG134</f>
        <v>0</v>
      </c>
      <c r="I134" s="5">
        <f>+$C134*BH134</f>
        <v>0</v>
      </c>
      <c r="J134" s="5">
        <f>+$C134*BI134</f>
        <v>0</v>
      </c>
      <c r="K134" s="5">
        <f>+$C134*BJ134</f>
        <v>0</v>
      </c>
      <c r="L134" s="5">
        <f>+$C134*BK134</f>
        <v>0</v>
      </c>
      <c r="M134" s="5">
        <f>+$C134*BL134</f>
        <v>0</v>
      </c>
      <c r="N134" s="5">
        <f>+$C134*BM134</f>
        <v>0</v>
      </c>
      <c r="O134" s="5">
        <f>+$C134*BN134</f>
        <v>0</v>
      </c>
      <c r="P134" s="5">
        <v>2500</v>
      </c>
      <c r="Q134" s="5">
        <f>+$P134*BC134</f>
        <v>222.9539148718556</v>
      </c>
      <c r="R134" s="5">
        <f>+$P134*BD134</f>
        <v>266.63194708612997</v>
      </c>
      <c r="S134" s="5">
        <f>+$P134*BE134</f>
        <v>235.97122712136911</v>
      </c>
      <c r="T134" s="5">
        <f>+$P134*BF134</f>
        <v>178.73912467137623</v>
      </c>
      <c r="U134" s="5">
        <f>+$P134*BG134</f>
        <v>259.21429526341905</v>
      </c>
      <c r="V134" s="5">
        <f>+$P134*BH134</f>
        <v>212.42582738136159</v>
      </c>
      <c r="W134" s="5">
        <f>+$P134*BI134</f>
        <v>211.48469719315676</v>
      </c>
      <c r="X134" s="5">
        <f>+$P134*BJ134</f>
        <v>143.6177636569499</v>
      </c>
      <c r="Y134" s="5">
        <f>+$P134*BK134</f>
        <v>212.88463086389368</v>
      </c>
      <c r="Z134" s="5">
        <f>+$P134*BL134</f>
        <v>185.39514728258794</v>
      </c>
      <c r="AA134" s="5">
        <f>+$P134*BM134</f>
        <v>189.29547298026793</v>
      </c>
      <c r="AB134" s="5">
        <f>+$P134*BN134</f>
        <v>184.88889841418904</v>
      </c>
      <c r="AC134" s="5">
        <v>0</v>
      </c>
      <c r="AD134" s="5">
        <f>+$AC134*BC134</f>
        <v>0</v>
      </c>
      <c r="AE134" s="5">
        <f>+$AC134*BD134</f>
        <v>0</v>
      </c>
      <c r="AF134" s="5">
        <f>+$AC134*BE134</f>
        <v>0</v>
      </c>
      <c r="AG134" s="5">
        <f>+$AC134*BF134</f>
        <v>0</v>
      </c>
      <c r="AH134" s="5">
        <f>+$AC134*BG134</f>
        <v>0</v>
      </c>
      <c r="AI134" s="5">
        <f>+$AC134*BH134</f>
        <v>0</v>
      </c>
      <c r="AJ134" s="5">
        <f>+$AC134*BI134</f>
        <v>0</v>
      </c>
      <c r="AK134" s="5">
        <f>+$AC134*BJ134</f>
        <v>0</v>
      </c>
      <c r="AL134" s="5">
        <f>+$AC134*BK134</f>
        <v>0</v>
      </c>
      <c r="AM134" s="5">
        <f>+$AC134*BL134</f>
        <v>0</v>
      </c>
      <c r="AN134" s="5">
        <f>+$AC134*BM134</f>
        <v>0</v>
      </c>
      <c r="AO134" s="5">
        <f>+$AC134*BN134</f>
        <v>0</v>
      </c>
      <c r="AP134" s="5">
        <f>+AC134+P134+C134</f>
        <v>2500</v>
      </c>
      <c r="AQ134" s="1">
        <v>1070.1787913849068</v>
      </c>
      <c r="AR134" s="1">
        <v>1279.8333460134238</v>
      </c>
      <c r="AS134" s="1">
        <v>1132.6618901825716</v>
      </c>
      <c r="AT134" s="1">
        <v>857.94779842260584</v>
      </c>
      <c r="AU134" s="1">
        <v>1244.2286172644115</v>
      </c>
      <c r="AV134" s="1">
        <v>1019.6439714305357</v>
      </c>
      <c r="AW134" s="1">
        <v>1015.1265465271524</v>
      </c>
      <c r="AX134" s="1">
        <v>689.36526555335956</v>
      </c>
      <c r="AY134" s="1">
        <v>1021.8462281466897</v>
      </c>
      <c r="AZ134" s="1">
        <v>889.89670695642212</v>
      </c>
      <c r="BA134" s="1">
        <v>908.61827030528605</v>
      </c>
      <c r="BB134" s="1">
        <v>887.46671238810745</v>
      </c>
      <c r="BC134" s="2">
        <v>8.9181565948742242E-2</v>
      </c>
      <c r="BD134" s="2">
        <v>0.10665277883445198</v>
      </c>
      <c r="BE134" s="2">
        <v>9.438849084854764E-2</v>
      </c>
      <c r="BF134" s="2">
        <v>7.149564986855049E-2</v>
      </c>
      <c r="BG134" s="2">
        <v>0.10368571810536763</v>
      </c>
      <c r="BH134" s="2">
        <v>8.4970330952544637E-2</v>
      </c>
      <c r="BI134" s="2">
        <v>8.4593878877262704E-2</v>
      </c>
      <c r="BJ134" s="2">
        <v>5.7447105462779965E-2</v>
      </c>
      <c r="BK134" s="2">
        <v>8.5153852345557474E-2</v>
      </c>
      <c r="BL134" s="2">
        <v>7.4158058913035174E-2</v>
      </c>
      <c r="BM134" s="2">
        <v>7.5718189192107169E-2</v>
      </c>
      <c r="BN134" s="2">
        <v>7.3955559365675619E-2</v>
      </c>
    </row>
    <row r="135" spans="1:66" x14ac:dyDescent="0.25">
      <c r="A135" s="8">
        <v>4331</v>
      </c>
      <c r="B135" s="8" t="s">
        <v>860</v>
      </c>
      <c r="C135" s="5">
        <v>0</v>
      </c>
      <c r="D135" s="5">
        <f>+$C135*BC135</f>
        <v>0</v>
      </c>
      <c r="E135" s="5">
        <f>+$C135*BD135</f>
        <v>0</v>
      </c>
      <c r="F135" s="5">
        <f>+$C135*BE135</f>
        <v>0</v>
      </c>
      <c r="G135" s="5">
        <f>+$C135*BF135</f>
        <v>0</v>
      </c>
      <c r="H135" s="5">
        <f>+$C135*BG135</f>
        <v>0</v>
      </c>
      <c r="I135" s="5">
        <f>+$C135*BH135</f>
        <v>0</v>
      </c>
      <c r="J135" s="5">
        <f>+$C135*BI135</f>
        <v>0</v>
      </c>
      <c r="K135" s="5">
        <f>+$C135*BJ135</f>
        <v>0</v>
      </c>
      <c r="L135" s="5">
        <f>+$C135*BK135</f>
        <v>0</v>
      </c>
      <c r="M135" s="5">
        <f>+$C135*BL135</f>
        <v>0</v>
      </c>
      <c r="N135" s="5">
        <f>+$C135*BM135</f>
        <v>0</v>
      </c>
      <c r="O135" s="5">
        <f>+$C135*BN135</f>
        <v>0</v>
      </c>
      <c r="P135" s="5">
        <v>7000</v>
      </c>
      <c r="Q135" s="5">
        <f>+$P135*BC135</f>
        <v>624.27096164119564</v>
      </c>
      <c r="R135" s="5">
        <f>+$P135*BD135</f>
        <v>746.56945184116387</v>
      </c>
      <c r="S135" s="5">
        <f>+$P135*BE135</f>
        <v>660.71943593983349</v>
      </c>
      <c r="T135" s="5">
        <f>+$P135*BF135</f>
        <v>500.46954907985344</v>
      </c>
      <c r="U135" s="5">
        <f>+$P135*BG135</f>
        <v>725.80002673757338</v>
      </c>
      <c r="V135" s="5">
        <f>+$P135*BH135</f>
        <v>594.79231666781243</v>
      </c>
      <c r="W135" s="5">
        <f>+$P135*BI135</f>
        <v>592.15715214083889</v>
      </c>
      <c r="X135" s="5">
        <f>+$P135*BJ135</f>
        <v>402.12973823945975</v>
      </c>
      <c r="Y135" s="5">
        <f>+$P135*BK135</f>
        <v>596.07696641890232</v>
      </c>
      <c r="Z135" s="5">
        <f>+$P135*BL135</f>
        <v>519.10641239124618</v>
      </c>
      <c r="AA135" s="5">
        <f>+$P135*BM135</f>
        <v>530.02732434475013</v>
      </c>
      <c r="AB135" s="5">
        <f>+$P135*BN135</f>
        <v>517.68891555972937</v>
      </c>
      <c r="AC135" s="5">
        <v>0</v>
      </c>
      <c r="AD135" s="5">
        <f>+$AC135*BC135</f>
        <v>0</v>
      </c>
      <c r="AE135" s="5">
        <f>+$AC135*BD135</f>
        <v>0</v>
      </c>
      <c r="AF135" s="5">
        <f>+$AC135*BE135</f>
        <v>0</v>
      </c>
      <c r="AG135" s="5">
        <f>+$AC135*BF135</f>
        <v>0</v>
      </c>
      <c r="AH135" s="5">
        <f>+$AC135*BG135</f>
        <v>0</v>
      </c>
      <c r="AI135" s="5">
        <f>+$AC135*BH135</f>
        <v>0</v>
      </c>
      <c r="AJ135" s="5">
        <f>+$AC135*BI135</f>
        <v>0</v>
      </c>
      <c r="AK135" s="5">
        <f>+$AC135*BJ135</f>
        <v>0</v>
      </c>
      <c r="AL135" s="5">
        <f>+$AC135*BK135</f>
        <v>0</v>
      </c>
      <c r="AM135" s="5">
        <f>+$AC135*BL135</f>
        <v>0</v>
      </c>
      <c r="AN135" s="5">
        <f>+$AC135*BM135</f>
        <v>0</v>
      </c>
      <c r="AO135" s="5">
        <f>+$AC135*BN135</f>
        <v>0</v>
      </c>
      <c r="AP135" s="5">
        <f>+AC135+P135+C135</f>
        <v>7000</v>
      </c>
      <c r="AQ135" s="1">
        <v>1070.1787913849068</v>
      </c>
      <c r="AR135" s="1">
        <v>1279.8333460134238</v>
      </c>
      <c r="AS135" s="1">
        <v>1132.6618901825716</v>
      </c>
      <c r="AT135" s="1">
        <v>857.94779842260584</v>
      </c>
      <c r="AU135" s="1">
        <v>1244.2286172644115</v>
      </c>
      <c r="AV135" s="1">
        <v>1019.6439714305357</v>
      </c>
      <c r="AW135" s="1">
        <v>1015.1265465271524</v>
      </c>
      <c r="AX135" s="1">
        <v>689.36526555335956</v>
      </c>
      <c r="AY135" s="1">
        <v>1021.8462281466897</v>
      </c>
      <c r="AZ135" s="1">
        <v>889.89670695642212</v>
      </c>
      <c r="BA135" s="1">
        <v>908.61827030528605</v>
      </c>
      <c r="BB135" s="1">
        <v>887.46671238810745</v>
      </c>
      <c r="BC135" s="2">
        <v>8.9181565948742242E-2</v>
      </c>
      <c r="BD135" s="2">
        <v>0.10665277883445198</v>
      </c>
      <c r="BE135" s="2">
        <v>9.438849084854764E-2</v>
      </c>
      <c r="BF135" s="2">
        <v>7.149564986855049E-2</v>
      </c>
      <c r="BG135" s="2">
        <v>0.10368571810536763</v>
      </c>
      <c r="BH135" s="2">
        <v>8.4970330952544637E-2</v>
      </c>
      <c r="BI135" s="2">
        <v>8.4593878877262704E-2</v>
      </c>
      <c r="BJ135" s="2">
        <v>5.7447105462779965E-2</v>
      </c>
      <c r="BK135" s="2">
        <v>8.5153852345557474E-2</v>
      </c>
      <c r="BL135" s="2">
        <v>7.4158058913035174E-2</v>
      </c>
      <c r="BM135" s="2">
        <v>7.5718189192107169E-2</v>
      </c>
      <c r="BN135" s="2">
        <v>7.3955559365675619E-2</v>
      </c>
    </row>
    <row r="136" spans="1:66" x14ac:dyDescent="0.25">
      <c r="A136" s="8">
        <v>4395</v>
      </c>
      <c r="B136" s="8" t="s">
        <v>859</v>
      </c>
      <c r="C136" s="5">
        <v>0</v>
      </c>
      <c r="D136" s="5">
        <f>+$C136*BC136</f>
        <v>0</v>
      </c>
      <c r="E136" s="5">
        <f>+$C136*BD136</f>
        <v>0</v>
      </c>
      <c r="F136" s="5">
        <f>+$C136*BE136</f>
        <v>0</v>
      </c>
      <c r="G136" s="5">
        <f>+$C136*BF136</f>
        <v>0</v>
      </c>
      <c r="H136" s="5">
        <f>+$C136*BG136</f>
        <v>0</v>
      </c>
      <c r="I136" s="5">
        <f>+$C136*BH136</f>
        <v>0</v>
      </c>
      <c r="J136" s="5">
        <f>+$C136*BI136</f>
        <v>0</v>
      </c>
      <c r="K136" s="5">
        <f>+$C136*BJ136</f>
        <v>0</v>
      </c>
      <c r="L136" s="5">
        <f>+$C136*BK136</f>
        <v>0</v>
      </c>
      <c r="M136" s="5">
        <f>+$C136*BL136</f>
        <v>0</v>
      </c>
      <c r="N136" s="5">
        <f>+$C136*BM136</f>
        <v>0</v>
      </c>
      <c r="O136" s="5">
        <f>+$C136*BN136</f>
        <v>0</v>
      </c>
      <c r="P136" s="5">
        <v>18000</v>
      </c>
      <c r="Q136" s="5">
        <f>+$P136*BC136</f>
        <v>1605.2681870773604</v>
      </c>
      <c r="R136" s="5">
        <f>+$P136*BD136</f>
        <v>1919.7500190201356</v>
      </c>
      <c r="S136" s="5">
        <f>+$P136*BE136</f>
        <v>1698.9928352738575</v>
      </c>
      <c r="T136" s="5">
        <f>+$P136*BF136</f>
        <v>1286.9216976339087</v>
      </c>
      <c r="U136" s="5">
        <f>+$P136*BG136</f>
        <v>1866.3429258966173</v>
      </c>
      <c r="V136" s="5">
        <f>+$P136*BH136</f>
        <v>1529.4659571458035</v>
      </c>
      <c r="W136" s="5">
        <f>+$P136*BI136</f>
        <v>1522.6898197907287</v>
      </c>
      <c r="X136" s="5">
        <f>+$P136*BJ136</f>
        <v>1034.0478983300393</v>
      </c>
      <c r="Y136" s="5">
        <f>+$P136*BK136</f>
        <v>1532.7693422200346</v>
      </c>
      <c r="Z136" s="5">
        <f>+$P136*BL136</f>
        <v>1334.8450604346331</v>
      </c>
      <c r="AA136" s="5">
        <f>+$P136*BM136</f>
        <v>1362.9274054579291</v>
      </c>
      <c r="AB136" s="5">
        <f>+$P136*BN136</f>
        <v>1331.2000685821611</v>
      </c>
      <c r="AC136" s="5">
        <v>0</v>
      </c>
      <c r="AD136" s="5">
        <f>+$AC136*BC136</f>
        <v>0</v>
      </c>
      <c r="AE136" s="5">
        <f>+$AC136*BD136</f>
        <v>0</v>
      </c>
      <c r="AF136" s="5">
        <f>+$AC136*BE136</f>
        <v>0</v>
      </c>
      <c r="AG136" s="5">
        <f>+$AC136*BF136</f>
        <v>0</v>
      </c>
      <c r="AH136" s="5">
        <f>+$AC136*BG136</f>
        <v>0</v>
      </c>
      <c r="AI136" s="5">
        <f>+$AC136*BH136</f>
        <v>0</v>
      </c>
      <c r="AJ136" s="5">
        <f>+$AC136*BI136</f>
        <v>0</v>
      </c>
      <c r="AK136" s="5">
        <f>+$AC136*BJ136</f>
        <v>0</v>
      </c>
      <c r="AL136" s="5">
        <f>+$AC136*BK136</f>
        <v>0</v>
      </c>
      <c r="AM136" s="5">
        <f>+$AC136*BL136</f>
        <v>0</v>
      </c>
      <c r="AN136" s="5">
        <f>+$AC136*BM136</f>
        <v>0</v>
      </c>
      <c r="AO136" s="5">
        <f>+$AC136*BN136</f>
        <v>0</v>
      </c>
      <c r="AP136" s="5">
        <f>+AC136+P136+C136</f>
        <v>18000</v>
      </c>
      <c r="AQ136" s="1">
        <v>1070.1787913849068</v>
      </c>
      <c r="AR136" s="1">
        <v>1279.8333460134238</v>
      </c>
      <c r="AS136" s="1">
        <v>1132.6618901825716</v>
      </c>
      <c r="AT136" s="1">
        <v>857.94779842260584</v>
      </c>
      <c r="AU136" s="1">
        <v>1244.2286172644115</v>
      </c>
      <c r="AV136" s="1">
        <v>1019.6439714305357</v>
      </c>
      <c r="AW136" s="1">
        <v>1015.1265465271524</v>
      </c>
      <c r="AX136" s="1">
        <v>689.36526555335956</v>
      </c>
      <c r="AY136" s="1">
        <v>1021.8462281466897</v>
      </c>
      <c r="AZ136" s="1">
        <v>889.89670695642212</v>
      </c>
      <c r="BA136" s="1">
        <v>908.61827030528605</v>
      </c>
      <c r="BB136" s="1">
        <v>887.46671238810745</v>
      </c>
      <c r="BC136" s="2">
        <v>8.9181565948742242E-2</v>
      </c>
      <c r="BD136" s="2">
        <v>0.10665277883445198</v>
      </c>
      <c r="BE136" s="2">
        <v>9.438849084854764E-2</v>
      </c>
      <c r="BF136" s="2">
        <v>7.149564986855049E-2</v>
      </c>
      <c r="BG136" s="2">
        <v>0.10368571810536763</v>
      </c>
      <c r="BH136" s="2">
        <v>8.4970330952544637E-2</v>
      </c>
      <c r="BI136" s="2">
        <v>8.4593878877262704E-2</v>
      </c>
      <c r="BJ136" s="2">
        <v>5.7447105462779965E-2</v>
      </c>
      <c r="BK136" s="2">
        <v>8.5153852345557474E-2</v>
      </c>
      <c r="BL136" s="2">
        <v>7.4158058913035174E-2</v>
      </c>
      <c r="BM136" s="2">
        <v>7.5718189192107169E-2</v>
      </c>
      <c r="BN136" s="2">
        <v>7.3955559365675619E-2</v>
      </c>
    </row>
    <row r="137" spans="1:66" x14ac:dyDescent="0.25">
      <c r="A137" s="8">
        <v>6549</v>
      </c>
      <c r="B137" s="8" t="s">
        <v>858</v>
      </c>
      <c r="C137" s="5">
        <v>0</v>
      </c>
      <c r="D137" s="5">
        <f>+$C137*BC137</f>
        <v>0</v>
      </c>
      <c r="E137" s="5">
        <f>+$C137*BD137</f>
        <v>0</v>
      </c>
      <c r="F137" s="5">
        <f>+$C137*BE137</f>
        <v>0</v>
      </c>
      <c r="G137" s="5">
        <f>+$C137*BF137</f>
        <v>0</v>
      </c>
      <c r="H137" s="5">
        <f>+$C137*BG137</f>
        <v>0</v>
      </c>
      <c r="I137" s="5">
        <f>+$C137*BH137</f>
        <v>0</v>
      </c>
      <c r="J137" s="5">
        <f>+$C137*BI137</f>
        <v>0</v>
      </c>
      <c r="K137" s="5">
        <f>+$C137*BJ137</f>
        <v>0</v>
      </c>
      <c r="L137" s="5">
        <f>+$C137*BK137</f>
        <v>0</v>
      </c>
      <c r="M137" s="5">
        <f>+$C137*BL137</f>
        <v>0</v>
      </c>
      <c r="N137" s="5">
        <f>+$C137*BM137</f>
        <v>0</v>
      </c>
      <c r="O137" s="5">
        <f>+$C137*BN137</f>
        <v>0</v>
      </c>
      <c r="P137" s="5">
        <v>0</v>
      </c>
      <c r="Q137" s="5">
        <f>+$P137*BC137</f>
        <v>0</v>
      </c>
      <c r="R137" s="5">
        <f>+$P137*BD137</f>
        <v>0</v>
      </c>
      <c r="S137" s="5">
        <f>+$P137*BE137</f>
        <v>0</v>
      </c>
      <c r="T137" s="5">
        <f>+$P137*BF137</f>
        <v>0</v>
      </c>
      <c r="U137" s="5">
        <f>+$P137*BG137</f>
        <v>0</v>
      </c>
      <c r="V137" s="5">
        <f>+$P137*BH137</f>
        <v>0</v>
      </c>
      <c r="W137" s="5">
        <f>+$P137*BI137</f>
        <v>0</v>
      </c>
      <c r="X137" s="5">
        <f>+$P137*BJ137</f>
        <v>0</v>
      </c>
      <c r="Y137" s="5">
        <f>+$P137*BK137</f>
        <v>0</v>
      </c>
      <c r="Z137" s="5">
        <f>+$P137*BL137</f>
        <v>0</v>
      </c>
      <c r="AA137" s="5">
        <f>+$P137*BM137</f>
        <v>0</v>
      </c>
      <c r="AB137" s="5">
        <f>+$P137*BN137</f>
        <v>0</v>
      </c>
      <c r="AC137" s="5">
        <v>1500</v>
      </c>
      <c r="AD137" s="5">
        <f>+$AC137*BC137</f>
        <v>133.77234892311336</v>
      </c>
      <c r="AE137" s="5">
        <f>+$AC137*BD137</f>
        <v>159.97916825167798</v>
      </c>
      <c r="AF137" s="5">
        <f>+$AC137*BE137</f>
        <v>141.58273627282145</v>
      </c>
      <c r="AG137" s="5">
        <f>+$AC137*BF137</f>
        <v>107.24347480282573</v>
      </c>
      <c r="AH137" s="5">
        <f>+$AC137*BG137</f>
        <v>155.52857715805143</v>
      </c>
      <c r="AI137" s="5">
        <f>+$AC137*BH137</f>
        <v>127.45549642881696</v>
      </c>
      <c r="AJ137" s="5">
        <f>+$AC137*BI137</f>
        <v>126.89081831589405</v>
      </c>
      <c r="AK137" s="5">
        <f>+$AC137*BJ137</f>
        <v>86.170658194169945</v>
      </c>
      <c r="AL137" s="5">
        <f>+$AC137*BK137</f>
        <v>127.73077851833621</v>
      </c>
      <c r="AM137" s="5">
        <f>+$AC137*BL137</f>
        <v>111.23708836955277</v>
      </c>
      <c r="AN137" s="5">
        <f>+$AC137*BM137</f>
        <v>113.57728378816076</v>
      </c>
      <c r="AO137" s="5">
        <f>+$AC137*BN137</f>
        <v>110.93333904851343</v>
      </c>
      <c r="AP137" s="5">
        <f>+AC137+P137+C137</f>
        <v>1500</v>
      </c>
      <c r="AQ137" s="1">
        <v>1070.1787913849068</v>
      </c>
      <c r="AR137" s="1">
        <v>1279.8333460134238</v>
      </c>
      <c r="AS137" s="1">
        <v>1132.6618901825716</v>
      </c>
      <c r="AT137" s="1">
        <v>857.94779842260584</v>
      </c>
      <c r="AU137" s="1">
        <v>1244.2286172644115</v>
      </c>
      <c r="AV137" s="1">
        <v>1019.6439714305357</v>
      </c>
      <c r="AW137" s="1">
        <v>1015.1265465271524</v>
      </c>
      <c r="AX137" s="1">
        <v>689.36526555335956</v>
      </c>
      <c r="AY137" s="1">
        <v>1021.8462281466897</v>
      </c>
      <c r="AZ137" s="1">
        <v>889.89670695642212</v>
      </c>
      <c r="BA137" s="1">
        <v>908.61827030528605</v>
      </c>
      <c r="BB137" s="1">
        <v>887.46671238810745</v>
      </c>
      <c r="BC137" s="2">
        <v>8.9181565948742242E-2</v>
      </c>
      <c r="BD137" s="2">
        <v>0.10665277883445198</v>
      </c>
      <c r="BE137" s="2">
        <v>9.438849084854764E-2</v>
      </c>
      <c r="BF137" s="2">
        <v>7.149564986855049E-2</v>
      </c>
      <c r="BG137" s="2">
        <v>0.10368571810536763</v>
      </c>
      <c r="BH137" s="2">
        <v>8.4970330952544637E-2</v>
      </c>
      <c r="BI137" s="2">
        <v>8.4593878877262704E-2</v>
      </c>
      <c r="BJ137" s="2">
        <v>5.7447105462779965E-2</v>
      </c>
      <c r="BK137" s="2">
        <v>8.5153852345557474E-2</v>
      </c>
      <c r="BL137" s="2">
        <v>7.4158058913035174E-2</v>
      </c>
      <c r="BM137" s="2">
        <v>7.5718189192107169E-2</v>
      </c>
      <c r="BN137" s="2">
        <v>7.3955559365675619E-2</v>
      </c>
    </row>
    <row r="138" spans="1:66" x14ac:dyDescent="0.25">
      <c r="A138" s="8">
        <v>17264</v>
      </c>
      <c r="B138" s="8" t="s">
        <v>857</v>
      </c>
      <c r="C138" s="5">
        <v>0</v>
      </c>
      <c r="D138" s="5">
        <f>+$C138*BC138</f>
        <v>0</v>
      </c>
      <c r="E138" s="5">
        <f>+$C138*BD138</f>
        <v>0</v>
      </c>
      <c r="F138" s="5">
        <f>+$C138*BE138</f>
        <v>0</v>
      </c>
      <c r="G138" s="5">
        <f>+$C138*BF138</f>
        <v>0</v>
      </c>
      <c r="H138" s="5">
        <f>+$C138*BG138</f>
        <v>0</v>
      </c>
      <c r="I138" s="5">
        <f>+$C138*BH138</f>
        <v>0</v>
      </c>
      <c r="J138" s="5">
        <f>+$C138*BI138</f>
        <v>0</v>
      </c>
      <c r="K138" s="5">
        <f>+$C138*BJ138</f>
        <v>0</v>
      </c>
      <c r="L138" s="5">
        <f>+$C138*BK138</f>
        <v>0</v>
      </c>
      <c r="M138" s="5">
        <f>+$C138*BL138</f>
        <v>0</v>
      </c>
      <c r="N138" s="5">
        <f>+$C138*BM138</f>
        <v>0</v>
      </c>
      <c r="O138" s="5">
        <f>+$C138*BN138</f>
        <v>0</v>
      </c>
      <c r="P138" s="5">
        <v>10000</v>
      </c>
      <c r="Q138" s="5">
        <f>+$P138*BC138</f>
        <v>891.81565948742241</v>
      </c>
      <c r="R138" s="5">
        <f>+$P138*BD138</f>
        <v>1066.5277883445199</v>
      </c>
      <c r="S138" s="5">
        <f>+$P138*BE138</f>
        <v>943.88490848547644</v>
      </c>
      <c r="T138" s="5">
        <f>+$P138*BF138</f>
        <v>714.95649868550493</v>
      </c>
      <c r="U138" s="5">
        <f>+$P138*BG138</f>
        <v>1036.8571810536762</v>
      </c>
      <c r="V138" s="5">
        <f>+$P138*BH138</f>
        <v>849.70330952544634</v>
      </c>
      <c r="W138" s="5">
        <f>+$P138*BI138</f>
        <v>845.93878877262705</v>
      </c>
      <c r="X138" s="5">
        <f>+$P138*BJ138</f>
        <v>574.47105462779962</v>
      </c>
      <c r="Y138" s="5">
        <f>+$P138*BK138</f>
        <v>851.5385234555747</v>
      </c>
      <c r="Z138" s="5">
        <f>+$P138*BL138</f>
        <v>741.58058913035177</v>
      </c>
      <c r="AA138" s="5">
        <f>+$P138*BM138</f>
        <v>757.18189192107172</v>
      </c>
      <c r="AB138" s="5">
        <f>+$P138*BN138</f>
        <v>739.55559365675617</v>
      </c>
      <c r="AC138" s="5">
        <v>0</v>
      </c>
      <c r="AD138" s="5">
        <f>+$AC138*BC138</f>
        <v>0</v>
      </c>
      <c r="AE138" s="5">
        <f>+$AC138*BD138</f>
        <v>0</v>
      </c>
      <c r="AF138" s="5">
        <f>+$AC138*BE138</f>
        <v>0</v>
      </c>
      <c r="AG138" s="5">
        <f>+$AC138*BF138</f>
        <v>0</v>
      </c>
      <c r="AH138" s="5">
        <f>+$AC138*BG138</f>
        <v>0</v>
      </c>
      <c r="AI138" s="5">
        <f>+$AC138*BH138</f>
        <v>0</v>
      </c>
      <c r="AJ138" s="5">
        <f>+$AC138*BI138</f>
        <v>0</v>
      </c>
      <c r="AK138" s="5">
        <f>+$AC138*BJ138</f>
        <v>0</v>
      </c>
      <c r="AL138" s="5">
        <f>+$AC138*BK138</f>
        <v>0</v>
      </c>
      <c r="AM138" s="5">
        <f>+$AC138*BL138</f>
        <v>0</v>
      </c>
      <c r="AN138" s="5">
        <f>+$AC138*BM138</f>
        <v>0</v>
      </c>
      <c r="AO138" s="5">
        <f>+$AC138*BN138</f>
        <v>0</v>
      </c>
      <c r="AP138" s="5">
        <f>+AC138+P138+C138</f>
        <v>10000</v>
      </c>
      <c r="AQ138" s="1">
        <v>1070.1787913849068</v>
      </c>
      <c r="AR138" s="1">
        <v>1279.8333460134238</v>
      </c>
      <c r="AS138" s="1">
        <v>1132.6618901825716</v>
      </c>
      <c r="AT138" s="1">
        <v>857.94779842260584</v>
      </c>
      <c r="AU138" s="1">
        <v>1244.2286172644115</v>
      </c>
      <c r="AV138" s="1">
        <v>1019.6439714305357</v>
      </c>
      <c r="AW138" s="1">
        <v>1015.1265465271524</v>
      </c>
      <c r="AX138" s="1">
        <v>689.36526555335956</v>
      </c>
      <c r="AY138" s="1">
        <v>1021.8462281466897</v>
      </c>
      <c r="AZ138" s="1">
        <v>889.89670695642212</v>
      </c>
      <c r="BA138" s="1">
        <v>908.61827030528605</v>
      </c>
      <c r="BB138" s="1">
        <v>887.46671238810745</v>
      </c>
      <c r="BC138" s="2">
        <v>8.9181565948742242E-2</v>
      </c>
      <c r="BD138" s="2">
        <v>0.10665277883445198</v>
      </c>
      <c r="BE138" s="2">
        <v>9.438849084854764E-2</v>
      </c>
      <c r="BF138" s="2">
        <v>7.149564986855049E-2</v>
      </c>
      <c r="BG138" s="2">
        <v>0.10368571810536763</v>
      </c>
      <c r="BH138" s="2">
        <v>8.4970330952544637E-2</v>
      </c>
      <c r="BI138" s="2">
        <v>8.4593878877262704E-2</v>
      </c>
      <c r="BJ138" s="2">
        <v>5.7447105462779965E-2</v>
      </c>
      <c r="BK138" s="2">
        <v>8.5153852345557474E-2</v>
      </c>
      <c r="BL138" s="2">
        <v>7.4158058913035174E-2</v>
      </c>
      <c r="BM138" s="2">
        <v>7.5718189192107169E-2</v>
      </c>
      <c r="BN138" s="2">
        <v>7.3955559365675619E-2</v>
      </c>
    </row>
    <row r="139" spans="1:66" x14ac:dyDescent="0.25">
      <c r="A139" s="8">
        <v>2182</v>
      </c>
      <c r="B139" s="8" t="s">
        <v>856</v>
      </c>
      <c r="C139" s="5">
        <v>11000</v>
      </c>
      <c r="D139" s="5">
        <f>+$C139*BC139</f>
        <v>980.99722543616463</v>
      </c>
      <c r="E139" s="5">
        <f>+$C139*BD139</f>
        <v>1173.1805671789718</v>
      </c>
      <c r="F139" s="5">
        <f>+$C139*BE139</f>
        <v>1038.2733993340241</v>
      </c>
      <c r="G139" s="5">
        <f>+$C139*BF139</f>
        <v>786.45214855405538</v>
      </c>
      <c r="H139" s="5">
        <f>+$C139*BG139</f>
        <v>1140.5428991590438</v>
      </c>
      <c r="I139" s="5">
        <f>+$C139*BH139</f>
        <v>934.67364047799106</v>
      </c>
      <c r="J139" s="5">
        <f>+$C139*BI139</f>
        <v>930.53266764988973</v>
      </c>
      <c r="K139" s="5">
        <f>+$C139*BJ139</f>
        <v>631.91816009057959</v>
      </c>
      <c r="L139" s="5">
        <f>+$C139*BK139</f>
        <v>936.69237580113224</v>
      </c>
      <c r="M139" s="5">
        <f>+$C139*BL139</f>
        <v>815.73864804338689</v>
      </c>
      <c r="N139" s="5">
        <f>+$C139*BM139</f>
        <v>832.90008111317889</v>
      </c>
      <c r="O139" s="5">
        <f>+$C139*BN139</f>
        <v>813.51115302243181</v>
      </c>
      <c r="P139" s="5">
        <v>0</v>
      </c>
      <c r="Q139" s="5">
        <f>+$P139*BC139</f>
        <v>0</v>
      </c>
      <c r="R139" s="5">
        <f>+$P139*BD139</f>
        <v>0</v>
      </c>
      <c r="S139" s="5">
        <f>+$P139*BE139</f>
        <v>0</v>
      </c>
      <c r="T139" s="5">
        <f>+$P139*BF139</f>
        <v>0</v>
      </c>
      <c r="U139" s="5">
        <f>+$P139*BG139</f>
        <v>0</v>
      </c>
      <c r="V139" s="5">
        <f>+$P139*BH139</f>
        <v>0</v>
      </c>
      <c r="W139" s="5">
        <f>+$P139*BI139</f>
        <v>0</v>
      </c>
      <c r="X139" s="5">
        <f>+$P139*BJ139</f>
        <v>0</v>
      </c>
      <c r="Y139" s="5">
        <f>+$P139*BK139</f>
        <v>0</v>
      </c>
      <c r="Z139" s="5">
        <f>+$P139*BL139</f>
        <v>0</v>
      </c>
      <c r="AA139" s="5">
        <f>+$P139*BM139</f>
        <v>0</v>
      </c>
      <c r="AB139" s="5">
        <f>+$P139*BN139</f>
        <v>0</v>
      </c>
      <c r="AC139" s="5">
        <v>0</v>
      </c>
      <c r="AD139" s="5">
        <f>+$AC139*BC139</f>
        <v>0</v>
      </c>
      <c r="AE139" s="5">
        <f>+$AC139*BD139</f>
        <v>0</v>
      </c>
      <c r="AF139" s="5">
        <f>+$AC139*BE139</f>
        <v>0</v>
      </c>
      <c r="AG139" s="5">
        <f>+$AC139*BF139</f>
        <v>0</v>
      </c>
      <c r="AH139" s="5">
        <f>+$AC139*BG139</f>
        <v>0</v>
      </c>
      <c r="AI139" s="5">
        <f>+$AC139*BH139</f>
        <v>0</v>
      </c>
      <c r="AJ139" s="5">
        <f>+$AC139*BI139</f>
        <v>0</v>
      </c>
      <c r="AK139" s="5">
        <f>+$AC139*BJ139</f>
        <v>0</v>
      </c>
      <c r="AL139" s="5">
        <f>+$AC139*BK139</f>
        <v>0</v>
      </c>
      <c r="AM139" s="5">
        <f>+$AC139*BL139</f>
        <v>0</v>
      </c>
      <c r="AN139" s="5">
        <f>+$AC139*BM139</f>
        <v>0</v>
      </c>
      <c r="AO139" s="5">
        <f>+$AC139*BN139</f>
        <v>0</v>
      </c>
      <c r="AP139" s="5">
        <f>+AC139+P139+C139</f>
        <v>11000</v>
      </c>
      <c r="AQ139" s="1">
        <v>1070.1787913849068</v>
      </c>
      <c r="AR139" s="1">
        <v>1279.8333460134238</v>
      </c>
      <c r="AS139" s="1">
        <v>1132.6618901825716</v>
      </c>
      <c r="AT139" s="1">
        <v>857.94779842260584</v>
      </c>
      <c r="AU139" s="1">
        <v>1244.2286172644115</v>
      </c>
      <c r="AV139" s="1">
        <v>1019.6439714305357</v>
      </c>
      <c r="AW139" s="1">
        <v>1015.1265465271524</v>
      </c>
      <c r="AX139" s="1">
        <v>689.36526555335956</v>
      </c>
      <c r="AY139" s="1">
        <v>1021.8462281466897</v>
      </c>
      <c r="AZ139" s="1">
        <v>889.89670695642212</v>
      </c>
      <c r="BA139" s="1">
        <v>908.61827030528605</v>
      </c>
      <c r="BB139" s="1">
        <v>887.46671238810745</v>
      </c>
      <c r="BC139" s="2">
        <v>8.9181565948742242E-2</v>
      </c>
      <c r="BD139" s="2">
        <v>0.10665277883445198</v>
      </c>
      <c r="BE139" s="2">
        <v>9.438849084854764E-2</v>
      </c>
      <c r="BF139" s="2">
        <v>7.149564986855049E-2</v>
      </c>
      <c r="BG139" s="2">
        <v>0.10368571810536763</v>
      </c>
      <c r="BH139" s="2">
        <v>8.4970330952544637E-2</v>
      </c>
      <c r="BI139" s="2">
        <v>8.4593878877262704E-2</v>
      </c>
      <c r="BJ139" s="2">
        <v>5.7447105462779965E-2</v>
      </c>
      <c r="BK139" s="2">
        <v>8.5153852345557474E-2</v>
      </c>
      <c r="BL139" s="2">
        <v>7.4158058913035174E-2</v>
      </c>
      <c r="BM139" s="2">
        <v>7.5718189192107169E-2</v>
      </c>
      <c r="BN139" s="2">
        <v>7.3955559365675619E-2</v>
      </c>
    </row>
    <row r="140" spans="1:66" x14ac:dyDescent="0.25">
      <c r="A140" s="8">
        <v>6525</v>
      </c>
      <c r="B140" s="8" t="s">
        <v>855</v>
      </c>
      <c r="C140" s="5">
        <v>70000</v>
      </c>
      <c r="D140" s="5">
        <f>+$C140*BC140</f>
        <v>6242.7096164119566</v>
      </c>
      <c r="E140" s="5">
        <f>+$C140*BD140</f>
        <v>7465.6945184116385</v>
      </c>
      <c r="F140" s="5">
        <f>+$C140*BE140</f>
        <v>6607.1943593983351</v>
      </c>
      <c r="G140" s="5">
        <f>+$C140*BF140</f>
        <v>5004.6954907985346</v>
      </c>
      <c r="H140" s="5">
        <f>+$C140*BG140</f>
        <v>7258.0002673757335</v>
      </c>
      <c r="I140" s="5">
        <f>+$C140*BH140</f>
        <v>5947.9231666781243</v>
      </c>
      <c r="J140" s="5">
        <f>+$C140*BI140</f>
        <v>5921.5715214083893</v>
      </c>
      <c r="K140" s="5">
        <f>+$C140*BJ140</f>
        <v>4021.2973823945977</v>
      </c>
      <c r="L140" s="5">
        <f>+$C140*BK140</f>
        <v>5960.7696641890234</v>
      </c>
      <c r="M140" s="5">
        <f>+$C140*BL140</f>
        <v>5191.0641239124625</v>
      </c>
      <c r="N140" s="5">
        <f>+$C140*BM140</f>
        <v>5300.273243447502</v>
      </c>
      <c r="O140" s="5">
        <f>+$C140*BN140</f>
        <v>5176.8891555972932</v>
      </c>
      <c r="P140" s="5">
        <v>0</v>
      </c>
      <c r="Q140" s="5">
        <f>+$P140*BC140</f>
        <v>0</v>
      </c>
      <c r="R140" s="5">
        <f>+$P140*BD140</f>
        <v>0</v>
      </c>
      <c r="S140" s="5">
        <f>+$P140*BE140</f>
        <v>0</v>
      </c>
      <c r="T140" s="5">
        <f>+$P140*BF140</f>
        <v>0</v>
      </c>
      <c r="U140" s="5">
        <f>+$P140*BG140</f>
        <v>0</v>
      </c>
      <c r="V140" s="5">
        <f>+$P140*BH140</f>
        <v>0</v>
      </c>
      <c r="W140" s="5">
        <f>+$P140*BI140</f>
        <v>0</v>
      </c>
      <c r="X140" s="5">
        <f>+$P140*BJ140</f>
        <v>0</v>
      </c>
      <c r="Y140" s="5">
        <f>+$P140*BK140</f>
        <v>0</v>
      </c>
      <c r="Z140" s="5">
        <f>+$P140*BL140</f>
        <v>0</v>
      </c>
      <c r="AA140" s="5">
        <f>+$P140*BM140</f>
        <v>0</v>
      </c>
      <c r="AB140" s="5">
        <f>+$P140*BN140</f>
        <v>0</v>
      </c>
      <c r="AC140" s="5">
        <v>0</v>
      </c>
      <c r="AD140" s="5">
        <f>+$AC140*BC140</f>
        <v>0</v>
      </c>
      <c r="AE140" s="5">
        <f>+$AC140*BD140</f>
        <v>0</v>
      </c>
      <c r="AF140" s="5">
        <f>+$AC140*BE140</f>
        <v>0</v>
      </c>
      <c r="AG140" s="5">
        <f>+$AC140*BF140</f>
        <v>0</v>
      </c>
      <c r="AH140" s="5">
        <f>+$AC140*BG140</f>
        <v>0</v>
      </c>
      <c r="AI140" s="5">
        <f>+$AC140*BH140</f>
        <v>0</v>
      </c>
      <c r="AJ140" s="5">
        <f>+$AC140*BI140</f>
        <v>0</v>
      </c>
      <c r="AK140" s="5">
        <f>+$AC140*BJ140</f>
        <v>0</v>
      </c>
      <c r="AL140" s="5">
        <f>+$AC140*BK140</f>
        <v>0</v>
      </c>
      <c r="AM140" s="5">
        <f>+$AC140*BL140</f>
        <v>0</v>
      </c>
      <c r="AN140" s="5">
        <f>+$AC140*BM140</f>
        <v>0</v>
      </c>
      <c r="AO140" s="5">
        <f>+$AC140*BN140</f>
        <v>0</v>
      </c>
      <c r="AP140" s="5">
        <f>+AC140+P140+C140</f>
        <v>70000</v>
      </c>
      <c r="AQ140" s="1">
        <v>980.99722543616463</v>
      </c>
      <c r="AR140" s="1">
        <v>1173.1805671789718</v>
      </c>
      <c r="AS140" s="1">
        <v>1038.2733993340241</v>
      </c>
      <c r="AT140" s="1">
        <v>786.45214855405538</v>
      </c>
      <c r="AU140" s="1">
        <v>1140.5428991590438</v>
      </c>
      <c r="AV140" s="1">
        <v>934.67364047799106</v>
      </c>
      <c r="AW140" s="1">
        <v>930.53266764988973</v>
      </c>
      <c r="AX140" s="1">
        <v>631.91816009057959</v>
      </c>
      <c r="AY140" s="1">
        <v>936.69237580113224</v>
      </c>
      <c r="AZ140" s="1">
        <v>815.73864804338689</v>
      </c>
      <c r="BA140" s="1">
        <v>832.90008111317889</v>
      </c>
      <c r="BB140" s="1">
        <v>813.51115302243181</v>
      </c>
      <c r="BC140" s="2">
        <v>8.9181565948742242E-2</v>
      </c>
      <c r="BD140" s="2">
        <v>0.10665277883445198</v>
      </c>
      <c r="BE140" s="2">
        <v>9.438849084854764E-2</v>
      </c>
      <c r="BF140" s="2">
        <v>7.149564986855049E-2</v>
      </c>
      <c r="BG140" s="2">
        <v>0.10368571810536763</v>
      </c>
      <c r="BH140" s="2">
        <v>8.4970330952544637E-2</v>
      </c>
      <c r="BI140" s="2">
        <v>8.4593878877262704E-2</v>
      </c>
      <c r="BJ140" s="2">
        <v>5.7447105462779965E-2</v>
      </c>
      <c r="BK140" s="2">
        <v>8.5153852345557474E-2</v>
      </c>
      <c r="BL140" s="2">
        <v>7.4158058913035174E-2</v>
      </c>
      <c r="BM140" s="2">
        <v>7.5718189192107169E-2</v>
      </c>
      <c r="BN140" s="2">
        <v>7.3955559365675619E-2</v>
      </c>
    </row>
    <row r="141" spans="1:66" x14ac:dyDescent="0.25">
      <c r="A141" s="8">
        <v>3845</v>
      </c>
      <c r="B141" s="8" t="s">
        <v>854</v>
      </c>
      <c r="C141" s="5">
        <v>2500</v>
      </c>
      <c r="D141" s="5">
        <f>+$C141*BC141</f>
        <v>222.9539148718556</v>
      </c>
      <c r="E141" s="5">
        <f>+$C141*BD141</f>
        <v>266.63194708612997</v>
      </c>
      <c r="F141" s="5">
        <f>+$C141*BE141</f>
        <v>235.97122712136911</v>
      </c>
      <c r="G141" s="5">
        <f>+$C141*BF141</f>
        <v>178.73912467137623</v>
      </c>
      <c r="H141" s="5">
        <f>+$C141*BG141</f>
        <v>259.21429526341905</v>
      </c>
      <c r="I141" s="5">
        <f>+$C141*BH141</f>
        <v>212.42582738136159</v>
      </c>
      <c r="J141" s="5">
        <f>+$C141*BI141</f>
        <v>211.48469719315676</v>
      </c>
      <c r="K141" s="5">
        <f>+$C141*BJ141</f>
        <v>143.6177636569499</v>
      </c>
      <c r="L141" s="5">
        <f>+$C141*BK141</f>
        <v>212.88463086389368</v>
      </c>
      <c r="M141" s="5">
        <f>+$C141*BL141</f>
        <v>185.39514728258794</v>
      </c>
      <c r="N141" s="5">
        <f>+$C141*BM141</f>
        <v>189.29547298026793</v>
      </c>
      <c r="O141" s="5">
        <f>+$C141*BN141</f>
        <v>184.88889841418904</v>
      </c>
      <c r="P141" s="5">
        <v>0</v>
      </c>
      <c r="Q141" s="5">
        <f>+$P141*BC141</f>
        <v>0</v>
      </c>
      <c r="R141" s="5">
        <f>+$P141*BD141</f>
        <v>0</v>
      </c>
      <c r="S141" s="5">
        <f>+$P141*BE141</f>
        <v>0</v>
      </c>
      <c r="T141" s="5">
        <f>+$P141*BF141</f>
        <v>0</v>
      </c>
      <c r="U141" s="5">
        <f>+$P141*BG141</f>
        <v>0</v>
      </c>
      <c r="V141" s="5">
        <f>+$P141*BH141</f>
        <v>0</v>
      </c>
      <c r="W141" s="5">
        <f>+$P141*BI141</f>
        <v>0</v>
      </c>
      <c r="X141" s="5">
        <f>+$P141*BJ141</f>
        <v>0</v>
      </c>
      <c r="Y141" s="5">
        <f>+$P141*BK141</f>
        <v>0</v>
      </c>
      <c r="Z141" s="5">
        <f>+$P141*BL141</f>
        <v>0</v>
      </c>
      <c r="AA141" s="5">
        <f>+$P141*BM141</f>
        <v>0</v>
      </c>
      <c r="AB141" s="5">
        <f>+$P141*BN141</f>
        <v>0</v>
      </c>
      <c r="AC141" s="5">
        <v>150</v>
      </c>
      <c r="AD141" s="5">
        <f>+$AC141*BC141</f>
        <v>13.377234892311336</v>
      </c>
      <c r="AE141" s="5">
        <f>+$AC141*BD141</f>
        <v>15.997916825167797</v>
      </c>
      <c r="AF141" s="5">
        <f>+$AC141*BE141</f>
        <v>14.158273627282146</v>
      </c>
      <c r="AG141" s="5">
        <f>+$AC141*BF141</f>
        <v>10.724347480282573</v>
      </c>
      <c r="AH141" s="5">
        <f>+$AC141*BG141</f>
        <v>15.552857715805144</v>
      </c>
      <c r="AI141" s="5">
        <f>+$AC141*BH141</f>
        <v>12.745549642881695</v>
      </c>
      <c r="AJ141" s="5">
        <f>+$AC141*BI141</f>
        <v>12.689081831589405</v>
      </c>
      <c r="AK141" s="5">
        <f>+$AC141*BJ141</f>
        <v>8.6170658194169949</v>
      </c>
      <c r="AL141" s="5">
        <f>+$AC141*BK141</f>
        <v>12.773077851833621</v>
      </c>
      <c r="AM141" s="5">
        <f>+$AC141*BL141</f>
        <v>11.123708836955275</v>
      </c>
      <c r="AN141" s="5">
        <f>+$AC141*BM141</f>
        <v>11.357728378816075</v>
      </c>
      <c r="AO141" s="5">
        <f>+$AC141*BN141</f>
        <v>11.093333904851344</v>
      </c>
      <c r="AP141" s="5">
        <f>+AC141+P141+C141</f>
        <v>2650</v>
      </c>
      <c r="AQ141" s="1">
        <v>980.99722543616463</v>
      </c>
      <c r="AR141" s="1">
        <v>1173.1805671789718</v>
      </c>
      <c r="AS141" s="1">
        <v>1038.2733993340241</v>
      </c>
      <c r="AT141" s="1">
        <v>786.45214855405538</v>
      </c>
      <c r="AU141" s="1">
        <v>1140.5428991590438</v>
      </c>
      <c r="AV141" s="1">
        <v>934.67364047799106</v>
      </c>
      <c r="AW141" s="1">
        <v>930.53266764988973</v>
      </c>
      <c r="AX141" s="1">
        <v>631.91816009057959</v>
      </c>
      <c r="AY141" s="1">
        <v>936.69237580113224</v>
      </c>
      <c r="AZ141" s="1">
        <v>815.73864804338689</v>
      </c>
      <c r="BA141" s="1">
        <v>832.90008111317889</v>
      </c>
      <c r="BB141" s="1">
        <v>813.51115302243181</v>
      </c>
      <c r="BC141" s="2">
        <v>8.9181565948742242E-2</v>
      </c>
      <c r="BD141" s="2">
        <v>0.10665277883445198</v>
      </c>
      <c r="BE141" s="2">
        <v>9.438849084854764E-2</v>
      </c>
      <c r="BF141" s="2">
        <v>7.149564986855049E-2</v>
      </c>
      <c r="BG141" s="2">
        <v>0.10368571810536763</v>
      </c>
      <c r="BH141" s="2">
        <v>8.4970330952544637E-2</v>
      </c>
      <c r="BI141" s="2">
        <v>8.4593878877262704E-2</v>
      </c>
      <c r="BJ141" s="2">
        <v>5.7447105462779965E-2</v>
      </c>
      <c r="BK141" s="2">
        <v>8.5153852345557474E-2</v>
      </c>
      <c r="BL141" s="2">
        <v>7.4158058913035174E-2</v>
      </c>
      <c r="BM141" s="2">
        <v>7.5718189192107169E-2</v>
      </c>
      <c r="BN141" s="2">
        <v>7.3955559365675619E-2</v>
      </c>
    </row>
    <row r="142" spans="1:66" x14ac:dyDescent="0.25">
      <c r="A142" s="8">
        <v>3972</v>
      </c>
      <c r="B142" s="8" t="s">
        <v>853</v>
      </c>
      <c r="C142" s="5">
        <v>500</v>
      </c>
      <c r="D142" s="5">
        <f>+$C142*BC142</f>
        <v>44.590782974371123</v>
      </c>
      <c r="E142" s="5">
        <f>+$C142*BD142</f>
        <v>53.32638941722599</v>
      </c>
      <c r="F142" s="5">
        <f>+$C142*BE142</f>
        <v>47.194245424273824</v>
      </c>
      <c r="G142" s="5">
        <f>+$C142*BF142</f>
        <v>35.747824934275243</v>
      </c>
      <c r="H142" s="5">
        <f>+$C142*BG142</f>
        <v>51.842859052683814</v>
      </c>
      <c r="I142" s="5">
        <f>+$C142*BH142</f>
        <v>42.485165476272321</v>
      </c>
      <c r="J142" s="5">
        <f>+$C142*BI142</f>
        <v>42.296939438631355</v>
      </c>
      <c r="K142" s="5">
        <f>+$C142*BJ142</f>
        <v>28.723552731389983</v>
      </c>
      <c r="L142" s="5">
        <f>+$C142*BK142</f>
        <v>42.576926172778734</v>
      </c>
      <c r="M142" s="5">
        <f>+$C142*BL142</f>
        <v>37.079029456517588</v>
      </c>
      <c r="N142" s="5">
        <f>+$C142*BM142</f>
        <v>37.859094596053588</v>
      </c>
      <c r="O142" s="5">
        <f>+$C142*BN142</f>
        <v>36.977779682837813</v>
      </c>
      <c r="P142" s="5">
        <v>0</v>
      </c>
      <c r="Q142" s="5">
        <f>+$P142*BC142</f>
        <v>0</v>
      </c>
      <c r="R142" s="5">
        <f>+$P142*BD142</f>
        <v>0</v>
      </c>
      <c r="S142" s="5">
        <f>+$P142*BE142</f>
        <v>0</v>
      </c>
      <c r="T142" s="5">
        <f>+$P142*BF142</f>
        <v>0</v>
      </c>
      <c r="U142" s="5">
        <f>+$P142*BG142</f>
        <v>0</v>
      </c>
      <c r="V142" s="5">
        <f>+$P142*BH142</f>
        <v>0</v>
      </c>
      <c r="W142" s="5">
        <f>+$P142*BI142</f>
        <v>0</v>
      </c>
      <c r="X142" s="5">
        <f>+$P142*BJ142</f>
        <v>0</v>
      </c>
      <c r="Y142" s="5">
        <f>+$P142*BK142</f>
        <v>0</v>
      </c>
      <c r="Z142" s="5">
        <f>+$P142*BL142</f>
        <v>0</v>
      </c>
      <c r="AA142" s="5">
        <f>+$P142*BM142</f>
        <v>0</v>
      </c>
      <c r="AB142" s="5">
        <f>+$P142*BN142</f>
        <v>0</v>
      </c>
      <c r="AC142" s="5">
        <v>0</v>
      </c>
      <c r="AD142" s="5">
        <f>+$AC142*BC142</f>
        <v>0</v>
      </c>
      <c r="AE142" s="5">
        <f>+$AC142*BD142</f>
        <v>0</v>
      </c>
      <c r="AF142" s="5">
        <f>+$AC142*BE142</f>
        <v>0</v>
      </c>
      <c r="AG142" s="5">
        <f>+$AC142*BF142</f>
        <v>0</v>
      </c>
      <c r="AH142" s="5">
        <f>+$AC142*BG142</f>
        <v>0</v>
      </c>
      <c r="AI142" s="5">
        <f>+$AC142*BH142</f>
        <v>0</v>
      </c>
      <c r="AJ142" s="5">
        <f>+$AC142*BI142</f>
        <v>0</v>
      </c>
      <c r="AK142" s="5">
        <f>+$AC142*BJ142</f>
        <v>0</v>
      </c>
      <c r="AL142" s="5">
        <f>+$AC142*BK142</f>
        <v>0</v>
      </c>
      <c r="AM142" s="5">
        <f>+$AC142*BL142</f>
        <v>0</v>
      </c>
      <c r="AN142" s="5">
        <f>+$AC142*BM142</f>
        <v>0</v>
      </c>
      <c r="AO142" s="5">
        <f>+$AC142*BN142</f>
        <v>0</v>
      </c>
      <c r="AP142" s="5">
        <f>+AC142+P142+C142</f>
        <v>500</v>
      </c>
      <c r="AQ142" s="1">
        <v>936.40644246179352</v>
      </c>
      <c r="AR142" s="1">
        <v>1119.8541777617459</v>
      </c>
      <c r="AS142" s="1">
        <v>991.07915390975018</v>
      </c>
      <c r="AT142" s="1">
        <v>750.7043236197801</v>
      </c>
      <c r="AU142" s="1">
        <v>1088.7000401063601</v>
      </c>
      <c r="AV142" s="1">
        <v>892.18847500171864</v>
      </c>
      <c r="AW142" s="1">
        <v>888.23572821125845</v>
      </c>
      <c r="AX142" s="1">
        <v>603.1946073591896</v>
      </c>
      <c r="AY142" s="1">
        <v>894.11544962835342</v>
      </c>
      <c r="AZ142" s="1">
        <v>778.65961858686933</v>
      </c>
      <c r="BA142" s="1">
        <v>795.04098651712525</v>
      </c>
      <c r="BB142" s="1">
        <v>776.53337333959405</v>
      </c>
      <c r="BC142" s="2">
        <v>8.9181565948742242E-2</v>
      </c>
      <c r="BD142" s="2">
        <v>0.10665277883445198</v>
      </c>
      <c r="BE142" s="2">
        <v>9.438849084854764E-2</v>
      </c>
      <c r="BF142" s="2">
        <v>7.149564986855049E-2</v>
      </c>
      <c r="BG142" s="2">
        <v>0.10368571810536763</v>
      </c>
      <c r="BH142" s="2">
        <v>8.4970330952544637E-2</v>
      </c>
      <c r="BI142" s="2">
        <v>8.4593878877262704E-2</v>
      </c>
      <c r="BJ142" s="2">
        <v>5.7447105462779965E-2</v>
      </c>
      <c r="BK142" s="2">
        <v>8.5153852345557474E-2</v>
      </c>
      <c r="BL142" s="2">
        <v>7.4158058913035174E-2</v>
      </c>
      <c r="BM142" s="2">
        <v>7.5718189192107169E-2</v>
      </c>
      <c r="BN142" s="2">
        <v>7.3955559365675619E-2</v>
      </c>
    </row>
    <row r="143" spans="1:66" x14ac:dyDescent="0.25">
      <c r="A143" s="8">
        <v>2349</v>
      </c>
      <c r="B143" s="8" t="s">
        <v>852</v>
      </c>
      <c r="C143" s="5">
        <v>10000</v>
      </c>
      <c r="D143" s="5">
        <f>+$C143*BC143</f>
        <v>891.81565948742241</v>
      </c>
      <c r="E143" s="5">
        <f>+$C143*BD143</f>
        <v>1066.5277883445199</v>
      </c>
      <c r="F143" s="5">
        <f>+$C143*BE143</f>
        <v>943.88490848547644</v>
      </c>
      <c r="G143" s="5">
        <f>+$C143*BF143</f>
        <v>714.95649868550493</v>
      </c>
      <c r="H143" s="5">
        <f>+$C143*BG143</f>
        <v>1036.8571810536762</v>
      </c>
      <c r="I143" s="5">
        <f>+$C143*BH143</f>
        <v>849.70330952544634</v>
      </c>
      <c r="J143" s="5">
        <f>+$C143*BI143</f>
        <v>845.93878877262705</v>
      </c>
      <c r="K143" s="5">
        <f>+$C143*BJ143</f>
        <v>574.47105462779962</v>
      </c>
      <c r="L143" s="5">
        <f>+$C143*BK143</f>
        <v>851.5385234555747</v>
      </c>
      <c r="M143" s="5">
        <f>+$C143*BL143</f>
        <v>741.58058913035177</v>
      </c>
      <c r="N143" s="5">
        <f>+$C143*BM143</f>
        <v>757.18189192107172</v>
      </c>
      <c r="O143" s="5">
        <f>+$C143*BN143</f>
        <v>739.55559365675617</v>
      </c>
      <c r="P143" s="5">
        <v>0</v>
      </c>
      <c r="Q143" s="5">
        <f>+$P143*BC143</f>
        <v>0</v>
      </c>
      <c r="R143" s="5">
        <f>+$P143*BD143</f>
        <v>0</v>
      </c>
      <c r="S143" s="5">
        <f>+$P143*BE143</f>
        <v>0</v>
      </c>
      <c r="T143" s="5">
        <f>+$P143*BF143</f>
        <v>0</v>
      </c>
      <c r="U143" s="5">
        <f>+$P143*BG143</f>
        <v>0</v>
      </c>
      <c r="V143" s="5">
        <f>+$P143*BH143</f>
        <v>0</v>
      </c>
      <c r="W143" s="5">
        <f>+$P143*BI143</f>
        <v>0</v>
      </c>
      <c r="X143" s="5">
        <f>+$P143*BJ143</f>
        <v>0</v>
      </c>
      <c r="Y143" s="5">
        <f>+$P143*BK143</f>
        <v>0</v>
      </c>
      <c r="Z143" s="5">
        <f>+$P143*BL143</f>
        <v>0</v>
      </c>
      <c r="AA143" s="5">
        <f>+$P143*BM143</f>
        <v>0</v>
      </c>
      <c r="AB143" s="5">
        <f>+$P143*BN143</f>
        <v>0</v>
      </c>
      <c r="AC143" s="5">
        <v>0</v>
      </c>
      <c r="AD143" s="5">
        <f>+$AC143*BC143</f>
        <v>0</v>
      </c>
      <c r="AE143" s="5">
        <f>+$AC143*BD143</f>
        <v>0</v>
      </c>
      <c r="AF143" s="5">
        <f>+$AC143*BE143</f>
        <v>0</v>
      </c>
      <c r="AG143" s="5">
        <f>+$AC143*BF143</f>
        <v>0</v>
      </c>
      <c r="AH143" s="5">
        <f>+$AC143*BG143</f>
        <v>0</v>
      </c>
      <c r="AI143" s="5">
        <f>+$AC143*BH143</f>
        <v>0</v>
      </c>
      <c r="AJ143" s="5">
        <f>+$AC143*BI143</f>
        <v>0</v>
      </c>
      <c r="AK143" s="5">
        <f>+$AC143*BJ143</f>
        <v>0</v>
      </c>
      <c r="AL143" s="5">
        <f>+$AC143*BK143</f>
        <v>0</v>
      </c>
      <c r="AM143" s="5">
        <f>+$AC143*BL143</f>
        <v>0</v>
      </c>
      <c r="AN143" s="5">
        <f>+$AC143*BM143</f>
        <v>0</v>
      </c>
      <c r="AO143" s="5">
        <f>+$AC143*BN143</f>
        <v>0</v>
      </c>
      <c r="AP143" s="5">
        <f>+AC143+P143+C143</f>
        <v>10000</v>
      </c>
      <c r="AQ143" s="1">
        <v>897.26313708026953</v>
      </c>
      <c r="AR143" s="1">
        <v>1073.0424600340648</v>
      </c>
      <c r="AS143" s="1">
        <v>949.65044067197834</v>
      </c>
      <c r="AT143" s="1">
        <v>719.3236674664256</v>
      </c>
      <c r="AU143" s="1">
        <v>1043.1906157727065</v>
      </c>
      <c r="AV143" s="1">
        <v>854.89355225102065</v>
      </c>
      <c r="AW143" s="1">
        <v>851.10603667608689</v>
      </c>
      <c r="AX143" s="1">
        <v>577.98009617078264</v>
      </c>
      <c r="AY143" s="1">
        <v>856.73997621839851</v>
      </c>
      <c r="AZ143" s="1">
        <v>746.11038584293669</v>
      </c>
      <c r="BA143" s="1">
        <v>761.80698607149316</v>
      </c>
      <c r="BB143" s="1">
        <v>744.07302108948977</v>
      </c>
      <c r="BC143" s="2">
        <v>8.9181565948742242E-2</v>
      </c>
      <c r="BD143" s="2">
        <v>0.10665277883445198</v>
      </c>
      <c r="BE143" s="2">
        <v>9.438849084854764E-2</v>
      </c>
      <c r="BF143" s="2">
        <v>7.149564986855049E-2</v>
      </c>
      <c r="BG143" s="2">
        <v>0.10368571810536763</v>
      </c>
      <c r="BH143" s="2">
        <v>8.4970330952544637E-2</v>
      </c>
      <c r="BI143" s="2">
        <v>8.4593878877262704E-2</v>
      </c>
      <c r="BJ143" s="2">
        <v>5.7447105462779965E-2</v>
      </c>
      <c r="BK143" s="2">
        <v>8.5153852345557474E-2</v>
      </c>
      <c r="BL143" s="2">
        <v>7.4158058913035174E-2</v>
      </c>
      <c r="BM143" s="2">
        <v>7.5718189192107169E-2</v>
      </c>
      <c r="BN143" s="2">
        <v>7.3955559365675619E-2</v>
      </c>
    </row>
    <row r="144" spans="1:66" x14ac:dyDescent="0.25">
      <c r="A144" s="8">
        <v>2358</v>
      </c>
      <c r="B144" s="8" t="s">
        <v>851</v>
      </c>
      <c r="C144" s="5">
        <v>10000</v>
      </c>
      <c r="D144" s="5">
        <f>+$C144*BC144</f>
        <v>891.81565948742241</v>
      </c>
      <c r="E144" s="5">
        <f>+$C144*BD144</f>
        <v>1066.5277883445199</v>
      </c>
      <c r="F144" s="5">
        <f>+$C144*BE144</f>
        <v>943.88490848547644</v>
      </c>
      <c r="G144" s="5">
        <f>+$C144*BF144</f>
        <v>714.95649868550493</v>
      </c>
      <c r="H144" s="5">
        <f>+$C144*BG144</f>
        <v>1036.8571810536762</v>
      </c>
      <c r="I144" s="5">
        <f>+$C144*BH144</f>
        <v>849.70330952544634</v>
      </c>
      <c r="J144" s="5">
        <f>+$C144*BI144</f>
        <v>845.93878877262705</v>
      </c>
      <c r="K144" s="5">
        <f>+$C144*BJ144</f>
        <v>574.47105462779962</v>
      </c>
      <c r="L144" s="5">
        <f>+$C144*BK144</f>
        <v>851.5385234555747</v>
      </c>
      <c r="M144" s="5">
        <f>+$C144*BL144</f>
        <v>741.58058913035177</v>
      </c>
      <c r="N144" s="5">
        <f>+$C144*BM144</f>
        <v>757.18189192107172</v>
      </c>
      <c r="O144" s="5">
        <f>+$C144*BN144</f>
        <v>739.55559365675617</v>
      </c>
      <c r="P144" s="5">
        <v>0</v>
      </c>
      <c r="Q144" s="5">
        <f>+$P144*BC144</f>
        <v>0</v>
      </c>
      <c r="R144" s="5">
        <f>+$P144*BD144</f>
        <v>0</v>
      </c>
      <c r="S144" s="5">
        <f>+$P144*BE144</f>
        <v>0</v>
      </c>
      <c r="T144" s="5">
        <f>+$P144*BF144</f>
        <v>0</v>
      </c>
      <c r="U144" s="5">
        <f>+$P144*BG144</f>
        <v>0</v>
      </c>
      <c r="V144" s="5">
        <f>+$P144*BH144</f>
        <v>0</v>
      </c>
      <c r="W144" s="5">
        <f>+$P144*BI144</f>
        <v>0</v>
      </c>
      <c r="X144" s="5">
        <f>+$P144*BJ144</f>
        <v>0</v>
      </c>
      <c r="Y144" s="5">
        <f>+$P144*BK144</f>
        <v>0</v>
      </c>
      <c r="Z144" s="5">
        <f>+$P144*BL144</f>
        <v>0</v>
      </c>
      <c r="AA144" s="5">
        <f>+$P144*BM144</f>
        <v>0</v>
      </c>
      <c r="AB144" s="5">
        <f>+$P144*BN144</f>
        <v>0</v>
      </c>
      <c r="AC144" s="5">
        <v>0</v>
      </c>
      <c r="AD144" s="5">
        <f>+$AC144*BC144</f>
        <v>0</v>
      </c>
      <c r="AE144" s="5">
        <f>+$AC144*BD144</f>
        <v>0</v>
      </c>
      <c r="AF144" s="5">
        <f>+$AC144*BE144</f>
        <v>0</v>
      </c>
      <c r="AG144" s="5">
        <f>+$AC144*BF144</f>
        <v>0</v>
      </c>
      <c r="AH144" s="5">
        <f>+$AC144*BG144</f>
        <v>0</v>
      </c>
      <c r="AI144" s="5">
        <f>+$AC144*BH144</f>
        <v>0</v>
      </c>
      <c r="AJ144" s="5">
        <f>+$AC144*BI144</f>
        <v>0</v>
      </c>
      <c r="AK144" s="5">
        <f>+$AC144*BJ144</f>
        <v>0</v>
      </c>
      <c r="AL144" s="5">
        <f>+$AC144*BK144</f>
        <v>0</v>
      </c>
      <c r="AM144" s="5">
        <f>+$AC144*BL144</f>
        <v>0</v>
      </c>
      <c r="AN144" s="5">
        <f>+$AC144*BM144</f>
        <v>0</v>
      </c>
      <c r="AO144" s="5">
        <f>+$AC144*BN144</f>
        <v>0</v>
      </c>
      <c r="AP144" s="5">
        <f>+AC144+P144+C144</f>
        <v>10000</v>
      </c>
      <c r="AQ144" s="1">
        <v>893.18905560303301</v>
      </c>
      <c r="AR144" s="1">
        <v>1068.1702411385704</v>
      </c>
      <c r="AS144" s="1">
        <v>945.338491244544</v>
      </c>
      <c r="AT144" s="1">
        <v>716.05753169348054</v>
      </c>
      <c r="AU144" s="1">
        <v>1038.4539411124988</v>
      </c>
      <c r="AV144" s="1">
        <v>851.0118526221155</v>
      </c>
      <c r="AW144" s="1">
        <v>847.24153450733684</v>
      </c>
      <c r="AX144" s="1">
        <v>575.35574005192643</v>
      </c>
      <c r="AY144" s="1">
        <v>852.84989278169633</v>
      </c>
      <c r="AZ144" s="1">
        <v>742.72262323761242</v>
      </c>
      <c r="BA144" s="1">
        <v>758.34795203463011</v>
      </c>
      <c r="BB144" s="1">
        <v>740.69450927098751</v>
      </c>
      <c r="BC144" s="2">
        <v>8.9181565948742242E-2</v>
      </c>
      <c r="BD144" s="2">
        <v>0.10665277883445198</v>
      </c>
      <c r="BE144" s="2">
        <v>9.438849084854764E-2</v>
      </c>
      <c r="BF144" s="2">
        <v>7.149564986855049E-2</v>
      </c>
      <c r="BG144" s="2">
        <v>0.10368571810536763</v>
      </c>
      <c r="BH144" s="2">
        <v>8.4970330952544637E-2</v>
      </c>
      <c r="BI144" s="2">
        <v>8.4593878877262704E-2</v>
      </c>
      <c r="BJ144" s="2">
        <v>5.7447105462779965E-2</v>
      </c>
      <c r="BK144" s="2">
        <v>8.5153852345557474E-2</v>
      </c>
      <c r="BL144" s="2">
        <v>7.4158058913035174E-2</v>
      </c>
      <c r="BM144" s="2">
        <v>7.5718189192107169E-2</v>
      </c>
      <c r="BN144" s="2">
        <v>7.3955559365675619E-2</v>
      </c>
    </row>
    <row r="145" spans="1:66" x14ac:dyDescent="0.25">
      <c r="A145" s="8">
        <v>3870</v>
      </c>
      <c r="B145" s="8" t="s">
        <v>850</v>
      </c>
      <c r="C145" s="5">
        <v>0</v>
      </c>
      <c r="D145" s="5">
        <f>+$C145*BC145</f>
        <v>0</v>
      </c>
      <c r="E145" s="5">
        <f>+$C145*BD145</f>
        <v>0</v>
      </c>
      <c r="F145" s="5">
        <f>+$C145*BE145</f>
        <v>0</v>
      </c>
      <c r="G145" s="5">
        <f>+$C145*BF145</f>
        <v>0</v>
      </c>
      <c r="H145" s="5">
        <f>+$C145*BG145</f>
        <v>0</v>
      </c>
      <c r="I145" s="5">
        <f>+$C145*BH145</f>
        <v>0</v>
      </c>
      <c r="J145" s="5">
        <f>+$C145*BI145</f>
        <v>0</v>
      </c>
      <c r="K145" s="5">
        <f>+$C145*BJ145</f>
        <v>0</v>
      </c>
      <c r="L145" s="5">
        <f>+$C145*BK145</f>
        <v>0</v>
      </c>
      <c r="M145" s="5">
        <f>+$C145*BL145</f>
        <v>0</v>
      </c>
      <c r="N145" s="5">
        <f>+$C145*BM145</f>
        <v>0</v>
      </c>
      <c r="O145" s="5">
        <f>+$C145*BN145</f>
        <v>0</v>
      </c>
      <c r="P145" s="5">
        <v>2000</v>
      </c>
      <c r="Q145" s="5">
        <f>+$P145*BC145</f>
        <v>178.36313189748449</v>
      </c>
      <c r="R145" s="5">
        <f>+$P145*BD145</f>
        <v>213.30555766890396</v>
      </c>
      <c r="S145" s="5">
        <f>+$P145*BE145</f>
        <v>188.77698169709529</v>
      </c>
      <c r="T145" s="5">
        <f>+$P145*BF145</f>
        <v>142.99129973710097</v>
      </c>
      <c r="U145" s="5">
        <f>+$P145*BG145</f>
        <v>207.37143621073525</v>
      </c>
      <c r="V145" s="5">
        <f>+$P145*BH145</f>
        <v>169.94066190508929</v>
      </c>
      <c r="W145" s="5">
        <f>+$P145*BI145</f>
        <v>169.18775775452542</v>
      </c>
      <c r="X145" s="5">
        <f>+$P145*BJ145</f>
        <v>114.89421092555993</v>
      </c>
      <c r="Y145" s="5">
        <f>+$P145*BK145</f>
        <v>170.30770469111494</v>
      </c>
      <c r="Z145" s="5">
        <f>+$P145*BL145</f>
        <v>148.31611782607035</v>
      </c>
      <c r="AA145" s="5">
        <f>+$P145*BM145</f>
        <v>151.43637838421435</v>
      </c>
      <c r="AB145" s="5">
        <f>+$P145*BN145</f>
        <v>147.91111873135125</v>
      </c>
      <c r="AC145" s="5">
        <v>0</v>
      </c>
      <c r="AD145" s="5">
        <f>+$AC145*BC145</f>
        <v>0</v>
      </c>
      <c r="AE145" s="5">
        <f>+$AC145*BD145</f>
        <v>0</v>
      </c>
      <c r="AF145" s="5">
        <f>+$AC145*BE145</f>
        <v>0</v>
      </c>
      <c r="AG145" s="5">
        <f>+$AC145*BF145</f>
        <v>0</v>
      </c>
      <c r="AH145" s="5">
        <f>+$AC145*BG145</f>
        <v>0</v>
      </c>
      <c r="AI145" s="5">
        <f>+$AC145*BH145</f>
        <v>0</v>
      </c>
      <c r="AJ145" s="5">
        <f>+$AC145*BI145</f>
        <v>0</v>
      </c>
      <c r="AK145" s="5">
        <f>+$AC145*BJ145</f>
        <v>0</v>
      </c>
      <c r="AL145" s="5">
        <f>+$AC145*BK145</f>
        <v>0</v>
      </c>
      <c r="AM145" s="5">
        <f>+$AC145*BL145</f>
        <v>0</v>
      </c>
      <c r="AN145" s="5">
        <f>+$AC145*BM145</f>
        <v>0</v>
      </c>
      <c r="AO145" s="5">
        <f>+$AC145*BN145</f>
        <v>0</v>
      </c>
      <c r="AP145" s="5">
        <f>+AC145+P145+C145</f>
        <v>2000</v>
      </c>
      <c r="AQ145" s="1">
        <v>891.81565948742241</v>
      </c>
      <c r="AR145" s="1">
        <v>1066.5277883445199</v>
      </c>
      <c r="AS145" s="1">
        <v>943.88490848547644</v>
      </c>
      <c r="AT145" s="1">
        <v>714.95649868550493</v>
      </c>
      <c r="AU145" s="1">
        <v>1036.8571810536762</v>
      </c>
      <c r="AV145" s="1">
        <v>849.70330952544634</v>
      </c>
      <c r="AW145" s="1">
        <v>845.93878877262705</v>
      </c>
      <c r="AX145" s="1">
        <v>574.47105462779962</v>
      </c>
      <c r="AY145" s="1">
        <v>851.5385234555747</v>
      </c>
      <c r="AZ145" s="1">
        <v>741.58058913035177</v>
      </c>
      <c r="BA145" s="1">
        <v>757.18189192107172</v>
      </c>
      <c r="BB145" s="1">
        <v>739.55559365675617</v>
      </c>
      <c r="BC145" s="2">
        <v>8.9181565948742242E-2</v>
      </c>
      <c r="BD145" s="2">
        <v>0.10665277883445198</v>
      </c>
      <c r="BE145" s="2">
        <v>9.438849084854764E-2</v>
      </c>
      <c r="BF145" s="2">
        <v>7.149564986855049E-2</v>
      </c>
      <c r="BG145" s="2">
        <v>0.10368571810536763</v>
      </c>
      <c r="BH145" s="2">
        <v>8.4970330952544637E-2</v>
      </c>
      <c r="BI145" s="2">
        <v>8.4593878877262704E-2</v>
      </c>
      <c r="BJ145" s="2">
        <v>5.7447105462779965E-2</v>
      </c>
      <c r="BK145" s="2">
        <v>8.5153852345557474E-2</v>
      </c>
      <c r="BL145" s="2">
        <v>7.4158058913035174E-2</v>
      </c>
      <c r="BM145" s="2">
        <v>7.5718189192107169E-2</v>
      </c>
      <c r="BN145" s="2">
        <v>7.3955559365675619E-2</v>
      </c>
    </row>
    <row r="146" spans="1:66" x14ac:dyDescent="0.25">
      <c r="A146" s="8">
        <v>4139</v>
      </c>
      <c r="B146" s="8" t="s">
        <v>849</v>
      </c>
      <c r="C146" s="5">
        <v>25000</v>
      </c>
      <c r="D146" s="5">
        <f>+$C146*BC146</f>
        <v>2229.5391487185561</v>
      </c>
      <c r="E146" s="5">
        <f>+$C146*BD146</f>
        <v>2666.3194708612996</v>
      </c>
      <c r="F146" s="5">
        <f>+$C146*BE146</f>
        <v>2359.7122712136911</v>
      </c>
      <c r="G146" s="5">
        <f>+$C146*BF146</f>
        <v>1787.3912467137623</v>
      </c>
      <c r="H146" s="5">
        <f>+$C146*BG146</f>
        <v>2592.1429526341908</v>
      </c>
      <c r="I146" s="5">
        <f>+$C146*BH146</f>
        <v>2124.2582738136161</v>
      </c>
      <c r="J146" s="5">
        <f>+$C146*BI146</f>
        <v>2114.8469719315676</v>
      </c>
      <c r="K146" s="5">
        <f>+$C146*BJ146</f>
        <v>1436.1776365694991</v>
      </c>
      <c r="L146" s="5">
        <f>+$C146*BK146</f>
        <v>2128.846308638937</v>
      </c>
      <c r="M146" s="5">
        <f>+$C146*BL146</f>
        <v>1853.9514728258794</v>
      </c>
      <c r="N146" s="5">
        <f>+$C146*BM146</f>
        <v>1892.9547298026791</v>
      </c>
      <c r="O146" s="5">
        <f>+$C146*BN146</f>
        <v>1848.8889841418904</v>
      </c>
      <c r="P146" s="5">
        <v>8000</v>
      </c>
      <c r="Q146" s="5">
        <f>+$P146*BC146</f>
        <v>713.45252758993797</v>
      </c>
      <c r="R146" s="5">
        <f>+$P146*BD146</f>
        <v>853.22223067561583</v>
      </c>
      <c r="S146" s="5">
        <f>+$P146*BE146</f>
        <v>755.10792678838118</v>
      </c>
      <c r="T146" s="5">
        <f>+$P146*BF146</f>
        <v>571.96519894840389</v>
      </c>
      <c r="U146" s="5">
        <f>+$P146*BG146</f>
        <v>829.48574484294102</v>
      </c>
      <c r="V146" s="5">
        <f>+$P146*BH146</f>
        <v>679.76264762035714</v>
      </c>
      <c r="W146" s="5">
        <f>+$P146*BI146</f>
        <v>676.75103101810168</v>
      </c>
      <c r="X146" s="5">
        <f>+$P146*BJ146</f>
        <v>459.57684370223973</v>
      </c>
      <c r="Y146" s="5">
        <f>+$P146*BK146</f>
        <v>681.23081876445974</v>
      </c>
      <c r="Z146" s="5">
        <f>+$P146*BL146</f>
        <v>593.26447130428141</v>
      </c>
      <c r="AA146" s="5">
        <f>+$P146*BM146</f>
        <v>605.7455135368574</v>
      </c>
      <c r="AB146" s="5">
        <f>+$P146*BN146</f>
        <v>591.64447492540501</v>
      </c>
      <c r="AC146" s="5">
        <v>0</v>
      </c>
      <c r="AD146" s="5">
        <f>+$AC146*BC146</f>
        <v>0</v>
      </c>
      <c r="AE146" s="5">
        <f>+$AC146*BD146</f>
        <v>0</v>
      </c>
      <c r="AF146" s="5">
        <f>+$AC146*BE146</f>
        <v>0</v>
      </c>
      <c r="AG146" s="5">
        <f>+$AC146*BF146</f>
        <v>0</v>
      </c>
      <c r="AH146" s="5">
        <f>+$AC146*BG146</f>
        <v>0</v>
      </c>
      <c r="AI146" s="5">
        <f>+$AC146*BH146</f>
        <v>0</v>
      </c>
      <c r="AJ146" s="5">
        <f>+$AC146*BI146</f>
        <v>0</v>
      </c>
      <c r="AK146" s="5">
        <f>+$AC146*BJ146</f>
        <v>0</v>
      </c>
      <c r="AL146" s="5">
        <f>+$AC146*BK146</f>
        <v>0</v>
      </c>
      <c r="AM146" s="5">
        <f>+$AC146*BL146</f>
        <v>0</v>
      </c>
      <c r="AN146" s="5">
        <f>+$AC146*BM146</f>
        <v>0</v>
      </c>
      <c r="AO146" s="5">
        <f>+$AC146*BN146</f>
        <v>0</v>
      </c>
      <c r="AP146" s="5">
        <f>+AC146+P146+C146</f>
        <v>33000</v>
      </c>
      <c r="AQ146" s="1">
        <v>891.81565948742241</v>
      </c>
      <c r="AR146" s="1">
        <v>1066.5277883445199</v>
      </c>
      <c r="AS146" s="1">
        <v>943.88490848547644</v>
      </c>
      <c r="AT146" s="1">
        <v>714.95649868550493</v>
      </c>
      <c r="AU146" s="1">
        <v>1036.8571810536762</v>
      </c>
      <c r="AV146" s="1">
        <v>849.70330952544634</v>
      </c>
      <c r="AW146" s="1">
        <v>845.93878877262705</v>
      </c>
      <c r="AX146" s="1">
        <v>574.47105462779962</v>
      </c>
      <c r="AY146" s="1">
        <v>851.5385234555747</v>
      </c>
      <c r="AZ146" s="1">
        <v>741.58058913035177</v>
      </c>
      <c r="BA146" s="1">
        <v>757.18189192107172</v>
      </c>
      <c r="BB146" s="1">
        <v>739.55559365675617</v>
      </c>
      <c r="BC146" s="2">
        <v>8.9181565948742242E-2</v>
      </c>
      <c r="BD146" s="2">
        <v>0.10665277883445198</v>
      </c>
      <c r="BE146" s="2">
        <v>9.438849084854764E-2</v>
      </c>
      <c r="BF146" s="2">
        <v>7.149564986855049E-2</v>
      </c>
      <c r="BG146" s="2">
        <v>0.10368571810536763</v>
      </c>
      <c r="BH146" s="2">
        <v>8.4970330952544637E-2</v>
      </c>
      <c r="BI146" s="2">
        <v>8.4593878877262704E-2</v>
      </c>
      <c r="BJ146" s="2">
        <v>5.7447105462779965E-2</v>
      </c>
      <c r="BK146" s="2">
        <v>8.5153852345557474E-2</v>
      </c>
      <c r="BL146" s="2">
        <v>7.4158058913035174E-2</v>
      </c>
      <c r="BM146" s="2">
        <v>7.5718189192107169E-2</v>
      </c>
      <c r="BN146" s="2">
        <v>7.3955559365675619E-2</v>
      </c>
    </row>
    <row r="147" spans="1:66" x14ac:dyDescent="0.25">
      <c r="A147" s="8">
        <v>4259</v>
      </c>
      <c r="B147" s="8" t="s">
        <v>848</v>
      </c>
      <c r="C147" s="5">
        <v>10000</v>
      </c>
      <c r="D147" s="5">
        <f>+$C147*BC147</f>
        <v>891.81565948742241</v>
      </c>
      <c r="E147" s="5">
        <f>+$C147*BD147</f>
        <v>1066.5277883445199</v>
      </c>
      <c r="F147" s="5">
        <f>+$C147*BE147</f>
        <v>943.88490848547644</v>
      </c>
      <c r="G147" s="5">
        <f>+$C147*BF147</f>
        <v>714.95649868550493</v>
      </c>
      <c r="H147" s="5">
        <f>+$C147*BG147</f>
        <v>1036.8571810536762</v>
      </c>
      <c r="I147" s="5">
        <f>+$C147*BH147</f>
        <v>849.70330952544634</v>
      </c>
      <c r="J147" s="5">
        <f>+$C147*BI147</f>
        <v>845.93878877262705</v>
      </c>
      <c r="K147" s="5">
        <f>+$C147*BJ147</f>
        <v>574.47105462779962</v>
      </c>
      <c r="L147" s="5">
        <f>+$C147*BK147</f>
        <v>851.5385234555747</v>
      </c>
      <c r="M147" s="5">
        <f>+$C147*BL147</f>
        <v>741.58058913035177</v>
      </c>
      <c r="N147" s="5">
        <f>+$C147*BM147</f>
        <v>757.18189192107172</v>
      </c>
      <c r="O147" s="5">
        <f>+$C147*BN147</f>
        <v>739.55559365675617</v>
      </c>
      <c r="P147" s="5">
        <v>0</v>
      </c>
      <c r="Q147" s="5">
        <f>+$P147*BC147</f>
        <v>0</v>
      </c>
      <c r="R147" s="5">
        <f>+$P147*BD147</f>
        <v>0</v>
      </c>
      <c r="S147" s="5">
        <f>+$P147*BE147</f>
        <v>0</v>
      </c>
      <c r="T147" s="5">
        <f>+$P147*BF147</f>
        <v>0</v>
      </c>
      <c r="U147" s="5">
        <f>+$P147*BG147</f>
        <v>0</v>
      </c>
      <c r="V147" s="5">
        <f>+$P147*BH147</f>
        <v>0</v>
      </c>
      <c r="W147" s="5">
        <f>+$P147*BI147</f>
        <v>0</v>
      </c>
      <c r="X147" s="5">
        <f>+$P147*BJ147</f>
        <v>0</v>
      </c>
      <c r="Y147" s="5">
        <f>+$P147*BK147</f>
        <v>0</v>
      </c>
      <c r="Z147" s="5">
        <f>+$P147*BL147</f>
        <v>0</v>
      </c>
      <c r="AA147" s="5">
        <f>+$P147*BM147</f>
        <v>0</v>
      </c>
      <c r="AB147" s="5">
        <f>+$P147*BN147</f>
        <v>0</v>
      </c>
      <c r="AC147" s="5">
        <v>0</v>
      </c>
      <c r="AD147" s="5">
        <f>+$AC147*BC147</f>
        <v>0</v>
      </c>
      <c r="AE147" s="5">
        <f>+$AC147*BD147</f>
        <v>0</v>
      </c>
      <c r="AF147" s="5">
        <f>+$AC147*BE147</f>
        <v>0</v>
      </c>
      <c r="AG147" s="5">
        <f>+$AC147*BF147</f>
        <v>0</v>
      </c>
      <c r="AH147" s="5">
        <f>+$AC147*BG147</f>
        <v>0</v>
      </c>
      <c r="AI147" s="5">
        <f>+$AC147*BH147</f>
        <v>0</v>
      </c>
      <c r="AJ147" s="5">
        <f>+$AC147*BI147</f>
        <v>0</v>
      </c>
      <c r="AK147" s="5">
        <f>+$AC147*BJ147</f>
        <v>0</v>
      </c>
      <c r="AL147" s="5">
        <f>+$AC147*BK147</f>
        <v>0</v>
      </c>
      <c r="AM147" s="5">
        <f>+$AC147*BL147</f>
        <v>0</v>
      </c>
      <c r="AN147" s="5">
        <f>+$AC147*BM147</f>
        <v>0</v>
      </c>
      <c r="AO147" s="5">
        <f>+$AC147*BN147</f>
        <v>0</v>
      </c>
      <c r="AP147" s="5">
        <f>+AC147+P147+C147</f>
        <v>10000</v>
      </c>
      <c r="AQ147" s="1">
        <v>891.81565948742241</v>
      </c>
      <c r="AR147" s="1">
        <v>1066.5277883445199</v>
      </c>
      <c r="AS147" s="1">
        <v>943.88490848547644</v>
      </c>
      <c r="AT147" s="1">
        <v>714.95649868550493</v>
      </c>
      <c r="AU147" s="1">
        <v>1036.8571810536762</v>
      </c>
      <c r="AV147" s="1">
        <v>849.70330952544634</v>
      </c>
      <c r="AW147" s="1">
        <v>845.93878877262705</v>
      </c>
      <c r="AX147" s="1">
        <v>574.47105462779962</v>
      </c>
      <c r="AY147" s="1">
        <v>851.5385234555747</v>
      </c>
      <c r="AZ147" s="1">
        <v>741.58058913035177</v>
      </c>
      <c r="BA147" s="1">
        <v>757.18189192107172</v>
      </c>
      <c r="BB147" s="1">
        <v>739.55559365675617</v>
      </c>
      <c r="BC147" s="2">
        <v>8.9181565948742242E-2</v>
      </c>
      <c r="BD147" s="2">
        <v>0.10665277883445198</v>
      </c>
      <c r="BE147" s="2">
        <v>9.438849084854764E-2</v>
      </c>
      <c r="BF147" s="2">
        <v>7.149564986855049E-2</v>
      </c>
      <c r="BG147" s="2">
        <v>0.10368571810536763</v>
      </c>
      <c r="BH147" s="2">
        <v>8.4970330952544637E-2</v>
      </c>
      <c r="BI147" s="2">
        <v>8.4593878877262704E-2</v>
      </c>
      <c r="BJ147" s="2">
        <v>5.7447105462779965E-2</v>
      </c>
      <c r="BK147" s="2">
        <v>8.5153852345557474E-2</v>
      </c>
      <c r="BL147" s="2">
        <v>7.4158058913035174E-2</v>
      </c>
      <c r="BM147" s="2">
        <v>7.5718189192107169E-2</v>
      </c>
      <c r="BN147" s="2">
        <v>7.3955559365675619E-2</v>
      </c>
    </row>
    <row r="148" spans="1:66" x14ac:dyDescent="0.25">
      <c r="A148" s="8">
        <v>4471</v>
      </c>
      <c r="B148" s="8" t="s">
        <v>847</v>
      </c>
      <c r="C148" s="5">
        <v>10000</v>
      </c>
      <c r="D148" s="5">
        <f>+$C148*BC148</f>
        <v>891.81565948742241</v>
      </c>
      <c r="E148" s="5">
        <f>+$C148*BD148</f>
        <v>1066.5277883445199</v>
      </c>
      <c r="F148" s="5">
        <f>+$C148*BE148</f>
        <v>943.88490848547644</v>
      </c>
      <c r="G148" s="5">
        <f>+$C148*BF148</f>
        <v>714.95649868550493</v>
      </c>
      <c r="H148" s="5">
        <f>+$C148*BG148</f>
        <v>1036.8571810536762</v>
      </c>
      <c r="I148" s="5">
        <f>+$C148*BH148</f>
        <v>849.70330952544634</v>
      </c>
      <c r="J148" s="5">
        <f>+$C148*BI148</f>
        <v>845.93878877262705</v>
      </c>
      <c r="K148" s="5">
        <f>+$C148*BJ148</f>
        <v>574.47105462779962</v>
      </c>
      <c r="L148" s="5">
        <f>+$C148*BK148</f>
        <v>851.5385234555747</v>
      </c>
      <c r="M148" s="5">
        <f>+$C148*BL148</f>
        <v>741.58058913035177</v>
      </c>
      <c r="N148" s="5">
        <f>+$C148*BM148</f>
        <v>757.18189192107172</v>
      </c>
      <c r="O148" s="5">
        <f>+$C148*BN148</f>
        <v>739.55559365675617</v>
      </c>
      <c r="P148" s="5">
        <v>0</v>
      </c>
      <c r="Q148" s="5">
        <f>+$P148*BC148</f>
        <v>0</v>
      </c>
      <c r="R148" s="5">
        <f>+$P148*BD148</f>
        <v>0</v>
      </c>
      <c r="S148" s="5">
        <f>+$P148*BE148</f>
        <v>0</v>
      </c>
      <c r="T148" s="5">
        <f>+$P148*BF148</f>
        <v>0</v>
      </c>
      <c r="U148" s="5">
        <f>+$P148*BG148</f>
        <v>0</v>
      </c>
      <c r="V148" s="5">
        <f>+$P148*BH148</f>
        <v>0</v>
      </c>
      <c r="W148" s="5">
        <f>+$P148*BI148</f>
        <v>0</v>
      </c>
      <c r="X148" s="5">
        <f>+$P148*BJ148</f>
        <v>0</v>
      </c>
      <c r="Y148" s="5">
        <f>+$P148*BK148</f>
        <v>0</v>
      </c>
      <c r="Z148" s="5">
        <f>+$P148*BL148</f>
        <v>0</v>
      </c>
      <c r="AA148" s="5">
        <f>+$P148*BM148</f>
        <v>0</v>
      </c>
      <c r="AB148" s="5">
        <f>+$P148*BN148</f>
        <v>0</v>
      </c>
      <c r="AC148" s="5">
        <v>0</v>
      </c>
      <c r="AD148" s="5">
        <f>+$AC148*BC148</f>
        <v>0</v>
      </c>
      <c r="AE148" s="5">
        <f>+$AC148*BD148</f>
        <v>0</v>
      </c>
      <c r="AF148" s="5">
        <f>+$AC148*BE148</f>
        <v>0</v>
      </c>
      <c r="AG148" s="5">
        <f>+$AC148*BF148</f>
        <v>0</v>
      </c>
      <c r="AH148" s="5">
        <f>+$AC148*BG148</f>
        <v>0</v>
      </c>
      <c r="AI148" s="5">
        <f>+$AC148*BH148</f>
        <v>0</v>
      </c>
      <c r="AJ148" s="5">
        <f>+$AC148*BI148</f>
        <v>0</v>
      </c>
      <c r="AK148" s="5">
        <f>+$AC148*BJ148</f>
        <v>0</v>
      </c>
      <c r="AL148" s="5">
        <f>+$AC148*BK148</f>
        <v>0</v>
      </c>
      <c r="AM148" s="5">
        <f>+$AC148*BL148</f>
        <v>0</v>
      </c>
      <c r="AN148" s="5">
        <f>+$AC148*BM148</f>
        <v>0</v>
      </c>
      <c r="AO148" s="5">
        <f>+$AC148*BN148</f>
        <v>0</v>
      </c>
      <c r="AP148" s="5">
        <f>+AC148+P148+C148</f>
        <v>10000</v>
      </c>
      <c r="AQ148" s="1">
        <v>891.81565948742241</v>
      </c>
      <c r="AR148" s="1">
        <v>1066.5277883445199</v>
      </c>
      <c r="AS148" s="1">
        <v>943.88490848547644</v>
      </c>
      <c r="AT148" s="1">
        <v>714.95649868550493</v>
      </c>
      <c r="AU148" s="1">
        <v>1036.8571810536762</v>
      </c>
      <c r="AV148" s="1">
        <v>849.70330952544634</v>
      </c>
      <c r="AW148" s="1">
        <v>845.93878877262705</v>
      </c>
      <c r="AX148" s="1">
        <v>574.47105462779962</v>
      </c>
      <c r="AY148" s="1">
        <v>851.5385234555747</v>
      </c>
      <c r="AZ148" s="1">
        <v>741.58058913035177</v>
      </c>
      <c r="BA148" s="1">
        <v>757.18189192107172</v>
      </c>
      <c r="BB148" s="1">
        <v>739.55559365675617</v>
      </c>
      <c r="BC148" s="2">
        <v>8.9181565948742242E-2</v>
      </c>
      <c r="BD148" s="2">
        <v>0.10665277883445198</v>
      </c>
      <c r="BE148" s="2">
        <v>9.438849084854764E-2</v>
      </c>
      <c r="BF148" s="2">
        <v>7.149564986855049E-2</v>
      </c>
      <c r="BG148" s="2">
        <v>0.10368571810536763</v>
      </c>
      <c r="BH148" s="2">
        <v>8.4970330952544637E-2</v>
      </c>
      <c r="BI148" s="2">
        <v>8.4593878877262704E-2</v>
      </c>
      <c r="BJ148" s="2">
        <v>5.7447105462779965E-2</v>
      </c>
      <c r="BK148" s="2">
        <v>8.5153852345557474E-2</v>
      </c>
      <c r="BL148" s="2">
        <v>7.4158058913035174E-2</v>
      </c>
      <c r="BM148" s="2">
        <v>7.5718189192107169E-2</v>
      </c>
      <c r="BN148" s="2">
        <v>7.3955559365675619E-2</v>
      </c>
    </row>
    <row r="149" spans="1:66" x14ac:dyDescent="0.25">
      <c r="A149" s="8">
        <v>4662</v>
      </c>
      <c r="B149" s="8" t="s">
        <v>846</v>
      </c>
      <c r="C149" s="5">
        <v>10000</v>
      </c>
      <c r="D149" s="5">
        <f>+$C149*BC149</f>
        <v>891.81565948742241</v>
      </c>
      <c r="E149" s="5">
        <f>+$C149*BD149</f>
        <v>1066.5277883445199</v>
      </c>
      <c r="F149" s="5">
        <f>+$C149*BE149</f>
        <v>943.88490848547644</v>
      </c>
      <c r="G149" s="5">
        <f>+$C149*BF149</f>
        <v>714.95649868550493</v>
      </c>
      <c r="H149" s="5">
        <f>+$C149*BG149</f>
        <v>1036.8571810536762</v>
      </c>
      <c r="I149" s="5">
        <f>+$C149*BH149</f>
        <v>849.70330952544634</v>
      </c>
      <c r="J149" s="5">
        <f>+$C149*BI149</f>
        <v>845.93878877262705</v>
      </c>
      <c r="K149" s="5">
        <f>+$C149*BJ149</f>
        <v>574.47105462779962</v>
      </c>
      <c r="L149" s="5">
        <f>+$C149*BK149</f>
        <v>851.5385234555747</v>
      </c>
      <c r="M149" s="5">
        <f>+$C149*BL149</f>
        <v>741.58058913035177</v>
      </c>
      <c r="N149" s="5">
        <f>+$C149*BM149</f>
        <v>757.18189192107172</v>
      </c>
      <c r="O149" s="5">
        <f>+$C149*BN149</f>
        <v>739.55559365675617</v>
      </c>
      <c r="P149" s="5">
        <v>0</v>
      </c>
      <c r="Q149" s="5">
        <f>+$P149*BC149</f>
        <v>0</v>
      </c>
      <c r="R149" s="5">
        <f>+$P149*BD149</f>
        <v>0</v>
      </c>
      <c r="S149" s="5">
        <f>+$P149*BE149</f>
        <v>0</v>
      </c>
      <c r="T149" s="5">
        <f>+$P149*BF149</f>
        <v>0</v>
      </c>
      <c r="U149" s="5">
        <f>+$P149*BG149</f>
        <v>0</v>
      </c>
      <c r="V149" s="5">
        <f>+$P149*BH149</f>
        <v>0</v>
      </c>
      <c r="W149" s="5">
        <f>+$P149*BI149</f>
        <v>0</v>
      </c>
      <c r="X149" s="5">
        <f>+$P149*BJ149</f>
        <v>0</v>
      </c>
      <c r="Y149" s="5">
        <f>+$P149*BK149</f>
        <v>0</v>
      </c>
      <c r="Z149" s="5">
        <f>+$P149*BL149</f>
        <v>0</v>
      </c>
      <c r="AA149" s="5">
        <f>+$P149*BM149</f>
        <v>0</v>
      </c>
      <c r="AB149" s="5">
        <f>+$P149*BN149</f>
        <v>0</v>
      </c>
      <c r="AC149" s="5">
        <v>0</v>
      </c>
      <c r="AD149" s="5">
        <f>+$AC149*BC149</f>
        <v>0</v>
      </c>
      <c r="AE149" s="5">
        <f>+$AC149*BD149</f>
        <v>0</v>
      </c>
      <c r="AF149" s="5">
        <f>+$AC149*BE149</f>
        <v>0</v>
      </c>
      <c r="AG149" s="5">
        <f>+$AC149*BF149</f>
        <v>0</v>
      </c>
      <c r="AH149" s="5">
        <f>+$AC149*BG149</f>
        <v>0</v>
      </c>
      <c r="AI149" s="5">
        <f>+$AC149*BH149</f>
        <v>0</v>
      </c>
      <c r="AJ149" s="5">
        <f>+$AC149*BI149</f>
        <v>0</v>
      </c>
      <c r="AK149" s="5">
        <f>+$AC149*BJ149</f>
        <v>0</v>
      </c>
      <c r="AL149" s="5">
        <f>+$AC149*BK149</f>
        <v>0</v>
      </c>
      <c r="AM149" s="5">
        <f>+$AC149*BL149</f>
        <v>0</v>
      </c>
      <c r="AN149" s="5">
        <f>+$AC149*BM149</f>
        <v>0</v>
      </c>
      <c r="AO149" s="5">
        <f>+$AC149*BN149</f>
        <v>0</v>
      </c>
      <c r="AP149" s="5">
        <f>+AC149+P149+C149</f>
        <v>10000</v>
      </c>
      <c r="AQ149" s="1">
        <v>907.50180512214661</v>
      </c>
      <c r="AR149" s="1">
        <v>1085.2869456137116</v>
      </c>
      <c r="AS149" s="1">
        <v>960.4869001408274</v>
      </c>
      <c r="AT149" s="1">
        <v>727.53186854088415</v>
      </c>
      <c r="AU149" s="1">
        <v>1055.0944620112293</v>
      </c>
      <c r="AV149" s="1">
        <v>864.64874103668944</v>
      </c>
      <c r="AW149" s="1">
        <v>860.81800612834877</v>
      </c>
      <c r="AX149" s="1">
        <v>584.57542600764793</v>
      </c>
      <c r="AY149" s="1">
        <v>866.51623454463481</v>
      </c>
      <c r="AZ149" s="1">
        <v>754.62425011256551</v>
      </c>
      <c r="BA149" s="1">
        <v>770.49996421807134</v>
      </c>
      <c r="BB149" s="1">
        <v>752.56363699358485</v>
      </c>
      <c r="BC149" s="2">
        <v>8.9181565948742242E-2</v>
      </c>
      <c r="BD149" s="2">
        <v>0.10665277883445198</v>
      </c>
      <c r="BE149" s="2">
        <v>9.438849084854764E-2</v>
      </c>
      <c r="BF149" s="2">
        <v>7.149564986855049E-2</v>
      </c>
      <c r="BG149" s="2">
        <v>0.10368571810536763</v>
      </c>
      <c r="BH149" s="2">
        <v>8.4970330952544637E-2</v>
      </c>
      <c r="BI149" s="2">
        <v>8.4593878877262704E-2</v>
      </c>
      <c r="BJ149" s="2">
        <v>5.7447105462779965E-2</v>
      </c>
      <c r="BK149" s="2">
        <v>8.5153852345557474E-2</v>
      </c>
      <c r="BL149" s="2">
        <v>7.4158058913035174E-2</v>
      </c>
      <c r="BM149" s="2">
        <v>7.5718189192107169E-2</v>
      </c>
      <c r="BN149" s="2">
        <v>7.3955559365675619E-2</v>
      </c>
    </row>
    <row r="150" spans="1:66" x14ac:dyDescent="0.25">
      <c r="A150" s="8">
        <v>4784</v>
      </c>
      <c r="B150" s="8" t="s">
        <v>845</v>
      </c>
      <c r="C150" s="5">
        <v>0</v>
      </c>
      <c r="D150" s="5">
        <f>+$C150*BC150</f>
        <v>0</v>
      </c>
      <c r="E150" s="5">
        <f>+$C150*BD150</f>
        <v>0</v>
      </c>
      <c r="F150" s="5">
        <f>+$C150*BE150</f>
        <v>0</v>
      </c>
      <c r="G150" s="5">
        <f>+$C150*BF150</f>
        <v>0</v>
      </c>
      <c r="H150" s="5">
        <f>+$C150*BG150</f>
        <v>0</v>
      </c>
      <c r="I150" s="5">
        <f>+$C150*BH150</f>
        <v>0</v>
      </c>
      <c r="J150" s="5">
        <f>+$C150*BI150</f>
        <v>0</v>
      </c>
      <c r="K150" s="5">
        <f>+$C150*BJ150</f>
        <v>0</v>
      </c>
      <c r="L150" s="5">
        <f>+$C150*BK150</f>
        <v>0</v>
      </c>
      <c r="M150" s="5">
        <f>+$C150*BL150</f>
        <v>0</v>
      </c>
      <c r="N150" s="5">
        <f>+$C150*BM150</f>
        <v>0</v>
      </c>
      <c r="O150" s="5">
        <f>+$C150*BN150</f>
        <v>0</v>
      </c>
      <c r="P150" s="5">
        <v>0</v>
      </c>
      <c r="Q150" s="5">
        <f>+$P150*BC150</f>
        <v>0</v>
      </c>
      <c r="R150" s="5">
        <f>+$P150*BD150</f>
        <v>0</v>
      </c>
      <c r="S150" s="5">
        <f>+$P150*BE150</f>
        <v>0</v>
      </c>
      <c r="T150" s="5">
        <f>+$P150*BF150</f>
        <v>0</v>
      </c>
      <c r="U150" s="5">
        <f>+$P150*BG150</f>
        <v>0</v>
      </c>
      <c r="V150" s="5">
        <f>+$P150*BH150</f>
        <v>0</v>
      </c>
      <c r="W150" s="5">
        <f>+$P150*BI150</f>
        <v>0</v>
      </c>
      <c r="X150" s="5">
        <f>+$P150*BJ150</f>
        <v>0</v>
      </c>
      <c r="Y150" s="5">
        <f>+$P150*BK150</f>
        <v>0</v>
      </c>
      <c r="Z150" s="5">
        <f>+$P150*BL150</f>
        <v>0</v>
      </c>
      <c r="AA150" s="5">
        <f>+$P150*BM150</f>
        <v>0</v>
      </c>
      <c r="AB150" s="5">
        <f>+$P150*BN150</f>
        <v>0</v>
      </c>
      <c r="AC150" s="5">
        <v>0</v>
      </c>
      <c r="AD150" s="5">
        <f>+$AC150*BC150</f>
        <v>0</v>
      </c>
      <c r="AE150" s="5">
        <f>+$AC150*BD150</f>
        <v>0</v>
      </c>
      <c r="AF150" s="5">
        <f>+$AC150*BE150</f>
        <v>0</v>
      </c>
      <c r="AG150" s="5">
        <f>+$AC150*BF150</f>
        <v>0</v>
      </c>
      <c r="AH150" s="5">
        <f>+$AC150*BG150</f>
        <v>0</v>
      </c>
      <c r="AI150" s="5">
        <f>+$AC150*BH150</f>
        <v>0</v>
      </c>
      <c r="AJ150" s="5">
        <f>+$AC150*BI150</f>
        <v>0</v>
      </c>
      <c r="AK150" s="5">
        <f>+$AC150*BJ150</f>
        <v>0</v>
      </c>
      <c r="AL150" s="5">
        <f>+$AC150*BK150</f>
        <v>0</v>
      </c>
      <c r="AM150" s="5">
        <f>+$AC150*BL150</f>
        <v>0</v>
      </c>
      <c r="AN150" s="5">
        <f>+$AC150*BM150</f>
        <v>0</v>
      </c>
      <c r="AO150" s="5">
        <f>+$AC150*BN150</f>
        <v>0</v>
      </c>
      <c r="AP150" s="5">
        <f>+AC150+P150+C150</f>
        <v>0</v>
      </c>
      <c r="AQ150" s="1">
        <v>891.81565948742241</v>
      </c>
      <c r="AR150" s="1">
        <v>1066.5277883445199</v>
      </c>
      <c r="AS150" s="1">
        <v>943.88490848547644</v>
      </c>
      <c r="AT150" s="1">
        <v>714.95649868550493</v>
      </c>
      <c r="AU150" s="1">
        <v>1036.8571810536762</v>
      </c>
      <c r="AV150" s="1">
        <v>849.70330952544634</v>
      </c>
      <c r="AW150" s="1">
        <v>845.93878877262705</v>
      </c>
      <c r="AX150" s="1">
        <v>574.47105462779962</v>
      </c>
      <c r="AY150" s="1">
        <v>851.5385234555747</v>
      </c>
      <c r="AZ150" s="1">
        <v>741.58058913035177</v>
      </c>
      <c r="BA150" s="1">
        <v>757.18189192107172</v>
      </c>
      <c r="BB150" s="1">
        <v>739.55559365675617</v>
      </c>
      <c r="BC150" s="2">
        <v>8.9181565948742242E-2</v>
      </c>
      <c r="BD150" s="2">
        <v>0.10665277883445198</v>
      </c>
      <c r="BE150" s="2">
        <v>9.438849084854764E-2</v>
      </c>
      <c r="BF150" s="2">
        <v>7.149564986855049E-2</v>
      </c>
      <c r="BG150" s="2">
        <v>0.10368571810536763</v>
      </c>
      <c r="BH150" s="2">
        <v>8.4970330952544637E-2</v>
      </c>
      <c r="BI150" s="2">
        <v>8.4593878877262704E-2</v>
      </c>
      <c r="BJ150" s="2">
        <v>5.7447105462779965E-2</v>
      </c>
      <c r="BK150" s="2">
        <v>8.5153852345557474E-2</v>
      </c>
      <c r="BL150" s="2">
        <v>7.4158058913035174E-2</v>
      </c>
      <c r="BM150" s="2">
        <v>7.5718189192107169E-2</v>
      </c>
      <c r="BN150" s="2">
        <v>7.3955559365675619E-2</v>
      </c>
    </row>
    <row r="151" spans="1:66" x14ac:dyDescent="0.25">
      <c r="A151" s="8">
        <v>5095</v>
      </c>
      <c r="B151" s="8" t="s">
        <v>844</v>
      </c>
      <c r="C151" s="5">
        <v>0</v>
      </c>
      <c r="D151" s="5">
        <f>+$C151*BC151</f>
        <v>0</v>
      </c>
      <c r="E151" s="5">
        <f>+$C151*BD151</f>
        <v>0</v>
      </c>
      <c r="F151" s="5">
        <f>+$C151*BE151</f>
        <v>0</v>
      </c>
      <c r="G151" s="5">
        <f>+$C151*BF151</f>
        <v>0</v>
      </c>
      <c r="H151" s="5">
        <f>+$C151*BG151</f>
        <v>0</v>
      </c>
      <c r="I151" s="5">
        <f>+$C151*BH151</f>
        <v>0</v>
      </c>
      <c r="J151" s="5">
        <f>+$C151*BI151</f>
        <v>0</v>
      </c>
      <c r="K151" s="5">
        <f>+$C151*BJ151</f>
        <v>0</v>
      </c>
      <c r="L151" s="5">
        <f>+$C151*BK151</f>
        <v>0</v>
      </c>
      <c r="M151" s="5">
        <f>+$C151*BL151</f>
        <v>0</v>
      </c>
      <c r="N151" s="5">
        <f>+$C151*BM151</f>
        <v>0</v>
      </c>
      <c r="O151" s="5">
        <f>+$C151*BN151</f>
        <v>0</v>
      </c>
      <c r="P151" s="5">
        <v>250000</v>
      </c>
      <c r="Q151" s="5">
        <f>+$P151*BC151</f>
        <v>22295.39148718556</v>
      </c>
      <c r="R151" s="5">
        <f>+$P151*BD151</f>
        <v>26663.194708612995</v>
      </c>
      <c r="S151" s="5">
        <f>+$P151*BE151</f>
        <v>23597.122712136908</v>
      </c>
      <c r="T151" s="5">
        <f>+$P151*BF151</f>
        <v>17873.912467137623</v>
      </c>
      <c r="U151" s="5">
        <f>+$P151*BG151</f>
        <v>25921.429526341908</v>
      </c>
      <c r="V151" s="5">
        <f>+$P151*BH151</f>
        <v>21242.58273813616</v>
      </c>
      <c r="W151" s="5">
        <f>+$P151*BI151</f>
        <v>21148.469719315675</v>
      </c>
      <c r="X151" s="5">
        <f>+$P151*BJ151</f>
        <v>14361.776365694992</v>
      </c>
      <c r="Y151" s="5">
        <f>+$P151*BK151</f>
        <v>21288.463086389369</v>
      </c>
      <c r="Z151" s="5">
        <f>+$P151*BL151</f>
        <v>18539.514728258793</v>
      </c>
      <c r="AA151" s="5">
        <f>+$P151*BM151</f>
        <v>18929.547298026791</v>
      </c>
      <c r="AB151" s="5">
        <f>+$P151*BN151</f>
        <v>18488.889841418906</v>
      </c>
      <c r="AC151" s="5">
        <v>0</v>
      </c>
      <c r="AD151" s="5">
        <f>+$AC151*BC151</f>
        <v>0</v>
      </c>
      <c r="AE151" s="5">
        <f>+$AC151*BD151</f>
        <v>0</v>
      </c>
      <c r="AF151" s="5">
        <f>+$AC151*BE151</f>
        <v>0</v>
      </c>
      <c r="AG151" s="5">
        <f>+$AC151*BF151</f>
        <v>0</v>
      </c>
      <c r="AH151" s="5">
        <f>+$AC151*BG151</f>
        <v>0</v>
      </c>
      <c r="AI151" s="5">
        <f>+$AC151*BH151</f>
        <v>0</v>
      </c>
      <c r="AJ151" s="5">
        <f>+$AC151*BI151</f>
        <v>0</v>
      </c>
      <c r="AK151" s="5">
        <f>+$AC151*BJ151</f>
        <v>0</v>
      </c>
      <c r="AL151" s="5">
        <f>+$AC151*BK151</f>
        <v>0</v>
      </c>
      <c r="AM151" s="5">
        <f>+$AC151*BL151</f>
        <v>0</v>
      </c>
      <c r="AN151" s="5">
        <f>+$AC151*BM151</f>
        <v>0</v>
      </c>
      <c r="AO151" s="5">
        <f>+$AC151*BN151</f>
        <v>0</v>
      </c>
      <c r="AP151" s="5">
        <f>+AC151+P151+C151</f>
        <v>250000</v>
      </c>
      <c r="AQ151" s="1">
        <v>2675.4469784622675</v>
      </c>
      <c r="AR151" s="1">
        <v>3199.5833650335594</v>
      </c>
      <c r="AS151" s="1">
        <v>2831.6547254564293</v>
      </c>
      <c r="AT151" s="1">
        <v>2144.8694960565149</v>
      </c>
      <c r="AU151" s="1">
        <v>3110.5715431610288</v>
      </c>
      <c r="AV151" s="1">
        <v>2549.1099285763389</v>
      </c>
      <c r="AW151" s="1">
        <v>2537.8163663178811</v>
      </c>
      <c r="AX151" s="1">
        <v>1723.413163883399</v>
      </c>
      <c r="AY151" s="1">
        <v>2554.6155703667241</v>
      </c>
      <c r="AZ151" s="1">
        <v>2224.7417673910554</v>
      </c>
      <c r="BA151" s="1">
        <v>2271.5456757632151</v>
      </c>
      <c r="BB151" s="1">
        <v>2218.6667809702685</v>
      </c>
      <c r="BC151" s="2">
        <v>8.9181565948742242E-2</v>
      </c>
      <c r="BD151" s="2">
        <v>0.10665277883445198</v>
      </c>
      <c r="BE151" s="2">
        <v>9.438849084854764E-2</v>
      </c>
      <c r="BF151" s="2">
        <v>7.149564986855049E-2</v>
      </c>
      <c r="BG151" s="2">
        <v>0.10368571810536763</v>
      </c>
      <c r="BH151" s="2">
        <v>8.4970330952544637E-2</v>
      </c>
      <c r="BI151" s="2">
        <v>8.4593878877262704E-2</v>
      </c>
      <c r="BJ151" s="2">
        <v>5.7447105462779965E-2</v>
      </c>
      <c r="BK151" s="2">
        <v>8.5153852345557474E-2</v>
      </c>
      <c r="BL151" s="2">
        <v>7.4158058913035174E-2</v>
      </c>
      <c r="BM151" s="2">
        <v>7.5718189192107169E-2</v>
      </c>
      <c r="BN151" s="2">
        <v>7.3955559365675619E-2</v>
      </c>
    </row>
    <row r="152" spans="1:66" x14ac:dyDescent="0.25">
      <c r="A152" s="8">
        <v>6513</v>
      </c>
      <c r="B152" s="8" t="s">
        <v>843</v>
      </c>
      <c r="C152" s="5">
        <v>0</v>
      </c>
      <c r="D152" s="5">
        <f>+$C152*BC152</f>
        <v>0</v>
      </c>
      <c r="E152" s="5">
        <f>+$C152*BD152</f>
        <v>0</v>
      </c>
      <c r="F152" s="5">
        <f>+$C152*BE152</f>
        <v>0</v>
      </c>
      <c r="G152" s="5">
        <f>+$C152*BF152</f>
        <v>0</v>
      </c>
      <c r="H152" s="5">
        <f>+$C152*BG152</f>
        <v>0</v>
      </c>
      <c r="I152" s="5">
        <f>+$C152*BH152</f>
        <v>0</v>
      </c>
      <c r="J152" s="5">
        <f>+$C152*BI152</f>
        <v>0</v>
      </c>
      <c r="K152" s="5">
        <f>+$C152*BJ152</f>
        <v>0</v>
      </c>
      <c r="L152" s="5">
        <f>+$C152*BK152</f>
        <v>0</v>
      </c>
      <c r="M152" s="5">
        <f>+$C152*BL152</f>
        <v>0</v>
      </c>
      <c r="N152" s="5">
        <f>+$C152*BM152</f>
        <v>0</v>
      </c>
      <c r="O152" s="5">
        <f>+$C152*BN152</f>
        <v>0</v>
      </c>
      <c r="P152" s="5">
        <v>0</v>
      </c>
      <c r="Q152" s="5">
        <f>+$P152*BC152</f>
        <v>0</v>
      </c>
      <c r="R152" s="5">
        <f>+$P152*BD152</f>
        <v>0</v>
      </c>
      <c r="S152" s="5">
        <f>+$P152*BE152</f>
        <v>0</v>
      </c>
      <c r="T152" s="5">
        <f>+$P152*BF152</f>
        <v>0</v>
      </c>
      <c r="U152" s="5">
        <f>+$P152*BG152</f>
        <v>0</v>
      </c>
      <c r="V152" s="5">
        <f>+$P152*BH152</f>
        <v>0</v>
      </c>
      <c r="W152" s="5">
        <f>+$P152*BI152</f>
        <v>0</v>
      </c>
      <c r="X152" s="5">
        <f>+$P152*BJ152</f>
        <v>0</v>
      </c>
      <c r="Y152" s="5">
        <f>+$P152*BK152</f>
        <v>0</v>
      </c>
      <c r="Z152" s="5">
        <f>+$P152*BL152</f>
        <v>0</v>
      </c>
      <c r="AA152" s="5">
        <f>+$P152*BM152</f>
        <v>0</v>
      </c>
      <c r="AB152" s="5">
        <f>+$P152*BN152</f>
        <v>0</v>
      </c>
      <c r="AC152" s="5">
        <v>10000</v>
      </c>
      <c r="AD152" s="5">
        <f>+$AC152*BC152</f>
        <v>891.81565948742241</v>
      </c>
      <c r="AE152" s="5">
        <f>+$AC152*BD152</f>
        <v>1066.5277883445199</v>
      </c>
      <c r="AF152" s="5">
        <f>+$AC152*BE152</f>
        <v>943.88490848547644</v>
      </c>
      <c r="AG152" s="5">
        <f>+$AC152*BF152</f>
        <v>714.95649868550493</v>
      </c>
      <c r="AH152" s="5">
        <f>+$AC152*BG152</f>
        <v>1036.8571810536762</v>
      </c>
      <c r="AI152" s="5">
        <f>+$AC152*BH152</f>
        <v>849.70330952544634</v>
      </c>
      <c r="AJ152" s="5">
        <f>+$AC152*BI152</f>
        <v>845.93878877262705</v>
      </c>
      <c r="AK152" s="5">
        <f>+$AC152*BJ152</f>
        <v>574.47105462779962</v>
      </c>
      <c r="AL152" s="5">
        <f>+$AC152*BK152</f>
        <v>851.5385234555747</v>
      </c>
      <c r="AM152" s="5">
        <f>+$AC152*BL152</f>
        <v>741.58058913035177</v>
      </c>
      <c r="AN152" s="5">
        <f>+$AC152*BM152</f>
        <v>757.18189192107172</v>
      </c>
      <c r="AO152" s="5">
        <f>+$AC152*BN152</f>
        <v>739.55559365675617</v>
      </c>
      <c r="AP152" s="5">
        <f>+AC152+P152+C152</f>
        <v>10000</v>
      </c>
      <c r="AQ152" s="1">
        <v>891.81565948742241</v>
      </c>
      <c r="AR152" s="1">
        <v>1066.5277883445199</v>
      </c>
      <c r="AS152" s="1">
        <v>943.88490848547644</v>
      </c>
      <c r="AT152" s="1">
        <v>714.95649868550493</v>
      </c>
      <c r="AU152" s="1">
        <v>1036.8571810536762</v>
      </c>
      <c r="AV152" s="1">
        <v>849.70330952544634</v>
      </c>
      <c r="AW152" s="1">
        <v>845.93878877262705</v>
      </c>
      <c r="AX152" s="1">
        <v>574.47105462779962</v>
      </c>
      <c r="AY152" s="1">
        <v>851.5385234555747</v>
      </c>
      <c r="AZ152" s="1">
        <v>741.58058913035177</v>
      </c>
      <c r="BA152" s="1">
        <v>757.18189192107172</v>
      </c>
      <c r="BB152" s="1">
        <v>739.55559365675617</v>
      </c>
      <c r="BC152" s="2">
        <v>8.9181565948742242E-2</v>
      </c>
      <c r="BD152" s="2">
        <v>0.10665277883445198</v>
      </c>
      <c r="BE152" s="2">
        <v>9.438849084854764E-2</v>
      </c>
      <c r="BF152" s="2">
        <v>7.149564986855049E-2</v>
      </c>
      <c r="BG152" s="2">
        <v>0.10368571810536763</v>
      </c>
      <c r="BH152" s="2">
        <v>8.4970330952544637E-2</v>
      </c>
      <c r="BI152" s="2">
        <v>8.4593878877262704E-2</v>
      </c>
      <c r="BJ152" s="2">
        <v>5.7447105462779965E-2</v>
      </c>
      <c r="BK152" s="2">
        <v>8.5153852345557474E-2</v>
      </c>
      <c r="BL152" s="2">
        <v>7.4158058913035174E-2</v>
      </c>
      <c r="BM152" s="2">
        <v>7.5718189192107169E-2</v>
      </c>
      <c r="BN152" s="2">
        <v>7.3955559365675619E-2</v>
      </c>
    </row>
    <row r="153" spans="1:66" x14ac:dyDescent="0.25">
      <c r="A153" s="8">
        <v>6558</v>
      </c>
      <c r="B153" s="8" t="s">
        <v>842</v>
      </c>
      <c r="C153" s="5">
        <v>0</v>
      </c>
      <c r="D153" s="5">
        <f>+$C153*BC153</f>
        <v>0</v>
      </c>
      <c r="E153" s="5">
        <f>+$C153*BD153</f>
        <v>0</v>
      </c>
      <c r="F153" s="5">
        <f>+$C153*BE153</f>
        <v>0</v>
      </c>
      <c r="G153" s="5">
        <f>+$C153*BF153</f>
        <v>0</v>
      </c>
      <c r="H153" s="5">
        <f>+$C153*BG153</f>
        <v>0</v>
      </c>
      <c r="I153" s="5">
        <f>+$C153*BH153</f>
        <v>0</v>
      </c>
      <c r="J153" s="5">
        <f>+$C153*BI153</f>
        <v>0</v>
      </c>
      <c r="K153" s="5">
        <f>+$C153*BJ153</f>
        <v>0</v>
      </c>
      <c r="L153" s="5">
        <f>+$C153*BK153</f>
        <v>0</v>
      </c>
      <c r="M153" s="5">
        <f>+$C153*BL153</f>
        <v>0</v>
      </c>
      <c r="N153" s="5">
        <f>+$C153*BM153</f>
        <v>0</v>
      </c>
      <c r="O153" s="5">
        <f>+$C153*BN153</f>
        <v>0</v>
      </c>
      <c r="P153" s="5">
        <v>0</v>
      </c>
      <c r="Q153" s="5">
        <f>+$P153*BC153</f>
        <v>0</v>
      </c>
      <c r="R153" s="5">
        <f>+$P153*BD153</f>
        <v>0</v>
      </c>
      <c r="S153" s="5">
        <f>+$P153*BE153</f>
        <v>0</v>
      </c>
      <c r="T153" s="5">
        <f>+$P153*BF153</f>
        <v>0</v>
      </c>
      <c r="U153" s="5">
        <f>+$P153*BG153</f>
        <v>0</v>
      </c>
      <c r="V153" s="5">
        <f>+$P153*BH153</f>
        <v>0</v>
      </c>
      <c r="W153" s="5">
        <f>+$P153*BI153</f>
        <v>0</v>
      </c>
      <c r="X153" s="5">
        <f>+$P153*BJ153</f>
        <v>0</v>
      </c>
      <c r="Y153" s="5">
        <f>+$P153*BK153</f>
        <v>0</v>
      </c>
      <c r="Z153" s="5">
        <f>+$P153*BL153</f>
        <v>0</v>
      </c>
      <c r="AA153" s="5">
        <f>+$P153*BM153</f>
        <v>0</v>
      </c>
      <c r="AB153" s="5">
        <f>+$P153*BN153</f>
        <v>0</v>
      </c>
      <c r="AC153" s="5">
        <v>0</v>
      </c>
      <c r="AD153" s="5">
        <f>+$AC153*BC153</f>
        <v>0</v>
      </c>
      <c r="AE153" s="5">
        <f>+$AC153*BD153</f>
        <v>0</v>
      </c>
      <c r="AF153" s="5">
        <f>+$AC153*BE153</f>
        <v>0</v>
      </c>
      <c r="AG153" s="5">
        <f>+$AC153*BF153</f>
        <v>0</v>
      </c>
      <c r="AH153" s="5">
        <f>+$AC153*BG153</f>
        <v>0</v>
      </c>
      <c r="AI153" s="5">
        <f>+$AC153*BH153</f>
        <v>0</v>
      </c>
      <c r="AJ153" s="5">
        <f>+$AC153*BI153</f>
        <v>0</v>
      </c>
      <c r="AK153" s="5">
        <f>+$AC153*BJ153</f>
        <v>0</v>
      </c>
      <c r="AL153" s="5">
        <f>+$AC153*BK153</f>
        <v>0</v>
      </c>
      <c r="AM153" s="5">
        <f>+$AC153*BL153</f>
        <v>0</v>
      </c>
      <c r="AN153" s="5">
        <f>+$AC153*BM153</f>
        <v>0</v>
      </c>
      <c r="AO153" s="5">
        <f>+$AC153*BN153</f>
        <v>0</v>
      </c>
      <c r="AP153" s="5">
        <f>+AC153+P153+C153</f>
        <v>0</v>
      </c>
      <c r="AQ153" s="1">
        <v>891.81565948742241</v>
      </c>
      <c r="AR153" s="1">
        <v>1066.5277883445199</v>
      </c>
      <c r="AS153" s="1">
        <v>943.88490848547644</v>
      </c>
      <c r="AT153" s="1">
        <v>714.95649868550493</v>
      </c>
      <c r="AU153" s="1">
        <v>1036.8571810536762</v>
      </c>
      <c r="AV153" s="1">
        <v>849.70330952544634</v>
      </c>
      <c r="AW153" s="1">
        <v>845.93878877262705</v>
      </c>
      <c r="AX153" s="1">
        <v>574.47105462779962</v>
      </c>
      <c r="AY153" s="1">
        <v>851.5385234555747</v>
      </c>
      <c r="AZ153" s="1">
        <v>741.58058913035177</v>
      </c>
      <c r="BA153" s="1">
        <v>757.18189192107172</v>
      </c>
      <c r="BB153" s="1">
        <v>739.55559365675617</v>
      </c>
      <c r="BC153" s="2">
        <v>8.9181565948742242E-2</v>
      </c>
      <c r="BD153" s="2">
        <v>0.10665277883445198</v>
      </c>
      <c r="BE153" s="2">
        <v>9.438849084854764E-2</v>
      </c>
      <c r="BF153" s="2">
        <v>7.149564986855049E-2</v>
      </c>
      <c r="BG153" s="2">
        <v>0.10368571810536763</v>
      </c>
      <c r="BH153" s="2">
        <v>8.4970330952544637E-2</v>
      </c>
      <c r="BI153" s="2">
        <v>8.4593878877262704E-2</v>
      </c>
      <c r="BJ153" s="2">
        <v>5.7447105462779965E-2</v>
      </c>
      <c r="BK153" s="2">
        <v>8.5153852345557474E-2</v>
      </c>
      <c r="BL153" s="2">
        <v>7.4158058913035174E-2</v>
      </c>
      <c r="BM153" s="2">
        <v>7.5718189192107169E-2</v>
      </c>
      <c r="BN153" s="2">
        <v>7.3955559365675619E-2</v>
      </c>
    </row>
    <row r="154" spans="1:66" x14ac:dyDescent="0.25">
      <c r="A154" s="8">
        <v>12000</v>
      </c>
      <c r="B154" s="8" t="s">
        <v>467</v>
      </c>
      <c r="C154" s="5">
        <v>0</v>
      </c>
      <c r="D154" s="5">
        <f>+$C154*BC154</f>
        <v>0</v>
      </c>
      <c r="E154" s="5">
        <f>+$C154*BD154</f>
        <v>0</v>
      </c>
      <c r="F154" s="5">
        <f>+$C154*BE154</f>
        <v>0</v>
      </c>
      <c r="G154" s="5">
        <f>+$C154*BF154</f>
        <v>0</v>
      </c>
      <c r="H154" s="5">
        <f>+$C154*BG154</f>
        <v>0</v>
      </c>
      <c r="I154" s="5">
        <f>+$C154*BH154</f>
        <v>0</v>
      </c>
      <c r="J154" s="5">
        <f>+$C154*BI154</f>
        <v>0</v>
      </c>
      <c r="K154" s="5">
        <f>+$C154*BJ154</f>
        <v>0</v>
      </c>
      <c r="L154" s="5">
        <f>+$C154*BK154</f>
        <v>0</v>
      </c>
      <c r="M154" s="5">
        <f>+$C154*BL154</f>
        <v>0</v>
      </c>
      <c r="N154" s="5">
        <f>+$C154*BM154</f>
        <v>0</v>
      </c>
      <c r="O154" s="5">
        <f>+$C154*BN154</f>
        <v>0</v>
      </c>
      <c r="P154" s="5">
        <v>0</v>
      </c>
      <c r="Q154" s="5">
        <f>+$P154*BC154</f>
        <v>0</v>
      </c>
      <c r="R154" s="5">
        <f>+$P154*BD154</f>
        <v>0</v>
      </c>
      <c r="S154" s="5">
        <f>+$P154*BE154</f>
        <v>0</v>
      </c>
      <c r="T154" s="5">
        <f>+$P154*BF154</f>
        <v>0</v>
      </c>
      <c r="U154" s="5">
        <f>+$P154*BG154</f>
        <v>0</v>
      </c>
      <c r="V154" s="5">
        <f>+$P154*BH154</f>
        <v>0</v>
      </c>
      <c r="W154" s="5">
        <f>+$P154*BI154</f>
        <v>0</v>
      </c>
      <c r="X154" s="5">
        <f>+$P154*BJ154</f>
        <v>0</v>
      </c>
      <c r="Y154" s="5">
        <f>+$P154*BK154</f>
        <v>0</v>
      </c>
      <c r="Z154" s="5">
        <f>+$P154*BL154</f>
        <v>0</v>
      </c>
      <c r="AA154" s="5">
        <f>+$P154*BM154</f>
        <v>0</v>
      </c>
      <c r="AB154" s="5">
        <f>+$P154*BN154</f>
        <v>0</v>
      </c>
      <c r="AC154" s="5">
        <v>0</v>
      </c>
      <c r="AD154" s="5">
        <f>+$AC154*BC154</f>
        <v>0</v>
      </c>
      <c r="AE154" s="5">
        <f>+$AC154*BD154</f>
        <v>0</v>
      </c>
      <c r="AF154" s="5">
        <f>+$AC154*BE154</f>
        <v>0</v>
      </c>
      <c r="AG154" s="5">
        <f>+$AC154*BF154</f>
        <v>0</v>
      </c>
      <c r="AH154" s="5">
        <f>+$AC154*BG154</f>
        <v>0</v>
      </c>
      <c r="AI154" s="5">
        <f>+$AC154*BH154</f>
        <v>0</v>
      </c>
      <c r="AJ154" s="5">
        <f>+$AC154*BI154</f>
        <v>0</v>
      </c>
      <c r="AK154" s="5">
        <f>+$AC154*BJ154</f>
        <v>0</v>
      </c>
      <c r="AL154" s="5">
        <f>+$AC154*BK154</f>
        <v>0</v>
      </c>
      <c r="AM154" s="5">
        <f>+$AC154*BL154</f>
        <v>0</v>
      </c>
      <c r="AN154" s="5">
        <f>+$AC154*BM154</f>
        <v>0</v>
      </c>
      <c r="AO154" s="5">
        <f>+$AC154*BN154</f>
        <v>0</v>
      </c>
      <c r="AP154" s="5">
        <f>+AC154+P154+C154</f>
        <v>0</v>
      </c>
      <c r="AQ154" s="1">
        <v>891.81565948742241</v>
      </c>
      <c r="AR154" s="1">
        <v>1066.5277883445199</v>
      </c>
      <c r="AS154" s="1">
        <v>943.88490848547644</v>
      </c>
      <c r="AT154" s="1">
        <v>714.95649868550493</v>
      </c>
      <c r="AU154" s="1">
        <v>1036.8571810536762</v>
      </c>
      <c r="AV154" s="1">
        <v>849.70330952544634</v>
      </c>
      <c r="AW154" s="1">
        <v>845.93878877262705</v>
      </c>
      <c r="AX154" s="1">
        <v>574.47105462779962</v>
      </c>
      <c r="AY154" s="1">
        <v>851.5385234555747</v>
      </c>
      <c r="AZ154" s="1">
        <v>741.58058913035177</v>
      </c>
      <c r="BA154" s="1">
        <v>757.18189192107172</v>
      </c>
      <c r="BB154" s="1">
        <v>739.55559365675617</v>
      </c>
      <c r="BC154" s="2">
        <v>8.9181565948742242E-2</v>
      </c>
      <c r="BD154" s="2">
        <v>0.10665277883445198</v>
      </c>
      <c r="BE154" s="2">
        <v>9.438849084854764E-2</v>
      </c>
      <c r="BF154" s="2">
        <v>7.149564986855049E-2</v>
      </c>
      <c r="BG154" s="2">
        <v>0.10368571810536763</v>
      </c>
      <c r="BH154" s="2">
        <v>8.4970330952544637E-2</v>
      </c>
      <c r="BI154" s="2">
        <v>8.4593878877262704E-2</v>
      </c>
      <c r="BJ154" s="2">
        <v>5.7447105462779965E-2</v>
      </c>
      <c r="BK154" s="2">
        <v>8.5153852345557474E-2</v>
      </c>
      <c r="BL154" s="2">
        <v>7.4158058913035174E-2</v>
      </c>
      <c r="BM154" s="2">
        <v>7.5718189192107169E-2</v>
      </c>
      <c r="BN154" s="2">
        <v>7.3955559365675619E-2</v>
      </c>
    </row>
    <row r="155" spans="1:66" x14ac:dyDescent="0.25">
      <c r="A155" s="8">
        <v>16314</v>
      </c>
      <c r="B155" s="8" t="s">
        <v>841</v>
      </c>
      <c r="C155" s="5">
        <v>10000</v>
      </c>
      <c r="D155" s="5">
        <f>+$C155*BC155</f>
        <v>891.81565948742241</v>
      </c>
      <c r="E155" s="5">
        <f>+$C155*BD155</f>
        <v>1066.5277883445199</v>
      </c>
      <c r="F155" s="5">
        <f>+$C155*BE155</f>
        <v>943.88490848547644</v>
      </c>
      <c r="G155" s="5">
        <f>+$C155*BF155</f>
        <v>714.95649868550493</v>
      </c>
      <c r="H155" s="5">
        <f>+$C155*BG155</f>
        <v>1036.8571810536762</v>
      </c>
      <c r="I155" s="5">
        <f>+$C155*BH155</f>
        <v>849.70330952544634</v>
      </c>
      <c r="J155" s="5">
        <f>+$C155*BI155</f>
        <v>845.93878877262705</v>
      </c>
      <c r="K155" s="5">
        <f>+$C155*BJ155</f>
        <v>574.47105462779962</v>
      </c>
      <c r="L155" s="5">
        <f>+$C155*BK155</f>
        <v>851.5385234555747</v>
      </c>
      <c r="M155" s="5">
        <f>+$C155*BL155</f>
        <v>741.58058913035177</v>
      </c>
      <c r="N155" s="5">
        <f>+$C155*BM155</f>
        <v>757.18189192107172</v>
      </c>
      <c r="O155" s="5">
        <f>+$C155*BN155</f>
        <v>739.55559365675617</v>
      </c>
      <c r="P155" s="5">
        <v>0</v>
      </c>
      <c r="Q155" s="5">
        <f>+$P155*BC155</f>
        <v>0</v>
      </c>
      <c r="R155" s="5">
        <f>+$P155*BD155</f>
        <v>0</v>
      </c>
      <c r="S155" s="5">
        <f>+$P155*BE155</f>
        <v>0</v>
      </c>
      <c r="T155" s="5">
        <f>+$P155*BF155</f>
        <v>0</v>
      </c>
      <c r="U155" s="5">
        <f>+$P155*BG155</f>
        <v>0</v>
      </c>
      <c r="V155" s="5">
        <f>+$P155*BH155</f>
        <v>0</v>
      </c>
      <c r="W155" s="5">
        <f>+$P155*BI155</f>
        <v>0</v>
      </c>
      <c r="X155" s="5">
        <f>+$P155*BJ155</f>
        <v>0</v>
      </c>
      <c r="Y155" s="5">
        <f>+$P155*BK155</f>
        <v>0</v>
      </c>
      <c r="Z155" s="5">
        <f>+$P155*BL155</f>
        <v>0</v>
      </c>
      <c r="AA155" s="5">
        <f>+$P155*BM155</f>
        <v>0</v>
      </c>
      <c r="AB155" s="5">
        <f>+$P155*BN155</f>
        <v>0</v>
      </c>
      <c r="AC155" s="5">
        <v>0</v>
      </c>
      <c r="AD155" s="5">
        <f>+$AC155*BC155</f>
        <v>0</v>
      </c>
      <c r="AE155" s="5">
        <f>+$AC155*BD155</f>
        <v>0</v>
      </c>
      <c r="AF155" s="5">
        <f>+$AC155*BE155</f>
        <v>0</v>
      </c>
      <c r="AG155" s="5">
        <f>+$AC155*BF155</f>
        <v>0</v>
      </c>
      <c r="AH155" s="5">
        <f>+$AC155*BG155</f>
        <v>0</v>
      </c>
      <c r="AI155" s="5">
        <f>+$AC155*BH155</f>
        <v>0</v>
      </c>
      <c r="AJ155" s="5">
        <f>+$AC155*BI155</f>
        <v>0</v>
      </c>
      <c r="AK155" s="5">
        <f>+$AC155*BJ155</f>
        <v>0</v>
      </c>
      <c r="AL155" s="5">
        <f>+$AC155*BK155</f>
        <v>0</v>
      </c>
      <c r="AM155" s="5">
        <f>+$AC155*BL155</f>
        <v>0</v>
      </c>
      <c r="AN155" s="5">
        <f>+$AC155*BM155</f>
        <v>0</v>
      </c>
      <c r="AO155" s="5">
        <f>+$AC155*BN155</f>
        <v>0</v>
      </c>
      <c r="AP155" s="5">
        <f>+AC155+P155+C155</f>
        <v>10000</v>
      </c>
      <c r="AQ155" s="1">
        <v>891.81565948742241</v>
      </c>
      <c r="AR155" s="1">
        <v>1066.5277883445199</v>
      </c>
      <c r="AS155" s="1">
        <v>943.88490848547644</v>
      </c>
      <c r="AT155" s="1">
        <v>714.95649868550493</v>
      </c>
      <c r="AU155" s="1">
        <v>1036.8571810536762</v>
      </c>
      <c r="AV155" s="1">
        <v>849.70330952544634</v>
      </c>
      <c r="AW155" s="1">
        <v>845.93878877262705</v>
      </c>
      <c r="AX155" s="1">
        <v>574.47105462779962</v>
      </c>
      <c r="AY155" s="1">
        <v>851.5385234555747</v>
      </c>
      <c r="AZ155" s="1">
        <v>741.58058913035177</v>
      </c>
      <c r="BA155" s="1">
        <v>757.18189192107172</v>
      </c>
      <c r="BB155" s="1">
        <v>739.55559365675617</v>
      </c>
      <c r="BC155" s="2">
        <v>8.9181565948742242E-2</v>
      </c>
      <c r="BD155" s="2">
        <v>0.10665277883445198</v>
      </c>
      <c r="BE155" s="2">
        <v>9.438849084854764E-2</v>
      </c>
      <c r="BF155" s="2">
        <v>7.149564986855049E-2</v>
      </c>
      <c r="BG155" s="2">
        <v>0.10368571810536763</v>
      </c>
      <c r="BH155" s="2">
        <v>8.4970330952544637E-2</v>
      </c>
      <c r="BI155" s="2">
        <v>8.4593878877262704E-2</v>
      </c>
      <c r="BJ155" s="2">
        <v>5.7447105462779965E-2</v>
      </c>
      <c r="BK155" s="2">
        <v>8.5153852345557474E-2</v>
      </c>
      <c r="BL155" s="2">
        <v>7.4158058913035174E-2</v>
      </c>
      <c r="BM155" s="2">
        <v>7.5718189192107169E-2</v>
      </c>
      <c r="BN155" s="2">
        <v>7.3955559365675619E-2</v>
      </c>
    </row>
    <row r="156" spans="1:66" x14ac:dyDescent="0.25">
      <c r="A156" s="8">
        <v>31116</v>
      </c>
      <c r="B156" s="8" t="s">
        <v>840</v>
      </c>
      <c r="C156" s="5">
        <v>0</v>
      </c>
      <c r="D156" s="5">
        <f>+$C156*BC156</f>
        <v>0</v>
      </c>
      <c r="E156" s="5">
        <f>+$C156*BD156</f>
        <v>0</v>
      </c>
      <c r="F156" s="5">
        <f>+$C156*BE156</f>
        <v>0</v>
      </c>
      <c r="G156" s="5">
        <f>+$C156*BF156</f>
        <v>0</v>
      </c>
      <c r="H156" s="5">
        <f>+$C156*BG156</f>
        <v>0</v>
      </c>
      <c r="I156" s="5">
        <f>+$C156*BH156</f>
        <v>0</v>
      </c>
      <c r="J156" s="5">
        <f>+$C156*BI156</f>
        <v>0</v>
      </c>
      <c r="K156" s="5">
        <f>+$C156*BJ156</f>
        <v>0</v>
      </c>
      <c r="L156" s="5">
        <f>+$C156*BK156</f>
        <v>0</v>
      </c>
      <c r="M156" s="5">
        <f>+$C156*BL156</f>
        <v>0</v>
      </c>
      <c r="N156" s="5">
        <f>+$C156*BM156</f>
        <v>0</v>
      </c>
      <c r="O156" s="5">
        <f>+$C156*BN156</f>
        <v>0</v>
      </c>
      <c r="P156" s="5">
        <v>15000</v>
      </c>
      <c r="Q156" s="5">
        <f>+$P156*BC156</f>
        <v>1337.7234892311337</v>
      </c>
      <c r="R156" s="5">
        <f>+$P156*BD156</f>
        <v>1599.7916825167797</v>
      </c>
      <c r="S156" s="5">
        <f>+$P156*BE156</f>
        <v>1415.8273627282147</v>
      </c>
      <c r="T156" s="5">
        <f>+$P156*BF156</f>
        <v>1072.4347480282574</v>
      </c>
      <c r="U156" s="5">
        <f>+$P156*BG156</f>
        <v>1555.2857715805144</v>
      </c>
      <c r="V156" s="5">
        <f>+$P156*BH156</f>
        <v>1274.5549642881695</v>
      </c>
      <c r="W156" s="5">
        <f>+$P156*BI156</f>
        <v>1268.9081831589406</v>
      </c>
      <c r="X156" s="5">
        <f>+$P156*BJ156</f>
        <v>861.70658194169948</v>
      </c>
      <c r="Y156" s="5">
        <f>+$P156*BK156</f>
        <v>1277.3077851833621</v>
      </c>
      <c r="Z156" s="5">
        <f>+$P156*BL156</f>
        <v>1112.3708836955277</v>
      </c>
      <c r="AA156" s="5">
        <f>+$P156*BM156</f>
        <v>1135.7728378816075</v>
      </c>
      <c r="AB156" s="5">
        <f>+$P156*BN156</f>
        <v>1109.3333904851343</v>
      </c>
      <c r="AC156" s="5">
        <v>0</v>
      </c>
      <c r="AD156" s="5">
        <f>+$AC156*BC156</f>
        <v>0</v>
      </c>
      <c r="AE156" s="5">
        <f>+$AC156*BD156</f>
        <v>0</v>
      </c>
      <c r="AF156" s="5">
        <f>+$AC156*BE156</f>
        <v>0</v>
      </c>
      <c r="AG156" s="5">
        <f>+$AC156*BF156</f>
        <v>0</v>
      </c>
      <c r="AH156" s="5">
        <f>+$AC156*BG156</f>
        <v>0</v>
      </c>
      <c r="AI156" s="5">
        <f>+$AC156*BH156</f>
        <v>0</v>
      </c>
      <c r="AJ156" s="5">
        <f>+$AC156*BI156</f>
        <v>0</v>
      </c>
      <c r="AK156" s="5">
        <f>+$AC156*BJ156</f>
        <v>0</v>
      </c>
      <c r="AL156" s="5">
        <f>+$AC156*BK156</f>
        <v>0</v>
      </c>
      <c r="AM156" s="5">
        <f>+$AC156*BL156</f>
        <v>0</v>
      </c>
      <c r="AN156" s="5">
        <f>+$AC156*BM156</f>
        <v>0</v>
      </c>
      <c r="AO156" s="5">
        <f>+$AC156*BN156</f>
        <v>0</v>
      </c>
      <c r="AP156" s="5">
        <f>+AC156+P156+C156</f>
        <v>15000</v>
      </c>
      <c r="AQ156" s="1">
        <v>891.81565948742241</v>
      </c>
      <c r="AR156" s="1">
        <v>1066.5277883445199</v>
      </c>
      <c r="AS156" s="1">
        <v>943.88490848547644</v>
      </c>
      <c r="AT156" s="1">
        <v>714.95649868550493</v>
      </c>
      <c r="AU156" s="1">
        <v>1036.8571810536762</v>
      </c>
      <c r="AV156" s="1">
        <v>849.70330952544634</v>
      </c>
      <c r="AW156" s="1">
        <v>845.93878877262705</v>
      </c>
      <c r="AX156" s="1">
        <v>574.47105462779962</v>
      </c>
      <c r="AY156" s="1">
        <v>851.5385234555747</v>
      </c>
      <c r="AZ156" s="1">
        <v>741.58058913035177</v>
      </c>
      <c r="BA156" s="1">
        <v>757.18189192107172</v>
      </c>
      <c r="BB156" s="1">
        <v>739.55559365675617</v>
      </c>
      <c r="BC156" s="2">
        <v>8.9181565948742242E-2</v>
      </c>
      <c r="BD156" s="2">
        <v>0.10665277883445198</v>
      </c>
      <c r="BE156" s="2">
        <v>9.438849084854764E-2</v>
      </c>
      <c r="BF156" s="2">
        <v>7.149564986855049E-2</v>
      </c>
      <c r="BG156" s="2">
        <v>0.10368571810536763</v>
      </c>
      <c r="BH156" s="2">
        <v>8.4970330952544637E-2</v>
      </c>
      <c r="BI156" s="2">
        <v>8.4593878877262704E-2</v>
      </c>
      <c r="BJ156" s="2">
        <v>5.7447105462779965E-2</v>
      </c>
      <c r="BK156" s="2">
        <v>8.5153852345557474E-2</v>
      </c>
      <c r="BL156" s="2">
        <v>7.4158058913035174E-2</v>
      </c>
      <c r="BM156" s="2">
        <v>7.5718189192107169E-2</v>
      </c>
      <c r="BN156" s="2">
        <v>7.3955559365675619E-2</v>
      </c>
    </row>
    <row r="157" spans="1:66" x14ac:dyDescent="0.25">
      <c r="A157" s="8">
        <v>34308</v>
      </c>
      <c r="B157" s="8" t="s">
        <v>839</v>
      </c>
      <c r="C157" s="5">
        <v>0</v>
      </c>
      <c r="D157" s="5">
        <f>+$C157*BC157</f>
        <v>0</v>
      </c>
      <c r="E157" s="5">
        <f>+$C157*BD157</f>
        <v>0</v>
      </c>
      <c r="F157" s="5">
        <f>+$C157*BE157</f>
        <v>0</v>
      </c>
      <c r="G157" s="5">
        <f>+$C157*BF157</f>
        <v>0</v>
      </c>
      <c r="H157" s="5">
        <f>+$C157*BG157</f>
        <v>0</v>
      </c>
      <c r="I157" s="5">
        <f>+$C157*BH157</f>
        <v>0</v>
      </c>
      <c r="J157" s="5">
        <f>+$C157*BI157</f>
        <v>0</v>
      </c>
      <c r="K157" s="5">
        <f>+$C157*BJ157</f>
        <v>0</v>
      </c>
      <c r="L157" s="5">
        <f>+$C157*BK157</f>
        <v>0</v>
      </c>
      <c r="M157" s="5">
        <f>+$C157*BL157</f>
        <v>0</v>
      </c>
      <c r="N157" s="5">
        <f>+$C157*BM157</f>
        <v>0</v>
      </c>
      <c r="O157" s="5">
        <f>+$C157*BN157</f>
        <v>0</v>
      </c>
      <c r="P157" s="5">
        <v>0</v>
      </c>
      <c r="Q157" s="5">
        <f>+$P157*BC157</f>
        <v>0</v>
      </c>
      <c r="R157" s="5">
        <f>+$P157*BD157</f>
        <v>0</v>
      </c>
      <c r="S157" s="5">
        <f>+$P157*BE157</f>
        <v>0</v>
      </c>
      <c r="T157" s="5">
        <f>+$P157*BF157</f>
        <v>0</v>
      </c>
      <c r="U157" s="5">
        <f>+$P157*BG157</f>
        <v>0</v>
      </c>
      <c r="V157" s="5">
        <f>+$P157*BH157</f>
        <v>0</v>
      </c>
      <c r="W157" s="5">
        <f>+$P157*BI157</f>
        <v>0</v>
      </c>
      <c r="X157" s="5">
        <f>+$P157*BJ157</f>
        <v>0</v>
      </c>
      <c r="Y157" s="5">
        <f>+$P157*BK157</f>
        <v>0</v>
      </c>
      <c r="Z157" s="5">
        <f>+$P157*BL157</f>
        <v>0</v>
      </c>
      <c r="AA157" s="5">
        <f>+$P157*BM157</f>
        <v>0</v>
      </c>
      <c r="AB157" s="5">
        <f>+$P157*BN157</f>
        <v>0</v>
      </c>
      <c r="AC157" s="5">
        <v>2500</v>
      </c>
      <c r="AD157" s="5">
        <f>+$AC157*BC157</f>
        <v>222.9539148718556</v>
      </c>
      <c r="AE157" s="5">
        <f>+$AC157*BD157</f>
        <v>266.63194708612997</v>
      </c>
      <c r="AF157" s="5">
        <f>+$AC157*BE157</f>
        <v>235.97122712136911</v>
      </c>
      <c r="AG157" s="5">
        <f>+$AC157*BF157</f>
        <v>178.73912467137623</v>
      </c>
      <c r="AH157" s="5">
        <f>+$AC157*BG157</f>
        <v>259.21429526341905</v>
      </c>
      <c r="AI157" s="5">
        <f>+$AC157*BH157</f>
        <v>212.42582738136159</v>
      </c>
      <c r="AJ157" s="5">
        <f>+$AC157*BI157</f>
        <v>211.48469719315676</v>
      </c>
      <c r="AK157" s="5">
        <f>+$AC157*BJ157</f>
        <v>143.6177636569499</v>
      </c>
      <c r="AL157" s="5">
        <f>+$AC157*BK157</f>
        <v>212.88463086389368</v>
      </c>
      <c r="AM157" s="5">
        <f>+$AC157*BL157</f>
        <v>185.39514728258794</v>
      </c>
      <c r="AN157" s="5">
        <f>+$AC157*BM157</f>
        <v>189.29547298026793</v>
      </c>
      <c r="AO157" s="5">
        <f>+$AC157*BN157</f>
        <v>184.88889841418904</v>
      </c>
      <c r="AP157" s="5">
        <f>+AC157+P157+C157</f>
        <v>2500</v>
      </c>
      <c r="AQ157" s="1">
        <v>891.81565948742241</v>
      </c>
      <c r="AR157" s="1">
        <v>1066.5277883445199</v>
      </c>
      <c r="AS157" s="1">
        <v>943.88490848547644</v>
      </c>
      <c r="AT157" s="1">
        <v>714.95649868550493</v>
      </c>
      <c r="AU157" s="1">
        <v>1036.8571810536762</v>
      </c>
      <c r="AV157" s="1">
        <v>849.70330952544634</v>
      </c>
      <c r="AW157" s="1">
        <v>845.93878877262705</v>
      </c>
      <c r="AX157" s="1">
        <v>574.47105462779962</v>
      </c>
      <c r="AY157" s="1">
        <v>851.5385234555747</v>
      </c>
      <c r="AZ157" s="1">
        <v>741.58058913035177</v>
      </c>
      <c r="BA157" s="1">
        <v>757.18189192107172</v>
      </c>
      <c r="BB157" s="1">
        <v>739.55559365675617</v>
      </c>
      <c r="BC157" s="2">
        <v>8.9181565948742242E-2</v>
      </c>
      <c r="BD157" s="2">
        <v>0.10665277883445198</v>
      </c>
      <c r="BE157" s="2">
        <v>9.438849084854764E-2</v>
      </c>
      <c r="BF157" s="2">
        <v>7.149564986855049E-2</v>
      </c>
      <c r="BG157" s="2">
        <v>0.10368571810536763</v>
      </c>
      <c r="BH157" s="2">
        <v>8.4970330952544637E-2</v>
      </c>
      <c r="BI157" s="2">
        <v>8.4593878877262704E-2</v>
      </c>
      <c r="BJ157" s="2">
        <v>5.7447105462779965E-2</v>
      </c>
      <c r="BK157" s="2">
        <v>8.5153852345557474E-2</v>
      </c>
      <c r="BL157" s="2">
        <v>7.4158058913035174E-2</v>
      </c>
      <c r="BM157" s="2">
        <v>7.5718189192107169E-2</v>
      </c>
      <c r="BN157" s="2">
        <v>7.3955559365675619E-2</v>
      </c>
    </row>
    <row r="158" spans="1:66" x14ac:dyDescent="0.25">
      <c r="A158" s="8">
        <v>34401</v>
      </c>
      <c r="B158" s="8" t="s">
        <v>838</v>
      </c>
      <c r="C158" s="5">
        <v>4000</v>
      </c>
      <c r="D158" s="5">
        <f>+$C158*BC158</f>
        <v>356.72626379496899</v>
      </c>
      <c r="E158" s="5">
        <f>+$C158*BD158</f>
        <v>426.61111533780792</v>
      </c>
      <c r="F158" s="5">
        <f>+$C158*BE158</f>
        <v>377.55396339419059</v>
      </c>
      <c r="G158" s="5">
        <f>+$C158*BF158</f>
        <v>285.98259947420195</v>
      </c>
      <c r="H158" s="5">
        <f>+$C158*BG158</f>
        <v>414.74287242147051</v>
      </c>
      <c r="I158" s="5">
        <f>+$C158*BH158</f>
        <v>339.88132381017857</v>
      </c>
      <c r="J158" s="5">
        <f>+$C158*BI158</f>
        <v>338.37551550905084</v>
      </c>
      <c r="K158" s="5">
        <f>+$C158*BJ158</f>
        <v>229.78842185111986</v>
      </c>
      <c r="L158" s="5">
        <f>+$C158*BK158</f>
        <v>340.61540938222987</v>
      </c>
      <c r="M158" s="5">
        <f>+$C158*BL158</f>
        <v>296.63223565214071</v>
      </c>
      <c r="N158" s="5">
        <f>+$C158*BM158</f>
        <v>302.8727567684287</v>
      </c>
      <c r="O158" s="5">
        <f>+$C158*BN158</f>
        <v>295.8222374627025</v>
      </c>
      <c r="P158" s="5">
        <v>0</v>
      </c>
      <c r="Q158" s="5">
        <f>+$P158*BC158</f>
        <v>0</v>
      </c>
      <c r="R158" s="5">
        <f>+$P158*BD158</f>
        <v>0</v>
      </c>
      <c r="S158" s="5">
        <f>+$P158*BE158</f>
        <v>0</v>
      </c>
      <c r="T158" s="5">
        <f>+$P158*BF158</f>
        <v>0</v>
      </c>
      <c r="U158" s="5">
        <f>+$P158*BG158</f>
        <v>0</v>
      </c>
      <c r="V158" s="5">
        <f>+$P158*BH158</f>
        <v>0</v>
      </c>
      <c r="W158" s="5">
        <f>+$P158*BI158</f>
        <v>0</v>
      </c>
      <c r="X158" s="5">
        <f>+$P158*BJ158</f>
        <v>0</v>
      </c>
      <c r="Y158" s="5">
        <f>+$P158*BK158</f>
        <v>0</v>
      </c>
      <c r="Z158" s="5">
        <f>+$P158*BL158</f>
        <v>0</v>
      </c>
      <c r="AA158" s="5">
        <f>+$P158*BM158</f>
        <v>0</v>
      </c>
      <c r="AB158" s="5">
        <f>+$P158*BN158</f>
        <v>0</v>
      </c>
      <c r="AC158" s="5">
        <v>0</v>
      </c>
      <c r="AD158" s="5">
        <f>+$AC158*BC158</f>
        <v>0</v>
      </c>
      <c r="AE158" s="5">
        <f>+$AC158*BD158</f>
        <v>0</v>
      </c>
      <c r="AF158" s="5">
        <f>+$AC158*BE158</f>
        <v>0</v>
      </c>
      <c r="AG158" s="5">
        <f>+$AC158*BF158</f>
        <v>0</v>
      </c>
      <c r="AH158" s="5">
        <f>+$AC158*BG158</f>
        <v>0</v>
      </c>
      <c r="AI158" s="5">
        <f>+$AC158*BH158</f>
        <v>0</v>
      </c>
      <c r="AJ158" s="5">
        <f>+$AC158*BI158</f>
        <v>0</v>
      </c>
      <c r="AK158" s="5">
        <f>+$AC158*BJ158</f>
        <v>0</v>
      </c>
      <c r="AL158" s="5">
        <f>+$AC158*BK158</f>
        <v>0</v>
      </c>
      <c r="AM158" s="5">
        <f>+$AC158*BL158</f>
        <v>0</v>
      </c>
      <c r="AN158" s="5">
        <f>+$AC158*BM158</f>
        <v>0</v>
      </c>
      <c r="AO158" s="5">
        <f>+$AC158*BN158</f>
        <v>0</v>
      </c>
      <c r="AP158" s="5">
        <f>+AC158+P158+C158</f>
        <v>4000</v>
      </c>
      <c r="AQ158" s="1">
        <v>891.81565948742241</v>
      </c>
      <c r="AR158" s="1">
        <v>1066.5277883445199</v>
      </c>
      <c r="AS158" s="1">
        <v>943.88490848547644</v>
      </c>
      <c r="AT158" s="1">
        <v>714.95649868550493</v>
      </c>
      <c r="AU158" s="1">
        <v>1036.8571810536762</v>
      </c>
      <c r="AV158" s="1">
        <v>849.70330952544634</v>
      </c>
      <c r="AW158" s="1">
        <v>845.93878877262705</v>
      </c>
      <c r="AX158" s="1">
        <v>574.47105462779962</v>
      </c>
      <c r="AY158" s="1">
        <v>851.5385234555747</v>
      </c>
      <c r="AZ158" s="1">
        <v>741.58058913035177</v>
      </c>
      <c r="BA158" s="1">
        <v>757.18189192107172</v>
      </c>
      <c r="BB158" s="1">
        <v>739.55559365675617</v>
      </c>
      <c r="BC158" s="2">
        <v>8.9181565948742242E-2</v>
      </c>
      <c r="BD158" s="2">
        <v>0.10665277883445198</v>
      </c>
      <c r="BE158" s="2">
        <v>9.438849084854764E-2</v>
      </c>
      <c r="BF158" s="2">
        <v>7.149564986855049E-2</v>
      </c>
      <c r="BG158" s="2">
        <v>0.10368571810536763</v>
      </c>
      <c r="BH158" s="2">
        <v>8.4970330952544637E-2</v>
      </c>
      <c r="BI158" s="2">
        <v>8.4593878877262704E-2</v>
      </c>
      <c r="BJ158" s="2">
        <v>5.7447105462779965E-2</v>
      </c>
      <c r="BK158" s="2">
        <v>8.5153852345557474E-2</v>
      </c>
      <c r="BL158" s="2">
        <v>7.4158058913035174E-2</v>
      </c>
      <c r="BM158" s="2">
        <v>7.5718189192107169E-2</v>
      </c>
      <c r="BN158" s="2">
        <v>7.3955559365675619E-2</v>
      </c>
    </row>
    <row r="159" spans="1:66" x14ac:dyDescent="0.25">
      <c r="A159" s="8">
        <v>4171</v>
      </c>
      <c r="B159" s="8" t="s">
        <v>837</v>
      </c>
      <c r="C159" s="5">
        <v>5000</v>
      </c>
      <c r="D159" s="5">
        <f>+$C159*BC159</f>
        <v>445.9078297437112</v>
      </c>
      <c r="E159" s="5">
        <f>+$C159*BD159</f>
        <v>533.26389417225994</v>
      </c>
      <c r="F159" s="5">
        <f>+$C159*BE159</f>
        <v>471.94245424273822</v>
      </c>
      <c r="G159" s="5">
        <f>+$C159*BF159</f>
        <v>357.47824934275246</v>
      </c>
      <c r="H159" s="5">
        <f>+$C159*BG159</f>
        <v>518.42859052683809</v>
      </c>
      <c r="I159" s="5">
        <f>+$C159*BH159</f>
        <v>424.85165476272317</v>
      </c>
      <c r="J159" s="5">
        <f>+$C159*BI159</f>
        <v>422.96939438631352</v>
      </c>
      <c r="K159" s="5">
        <f>+$C159*BJ159</f>
        <v>287.23552731389981</v>
      </c>
      <c r="L159" s="5">
        <f>+$C159*BK159</f>
        <v>425.76926172778735</v>
      </c>
      <c r="M159" s="5">
        <f>+$C159*BL159</f>
        <v>370.79029456517588</v>
      </c>
      <c r="N159" s="5">
        <f>+$C159*BM159</f>
        <v>378.59094596053586</v>
      </c>
      <c r="O159" s="5">
        <f>+$C159*BN159</f>
        <v>369.77779682837809</v>
      </c>
      <c r="P159" s="5">
        <v>0</v>
      </c>
      <c r="Q159" s="5">
        <f>+$P159*BC159</f>
        <v>0</v>
      </c>
      <c r="R159" s="5">
        <f>+$P159*BD159</f>
        <v>0</v>
      </c>
      <c r="S159" s="5">
        <f>+$P159*BE159</f>
        <v>0</v>
      </c>
      <c r="T159" s="5">
        <f>+$P159*BF159</f>
        <v>0</v>
      </c>
      <c r="U159" s="5">
        <f>+$P159*BG159</f>
        <v>0</v>
      </c>
      <c r="V159" s="5">
        <f>+$P159*BH159</f>
        <v>0</v>
      </c>
      <c r="W159" s="5">
        <f>+$P159*BI159</f>
        <v>0</v>
      </c>
      <c r="X159" s="5">
        <f>+$P159*BJ159</f>
        <v>0</v>
      </c>
      <c r="Y159" s="5">
        <f>+$P159*BK159</f>
        <v>0</v>
      </c>
      <c r="Z159" s="5">
        <f>+$P159*BL159</f>
        <v>0</v>
      </c>
      <c r="AA159" s="5">
        <f>+$P159*BM159</f>
        <v>0</v>
      </c>
      <c r="AB159" s="5">
        <f>+$P159*BN159</f>
        <v>0</v>
      </c>
      <c r="AC159" s="5">
        <v>5000</v>
      </c>
      <c r="AD159" s="5">
        <f>+$AC159*BC159</f>
        <v>445.9078297437112</v>
      </c>
      <c r="AE159" s="5">
        <f>+$AC159*BD159</f>
        <v>533.26389417225994</v>
      </c>
      <c r="AF159" s="5">
        <f>+$AC159*BE159</f>
        <v>471.94245424273822</v>
      </c>
      <c r="AG159" s="5">
        <f>+$AC159*BF159</f>
        <v>357.47824934275246</v>
      </c>
      <c r="AH159" s="5">
        <f>+$AC159*BG159</f>
        <v>518.42859052683809</v>
      </c>
      <c r="AI159" s="5">
        <f>+$AC159*BH159</f>
        <v>424.85165476272317</v>
      </c>
      <c r="AJ159" s="5">
        <f>+$AC159*BI159</f>
        <v>422.96939438631352</v>
      </c>
      <c r="AK159" s="5">
        <f>+$AC159*BJ159</f>
        <v>287.23552731389981</v>
      </c>
      <c r="AL159" s="5">
        <f>+$AC159*BK159</f>
        <v>425.76926172778735</v>
      </c>
      <c r="AM159" s="5">
        <f>+$AC159*BL159</f>
        <v>370.79029456517588</v>
      </c>
      <c r="AN159" s="5">
        <f>+$AC159*BM159</f>
        <v>378.59094596053586</v>
      </c>
      <c r="AO159" s="5">
        <f>+$AC159*BN159</f>
        <v>369.77779682837809</v>
      </c>
      <c r="AP159" s="5">
        <f>+AC159+P159+C159</f>
        <v>10000</v>
      </c>
      <c r="AQ159" s="1">
        <v>891.81565948742241</v>
      </c>
      <c r="AR159" s="1">
        <v>1066.5277883445199</v>
      </c>
      <c r="AS159" s="1">
        <v>943.88490848547644</v>
      </c>
      <c r="AT159" s="1">
        <v>714.95649868550493</v>
      </c>
      <c r="AU159" s="1">
        <v>1036.8571810536762</v>
      </c>
      <c r="AV159" s="1">
        <v>849.70330952544634</v>
      </c>
      <c r="AW159" s="1">
        <v>845.93878877262705</v>
      </c>
      <c r="AX159" s="1">
        <v>574.47105462779962</v>
      </c>
      <c r="AY159" s="1">
        <v>851.5385234555747</v>
      </c>
      <c r="AZ159" s="1">
        <v>741.58058913035177</v>
      </c>
      <c r="BA159" s="1">
        <v>757.18189192107172</v>
      </c>
      <c r="BB159" s="1">
        <v>739.55559365675617</v>
      </c>
      <c r="BC159" s="2">
        <v>8.9181565948742242E-2</v>
      </c>
      <c r="BD159" s="2">
        <v>0.10665277883445198</v>
      </c>
      <c r="BE159" s="2">
        <v>9.438849084854764E-2</v>
      </c>
      <c r="BF159" s="2">
        <v>7.149564986855049E-2</v>
      </c>
      <c r="BG159" s="2">
        <v>0.10368571810536763</v>
      </c>
      <c r="BH159" s="2">
        <v>8.4970330952544637E-2</v>
      </c>
      <c r="BI159" s="2">
        <v>8.4593878877262704E-2</v>
      </c>
      <c r="BJ159" s="2">
        <v>5.7447105462779965E-2</v>
      </c>
      <c r="BK159" s="2">
        <v>8.5153852345557474E-2</v>
      </c>
      <c r="BL159" s="2">
        <v>7.4158058913035174E-2</v>
      </c>
      <c r="BM159" s="2">
        <v>7.5718189192107169E-2</v>
      </c>
      <c r="BN159" s="2">
        <v>7.3955559365675619E-2</v>
      </c>
    </row>
    <row r="160" spans="1:66" x14ac:dyDescent="0.25">
      <c r="A160" s="8">
        <v>2363</v>
      </c>
      <c r="B160" s="8" t="s">
        <v>836</v>
      </c>
      <c r="C160" s="5">
        <v>50000</v>
      </c>
      <c r="D160" s="5">
        <f>+$C160*BC160</f>
        <v>4459.0782974371123</v>
      </c>
      <c r="E160" s="5">
        <f>+$C160*BD160</f>
        <v>5332.6389417225992</v>
      </c>
      <c r="F160" s="5">
        <f>+$C160*BE160</f>
        <v>4719.4245424273822</v>
      </c>
      <c r="G160" s="5">
        <f>+$C160*BF160</f>
        <v>3574.7824934275245</v>
      </c>
      <c r="H160" s="5">
        <f>+$C160*BG160</f>
        <v>5184.2859052683816</v>
      </c>
      <c r="I160" s="5">
        <f>+$C160*BH160</f>
        <v>4248.5165476272323</v>
      </c>
      <c r="J160" s="5">
        <f>+$C160*BI160</f>
        <v>4229.6939438631352</v>
      </c>
      <c r="K160" s="5">
        <f>+$C160*BJ160</f>
        <v>2872.3552731389982</v>
      </c>
      <c r="L160" s="5">
        <f>+$C160*BK160</f>
        <v>4257.692617277874</v>
      </c>
      <c r="M160" s="5">
        <f>+$C160*BL160</f>
        <v>3707.9029456517587</v>
      </c>
      <c r="N160" s="5">
        <f>+$C160*BM160</f>
        <v>3785.9094596053583</v>
      </c>
      <c r="O160" s="5">
        <f>+$C160*BN160</f>
        <v>3697.7779682837809</v>
      </c>
      <c r="P160" s="5">
        <v>0</v>
      </c>
      <c r="Q160" s="5">
        <f>+$P160*BC160</f>
        <v>0</v>
      </c>
      <c r="R160" s="5">
        <f>+$P160*BD160</f>
        <v>0</v>
      </c>
      <c r="S160" s="5">
        <f>+$P160*BE160</f>
        <v>0</v>
      </c>
      <c r="T160" s="5">
        <f>+$P160*BF160</f>
        <v>0</v>
      </c>
      <c r="U160" s="5">
        <f>+$P160*BG160</f>
        <v>0</v>
      </c>
      <c r="V160" s="5">
        <f>+$P160*BH160</f>
        <v>0</v>
      </c>
      <c r="W160" s="5">
        <f>+$P160*BI160</f>
        <v>0</v>
      </c>
      <c r="X160" s="5">
        <f>+$P160*BJ160</f>
        <v>0</v>
      </c>
      <c r="Y160" s="5">
        <f>+$P160*BK160</f>
        <v>0</v>
      </c>
      <c r="Z160" s="5">
        <f>+$P160*BL160</f>
        <v>0</v>
      </c>
      <c r="AA160" s="5">
        <f>+$P160*BM160</f>
        <v>0</v>
      </c>
      <c r="AB160" s="5">
        <f>+$P160*BN160</f>
        <v>0</v>
      </c>
      <c r="AC160" s="5">
        <v>0</v>
      </c>
      <c r="AD160" s="5">
        <f>+$AC160*BC160</f>
        <v>0</v>
      </c>
      <c r="AE160" s="5">
        <f>+$AC160*BD160</f>
        <v>0</v>
      </c>
      <c r="AF160" s="5">
        <f>+$AC160*BE160</f>
        <v>0</v>
      </c>
      <c r="AG160" s="5">
        <f>+$AC160*BF160</f>
        <v>0</v>
      </c>
      <c r="AH160" s="5">
        <f>+$AC160*BG160</f>
        <v>0</v>
      </c>
      <c r="AI160" s="5">
        <f>+$AC160*BH160</f>
        <v>0</v>
      </c>
      <c r="AJ160" s="5">
        <f>+$AC160*BI160</f>
        <v>0</v>
      </c>
      <c r="AK160" s="5">
        <f>+$AC160*BJ160</f>
        <v>0</v>
      </c>
      <c r="AL160" s="5">
        <f>+$AC160*BK160</f>
        <v>0</v>
      </c>
      <c r="AM160" s="5">
        <f>+$AC160*BL160</f>
        <v>0</v>
      </c>
      <c r="AN160" s="5">
        <f>+$AC160*BM160</f>
        <v>0</v>
      </c>
      <c r="AO160" s="5">
        <f>+$AC160*BN160</f>
        <v>0</v>
      </c>
      <c r="AP160" s="5">
        <f>+AC160+P160+C160</f>
        <v>50000</v>
      </c>
      <c r="AQ160" s="1">
        <v>874.96034352311017</v>
      </c>
      <c r="AR160" s="1">
        <v>1046.3704131448085</v>
      </c>
      <c r="AS160" s="1">
        <v>926.04548371510089</v>
      </c>
      <c r="AT160" s="1">
        <v>701.44382086034886</v>
      </c>
      <c r="AU160" s="1">
        <v>1017.2605803317618</v>
      </c>
      <c r="AV160" s="1">
        <v>833.64391697541544</v>
      </c>
      <c r="AW160" s="1">
        <v>829.9505456648244</v>
      </c>
      <c r="AX160" s="1">
        <v>563.61355169533419</v>
      </c>
      <c r="AY160" s="1">
        <v>835.44444536226433</v>
      </c>
      <c r="AZ160" s="1">
        <v>727.56471599578811</v>
      </c>
      <c r="BA160" s="1">
        <v>742.87115416376344</v>
      </c>
      <c r="BB160" s="1">
        <v>725.57799293664345</v>
      </c>
      <c r="BC160" s="2">
        <v>8.9181565948742242E-2</v>
      </c>
      <c r="BD160" s="2">
        <v>0.10665277883445198</v>
      </c>
      <c r="BE160" s="2">
        <v>9.438849084854764E-2</v>
      </c>
      <c r="BF160" s="2">
        <v>7.149564986855049E-2</v>
      </c>
      <c r="BG160" s="2">
        <v>0.10368571810536763</v>
      </c>
      <c r="BH160" s="2">
        <v>8.4970330952544637E-2</v>
      </c>
      <c r="BI160" s="2">
        <v>8.4593878877262704E-2</v>
      </c>
      <c r="BJ160" s="2">
        <v>5.7447105462779965E-2</v>
      </c>
      <c r="BK160" s="2">
        <v>8.5153852345557474E-2</v>
      </c>
      <c r="BL160" s="2">
        <v>7.4158058913035174E-2</v>
      </c>
      <c r="BM160" s="2">
        <v>7.5718189192107169E-2</v>
      </c>
      <c r="BN160" s="2">
        <v>7.3955559365675619E-2</v>
      </c>
    </row>
    <row r="161" spans="1:66" x14ac:dyDescent="0.25">
      <c r="A161" s="8">
        <v>2642</v>
      </c>
      <c r="B161" s="8" t="s">
        <v>835</v>
      </c>
      <c r="C161" s="5">
        <v>5000</v>
      </c>
      <c r="D161" s="5">
        <f>+$C161*BC161</f>
        <v>445.9078297437112</v>
      </c>
      <c r="E161" s="5">
        <f>+$C161*BD161</f>
        <v>533.26389417225994</v>
      </c>
      <c r="F161" s="5">
        <f>+$C161*BE161</f>
        <v>471.94245424273822</v>
      </c>
      <c r="G161" s="5">
        <f>+$C161*BF161</f>
        <v>357.47824934275246</v>
      </c>
      <c r="H161" s="5">
        <f>+$C161*BG161</f>
        <v>518.42859052683809</v>
      </c>
      <c r="I161" s="5">
        <f>+$C161*BH161</f>
        <v>424.85165476272317</v>
      </c>
      <c r="J161" s="5">
        <f>+$C161*BI161</f>
        <v>422.96939438631352</v>
      </c>
      <c r="K161" s="5">
        <f>+$C161*BJ161</f>
        <v>287.23552731389981</v>
      </c>
      <c r="L161" s="5">
        <f>+$C161*BK161</f>
        <v>425.76926172778735</v>
      </c>
      <c r="M161" s="5">
        <f>+$C161*BL161</f>
        <v>370.79029456517588</v>
      </c>
      <c r="N161" s="5">
        <f>+$C161*BM161</f>
        <v>378.59094596053586</v>
      </c>
      <c r="O161" s="5">
        <f>+$C161*BN161</f>
        <v>369.77779682837809</v>
      </c>
      <c r="P161" s="5">
        <v>3000</v>
      </c>
      <c r="Q161" s="5">
        <f>+$P161*BC161</f>
        <v>267.54469784622671</v>
      </c>
      <c r="R161" s="5">
        <f>+$P161*BD161</f>
        <v>319.95833650335595</v>
      </c>
      <c r="S161" s="5">
        <f>+$P161*BE161</f>
        <v>283.1654725456429</v>
      </c>
      <c r="T161" s="5">
        <f>+$P161*BF161</f>
        <v>214.48694960565146</v>
      </c>
      <c r="U161" s="5">
        <f>+$P161*BG161</f>
        <v>311.05715431610287</v>
      </c>
      <c r="V161" s="5">
        <f>+$P161*BH161</f>
        <v>254.91099285763391</v>
      </c>
      <c r="W161" s="5">
        <f>+$P161*BI161</f>
        <v>253.7816366317881</v>
      </c>
      <c r="X161" s="5">
        <f>+$P161*BJ161</f>
        <v>172.34131638833989</v>
      </c>
      <c r="Y161" s="5">
        <f>+$P161*BK161</f>
        <v>255.46155703667242</v>
      </c>
      <c r="Z161" s="5">
        <f>+$P161*BL161</f>
        <v>222.47417673910553</v>
      </c>
      <c r="AA161" s="5">
        <f>+$P161*BM161</f>
        <v>227.15456757632151</v>
      </c>
      <c r="AB161" s="5">
        <f>+$P161*BN161</f>
        <v>221.86667809702686</v>
      </c>
      <c r="AC161" s="5">
        <v>0</v>
      </c>
      <c r="AD161" s="5">
        <f>+$AC161*BC161</f>
        <v>0</v>
      </c>
      <c r="AE161" s="5">
        <f>+$AC161*BD161</f>
        <v>0</v>
      </c>
      <c r="AF161" s="5">
        <f>+$AC161*BE161</f>
        <v>0</v>
      </c>
      <c r="AG161" s="5">
        <f>+$AC161*BF161</f>
        <v>0</v>
      </c>
      <c r="AH161" s="5">
        <f>+$AC161*BG161</f>
        <v>0</v>
      </c>
      <c r="AI161" s="5">
        <f>+$AC161*BH161</f>
        <v>0</v>
      </c>
      <c r="AJ161" s="5">
        <f>+$AC161*BI161</f>
        <v>0</v>
      </c>
      <c r="AK161" s="5">
        <f>+$AC161*BJ161</f>
        <v>0</v>
      </c>
      <c r="AL161" s="5">
        <f>+$AC161*BK161</f>
        <v>0</v>
      </c>
      <c r="AM161" s="5">
        <f>+$AC161*BL161</f>
        <v>0</v>
      </c>
      <c r="AN161" s="5">
        <f>+$AC161*BM161</f>
        <v>0</v>
      </c>
      <c r="AO161" s="5">
        <f>+$AC161*BN161</f>
        <v>0</v>
      </c>
      <c r="AP161" s="5">
        <f>+AC161+P161+C161</f>
        <v>8000</v>
      </c>
      <c r="AQ161" s="1">
        <v>802.63409353868019</v>
      </c>
      <c r="AR161" s="1">
        <v>959.8750095100678</v>
      </c>
      <c r="AS161" s="1">
        <v>849.49641763692875</v>
      </c>
      <c r="AT161" s="1">
        <v>643.46084881695435</v>
      </c>
      <c r="AU161" s="1">
        <v>933.17146294830866</v>
      </c>
      <c r="AV161" s="1">
        <v>764.73297857290174</v>
      </c>
      <c r="AW161" s="1">
        <v>761.34490989536437</v>
      </c>
      <c r="AX161" s="1">
        <v>517.02394916501964</v>
      </c>
      <c r="AY161" s="1">
        <v>766.38467111001728</v>
      </c>
      <c r="AZ161" s="1">
        <v>667.42253021731653</v>
      </c>
      <c r="BA161" s="1">
        <v>681.46370272896456</v>
      </c>
      <c r="BB161" s="1">
        <v>665.60003429108053</v>
      </c>
      <c r="BC161" s="2">
        <v>8.9181565948742242E-2</v>
      </c>
      <c r="BD161" s="2">
        <v>0.10665277883445198</v>
      </c>
      <c r="BE161" s="2">
        <v>9.438849084854764E-2</v>
      </c>
      <c r="BF161" s="2">
        <v>7.149564986855049E-2</v>
      </c>
      <c r="BG161" s="2">
        <v>0.10368571810536763</v>
      </c>
      <c r="BH161" s="2">
        <v>8.4970330952544637E-2</v>
      </c>
      <c r="BI161" s="2">
        <v>8.4593878877262704E-2</v>
      </c>
      <c r="BJ161" s="2">
        <v>5.7447105462779965E-2</v>
      </c>
      <c r="BK161" s="2">
        <v>8.5153852345557474E-2</v>
      </c>
      <c r="BL161" s="2">
        <v>7.4158058913035174E-2</v>
      </c>
      <c r="BM161" s="2">
        <v>7.5718189192107169E-2</v>
      </c>
      <c r="BN161" s="2">
        <v>7.3955559365675619E-2</v>
      </c>
    </row>
    <row r="162" spans="1:66" x14ac:dyDescent="0.25">
      <c r="A162" s="8">
        <v>2659</v>
      </c>
      <c r="B162" s="8" t="s">
        <v>834</v>
      </c>
      <c r="C162" s="5">
        <v>0</v>
      </c>
      <c r="D162" s="5">
        <f>+$C162*BC162</f>
        <v>0</v>
      </c>
      <c r="E162" s="5">
        <f>+$C162*BD162</f>
        <v>0</v>
      </c>
      <c r="F162" s="5">
        <f>+$C162*BE162</f>
        <v>0</v>
      </c>
      <c r="G162" s="5">
        <f>+$C162*BF162</f>
        <v>0</v>
      </c>
      <c r="H162" s="5">
        <f>+$C162*BG162</f>
        <v>0</v>
      </c>
      <c r="I162" s="5">
        <f>+$C162*BH162</f>
        <v>0</v>
      </c>
      <c r="J162" s="5">
        <f>+$C162*BI162</f>
        <v>0</v>
      </c>
      <c r="K162" s="5">
        <f>+$C162*BJ162</f>
        <v>0</v>
      </c>
      <c r="L162" s="5">
        <f>+$C162*BK162</f>
        <v>0</v>
      </c>
      <c r="M162" s="5">
        <f>+$C162*BL162</f>
        <v>0</v>
      </c>
      <c r="N162" s="5">
        <f>+$C162*BM162</f>
        <v>0</v>
      </c>
      <c r="O162" s="5">
        <f>+$C162*BN162</f>
        <v>0</v>
      </c>
      <c r="P162" s="5">
        <v>7000</v>
      </c>
      <c r="Q162" s="5">
        <f>+$P162*BC162</f>
        <v>624.27096164119564</v>
      </c>
      <c r="R162" s="5">
        <f>+$P162*BD162</f>
        <v>746.56945184116387</v>
      </c>
      <c r="S162" s="5">
        <f>+$P162*BE162</f>
        <v>660.71943593983349</v>
      </c>
      <c r="T162" s="5">
        <f>+$P162*BF162</f>
        <v>500.46954907985344</v>
      </c>
      <c r="U162" s="5">
        <f>+$P162*BG162</f>
        <v>725.80002673757338</v>
      </c>
      <c r="V162" s="5">
        <f>+$P162*BH162</f>
        <v>594.79231666781243</v>
      </c>
      <c r="W162" s="5">
        <f>+$P162*BI162</f>
        <v>592.15715214083889</v>
      </c>
      <c r="X162" s="5">
        <f>+$P162*BJ162</f>
        <v>402.12973823945975</v>
      </c>
      <c r="Y162" s="5">
        <f>+$P162*BK162</f>
        <v>596.07696641890232</v>
      </c>
      <c r="Z162" s="5">
        <f>+$P162*BL162</f>
        <v>519.10641239124618</v>
      </c>
      <c r="AA162" s="5">
        <f>+$P162*BM162</f>
        <v>530.02732434475013</v>
      </c>
      <c r="AB162" s="5">
        <f>+$P162*BN162</f>
        <v>517.68891555972937</v>
      </c>
      <c r="AC162" s="5">
        <v>0</v>
      </c>
      <c r="AD162" s="5">
        <f>+$AC162*BC162</f>
        <v>0</v>
      </c>
      <c r="AE162" s="5">
        <f>+$AC162*BD162</f>
        <v>0</v>
      </c>
      <c r="AF162" s="5">
        <f>+$AC162*BE162</f>
        <v>0</v>
      </c>
      <c r="AG162" s="5">
        <f>+$AC162*BF162</f>
        <v>0</v>
      </c>
      <c r="AH162" s="5">
        <f>+$AC162*BG162</f>
        <v>0</v>
      </c>
      <c r="AI162" s="5">
        <f>+$AC162*BH162</f>
        <v>0</v>
      </c>
      <c r="AJ162" s="5">
        <f>+$AC162*BI162</f>
        <v>0</v>
      </c>
      <c r="AK162" s="5">
        <f>+$AC162*BJ162</f>
        <v>0</v>
      </c>
      <c r="AL162" s="5">
        <f>+$AC162*BK162</f>
        <v>0</v>
      </c>
      <c r="AM162" s="5">
        <f>+$AC162*BL162</f>
        <v>0</v>
      </c>
      <c r="AN162" s="5">
        <f>+$AC162*BM162</f>
        <v>0</v>
      </c>
      <c r="AO162" s="5">
        <f>+$AC162*BN162</f>
        <v>0</v>
      </c>
      <c r="AP162" s="5">
        <f>+AC162+P162+C162</f>
        <v>7000</v>
      </c>
      <c r="AQ162" s="1">
        <v>802.63409353868019</v>
      </c>
      <c r="AR162" s="1">
        <v>959.8750095100678</v>
      </c>
      <c r="AS162" s="1">
        <v>849.49641763692875</v>
      </c>
      <c r="AT162" s="1">
        <v>643.46084881695435</v>
      </c>
      <c r="AU162" s="1">
        <v>933.17146294830866</v>
      </c>
      <c r="AV162" s="1">
        <v>764.73297857290174</v>
      </c>
      <c r="AW162" s="1">
        <v>761.34490989536437</v>
      </c>
      <c r="AX162" s="1">
        <v>517.02394916501964</v>
      </c>
      <c r="AY162" s="1">
        <v>766.38467111001728</v>
      </c>
      <c r="AZ162" s="1">
        <v>667.42253021731653</v>
      </c>
      <c r="BA162" s="1">
        <v>681.46370272896456</v>
      </c>
      <c r="BB162" s="1">
        <v>665.60003429108053</v>
      </c>
      <c r="BC162" s="2">
        <v>8.9181565948742242E-2</v>
      </c>
      <c r="BD162" s="2">
        <v>0.10665277883445198</v>
      </c>
      <c r="BE162" s="2">
        <v>9.438849084854764E-2</v>
      </c>
      <c r="BF162" s="2">
        <v>7.149564986855049E-2</v>
      </c>
      <c r="BG162" s="2">
        <v>0.10368571810536763</v>
      </c>
      <c r="BH162" s="2">
        <v>8.4970330952544637E-2</v>
      </c>
      <c r="BI162" s="2">
        <v>8.4593878877262704E-2</v>
      </c>
      <c r="BJ162" s="2">
        <v>5.7447105462779965E-2</v>
      </c>
      <c r="BK162" s="2">
        <v>8.5153852345557474E-2</v>
      </c>
      <c r="BL162" s="2">
        <v>7.4158058913035174E-2</v>
      </c>
      <c r="BM162" s="2">
        <v>7.5718189192107169E-2</v>
      </c>
      <c r="BN162" s="2">
        <v>7.3955559365675619E-2</v>
      </c>
    </row>
    <row r="163" spans="1:66" x14ac:dyDescent="0.25">
      <c r="A163" s="8">
        <v>16451</v>
      </c>
      <c r="B163" s="8" t="s">
        <v>833</v>
      </c>
      <c r="C163" s="5">
        <v>0</v>
      </c>
      <c r="D163" s="5">
        <f>+$C163*BC163</f>
        <v>0</v>
      </c>
      <c r="E163" s="5">
        <f>+$C163*BD163</f>
        <v>0</v>
      </c>
      <c r="F163" s="5">
        <f>+$C163*BE163</f>
        <v>0</v>
      </c>
      <c r="G163" s="5">
        <f>+$C163*BF163</f>
        <v>0</v>
      </c>
      <c r="H163" s="5">
        <f>+$C163*BG163</f>
        <v>0</v>
      </c>
      <c r="I163" s="5">
        <f>+$C163*BH163</f>
        <v>0</v>
      </c>
      <c r="J163" s="5">
        <f>+$C163*BI163</f>
        <v>0</v>
      </c>
      <c r="K163" s="5">
        <f>+$C163*BJ163</f>
        <v>0</v>
      </c>
      <c r="L163" s="5">
        <f>+$C163*BK163</f>
        <v>0</v>
      </c>
      <c r="M163" s="5">
        <f>+$C163*BL163</f>
        <v>0</v>
      </c>
      <c r="N163" s="5">
        <f>+$C163*BM163</f>
        <v>0</v>
      </c>
      <c r="O163" s="5">
        <f>+$C163*BN163</f>
        <v>0</v>
      </c>
      <c r="P163" s="5">
        <v>4000</v>
      </c>
      <c r="Q163" s="5">
        <f>+$P163*BC163</f>
        <v>356.72626379496899</v>
      </c>
      <c r="R163" s="5">
        <f>+$P163*BD163</f>
        <v>426.61111533780792</v>
      </c>
      <c r="S163" s="5">
        <f>+$P163*BE163</f>
        <v>377.55396339419059</v>
      </c>
      <c r="T163" s="5">
        <f>+$P163*BF163</f>
        <v>285.98259947420195</v>
      </c>
      <c r="U163" s="5">
        <f>+$P163*BG163</f>
        <v>414.74287242147051</v>
      </c>
      <c r="V163" s="5">
        <f>+$P163*BH163</f>
        <v>339.88132381017857</v>
      </c>
      <c r="W163" s="5">
        <f>+$P163*BI163</f>
        <v>338.37551550905084</v>
      </c>
      <c r="X163" s="5">
        <f>+$P163*BJ163</f>
        <v>229.78842185111986</v>
      </c>
      <c r="Y163" s="5">
        <f>+$P163*BK163</f>
        <v>340.61540938222987</v>
      </c>
      <c r="Z163" s="5">
        <f>+$P163*BL163</f>
        <v>296.63223565214071</v>
      </c>
      <c r="AA163" s="5">
        <f>+$P163*BM163</f>
        <v>302.8727567684287</v>
      </c>
      <c r="AB163" s="5">
        <f>+$P163*BN163</f>
        <v>295.8222374627025</v>
      </c>
      <c r="AC163" s="5">
        <v>0</v>
      </c>
      <c r="AD163" s="5">
        <f>+$AC163*BC163</f>
        <v>0</v>
      </c>
      <c r="AE163" s="5">
        <f>+$AC163*BD163</f>
        <v>0</v>
      </c>
      <c r="AF163" s="5">
        <f>+$AC163*BE163</f>
        <v>0</v>
      </c>
      <c r="AG163" s="5">
        <f>+$AC163*BF163</f>
        <v>0</v>
      </c>
      <c r="AH163" s="5">
        <f>+$AC163*BG163</f>
        <v>0</v>
      </c>
      <c r="AI163" s="5">
        <f>+$AC163*BH163</f>
        <v>0</v>
      </c>
      <c r="AJ163" s="5">
        <f>+$AC163*BI163</f>
        <v>0</v>
      </c>
      <c r="AK163" s="5">
        <f>+$AC163*BJ163</f>
        <v>0</v>
      </c>
      <c r="AL163" s="5">
        <f>+$AC163*BK163</f>
        <v>0</v>
      </c>
      <c r="AM163" s="5">
        <f>+$AC163*BL163</f>
        <v>0</v>
      </c>
      <c r="AN163" s="5">
        <f>+$AC163*BM163</f>
        <v>0</v>
      </c>
      <c r="AO163" s="5">
        <f>+$AC163*BN163</f>
        <v>0</v>
      </c>
      <c r="AP163" s="5">
        <f>+AC163+P163+C163</f>
        <v>4000</v>
      </c>
      <c r="AQ163" s="1">
        <v>802.63409353868019</v>
      </c>
      <c r="AR163" s="1">
        <v>959.8750095100678</v>
      </c>
      <c r="AS163" s="1">
        <v>849.49641763692875</v>
      </c>
      <c r="AT163" s="1">
        <v>643.46084881695435</v>
      </c>
      <c r="AU163" s="1">
        <v>933.17146294830866</v>
      </c>
      <c r="AV163" s="1">
        <v>764.73297857290174</v>
      </c>
      <c r="AW163" s="1">
        <v>761.34490989536437</v>
      </c>
      <c r="AX163" s="1">
        <v>517.02394916501964</v>
      </c>
      <c r="AY163" s="1">
        <v>766.38467111001728</v>
      </c>
      <c r="AZ163" s="1">
        <v>667.42253021731653</v>
      </c>
      <c r="BA163" s="1">
        <v>681.46370272896456</v>
      </c>
      <c r="BB163" s="1">
        <v>665.60003429108053</v>
      </c>
      <c r="BC163" s="2">
        <v>8.9181565948742242E-2</v>
      </c>
      <c r="BD163" s="2">
        <v>0.10665277883445198</v>
      </c>
      <c r="BE163" s="2">
        <v>9.438849084854764E-2</v>
      </c>
      <c r="BF163" s="2">
        <v>7.149564986855049E-2</v>
      </c>
      <c r="BG163" s="2">
        <v>0.10368571810536763</v>
      </c>
      <c r="BH163" s="2">
        <v>8.4970330952544637E-2</v>
      </c>
      <c r="BI163" s="2">
        <v>8.4593878877262704E-2</v>
      </c>
      <c r="BJ163" s="2">
        <v>5.7447105462779965E-2</v>
      </c>
      <c r="BK163" s="2">
        <v>8.5153852345557474E-2</v>
      </c>
      <c r="BL163" s="2">
        <v>7.4158058913035174E-2</v>
      </c>
      <c r="BM163" s="2">
        <v>7.5718189192107169E-2</v>
      </c>
      <c r="BN163" s="2">
        <v>7.3955559365675619E-2</v>
      </c>
    </row>
    <row r="164" spans="1:66" x14ac:dyDescent="0.25">
      <c r="A164" s="8">
        <v>17260</v>
      </c>
      <c r="B164" s="8" t="s">
        <v>832</v>
      </c>
      <c r="C164" s="5">
        <v>9000</v>
      </c>
      <c r="D164" s="5">
        <f>+$C164*BC164</f>
        <v>802.63409353868019</v>
      </c>
      <c r="E164" s="5">
        <f>+$C164*BD164</f>
        <v>959.8750095100678</v>
      </c>
      <c r="F164" s="5">
        <f>+$C164*BE164</f>
        <v>849.49641763692875</v>
      </c>
      <c r="G164" s="5">
        <f>+$C164*BF164</f>
        <v>643.46084881695435</v>
      </c>
      <c r="H164" s="5">
        <f>+$C164*BG164</f>
        <v>933.17146294830866</v>
      </c>
      <c r="I164" s="5">
        <f>+$C164*BH164</f>
        <v>764.73297857290174</v>
      </c>
      <c r="J164" s="5">
        <f>+$C164*BI164</f>
        <v>761.34490989536437</v>
      </c>
      <c r="K164" s="5">
        <f>+$C164*BJ164</f>
        <v>517.02394916501964</v>
      </c>
      <c r="L164" s="5">
        <f>+$C164*BK164</f>
        <v>766.38467111001728</v>
      </c>
      <c r="M164" s="5">
        <f>+$C164*BL164</f>
        <v>667.42253021731653</v>
      </c>
      <c r="N164" s="5">
        <f>+$C164*BM164</f>
        <v>681.46370272896456</v>
      </c>
      <c r="O164" s="5">
        <f>+$C164*BN164</f>
        <v>665.60003429108053</v>
      </c>
      <c r="P164" s="5">
        <v>0</v>
      </c>
      <c r="Q164" s="5">
        <f>+$P164*BC164</f>
        <v>0</v>
      </c>
      <c r="R164" s="5">
        <f>+$P164*BD164</f>
        <v>0</v>
      </c>
      <c r="S164" s="5">
        <f>+$P164*BE164</f>
        <v>0</v>
      </c>
      <c r="T164" s="5">
        <f>+$P164*BF164</f>
        <v>0</v>
      </c>
      <c r="U164" s="5">
        <f>+$P164*BG164</f>
        <v>0</v>
      </c>
      <c r="V164" s="5">
        <f>+$P164*BH164</f>
        <v>0</v>
      </c>
      <c r="W164" s="5">
        <f>+$P164*BI164</f>
        <v>0</v>
      </c>
      <c r="X164" s="5">
        <f>+$P164*BJ164</f>
        <v>0</v>
      </c>
      <c r="Y164" s="5">
        <f>+$P164*BK164</f>
        <v>0</v>
      </c>
      <c r="Z164" s="5">
        <f>+$P164*BL164</f>
        <v>0</v>
      </c>
      <c r="AA164" s="5">
        <f>+$P164*BM164</f>
        <v>0</v>
      </c>
      <c r="AB164" s="5">
        <f>+$P164*BN164</f>
        <v>0</v>
      </c>
      <c r="AC164" s="5">
        <v>0</v>
      </c>
      <c r="AD164" s="5">
        <f>+$AC164*BC164</f>
        <v>0</v>
      </c>
      <c r="AE164" s="5">
        <f>+$AC164*BD164</f>
        <v>0</v>
      </c>
      <c r="AF164" s="5">
        <f>+$AC164*BE164</f>
        <v>0</v>
      </c>
      <c r="AG164" s="5">
        <f>+$AC164*BF164</f>
        <v>0</v>
      </c>
      <c r="AH164" s="5">
        <f>+$AC164*BG164</f>
        <v>0</v>
      </c>
      <c r="AI164" s="5">
        <f>+$AC164*BH164</f>
        <v>0</v>
      </c>
      <c r="AJ164" s="5">
        <f>+$AC164*BI164</f>
        <v>0</v>
      </c>
      <c r="AK164" s="5">
        <f>+$AC164*BJ164</f>
        <v>0</v>
      </c>
      <c r="AL164" s="5">
        <f>+$AC164*BK164</f>
        <v>0</v>
      </c>
      <c r="AM164" s="5">
        <f>+$AC164*BL164</f>
        <v>0</v>
      </c>
      <c r="AN164" s="5">
        <f>+$AC164*BM164</f>
        <v>0</v>
      </c>
      <c r="AO164" s="5">
        <f>+$AC164*BN164</f>
        <v>0</v>
      </c>
      <c r="AP164" s="5">
        <f>+AC164+P164+C164</f>
        <v>9000</v>
      </c>
      <c r="AQ164" s="1">
        <v>802.63409353868019</v>
      </c>
      <c r="AR164" s="1">
        <v>959.8750095100678</v>
      </c>
      <c r="AS164" s="1">
        <v>849.49641763692875</v>
      </c>
      <c r="AT164" s="1">
        <v>643.46084881695435</v>
      </c>
      <c r="AU164" s="1">
        <v>933.17146294830866</v>
      </c>
      <c r="AV164" s="1">
        <v>764.73297857290174</v>
      </c>
      <c r="AW164" s="1">
        <v>761.34490989536437</v>
      </c>
      <c r="AX164" s="1">
        <v>517.02394916501964</v>
      </c>
      <c r="AY164" s="1">
        <v>766.38467111001728</v>
      </c>
      <c r="AZ164" s="1">
        <v>667.42253021731653</v>
      </c>
      <c r="BA164" s="1">
        <v>681.46370272896456</v>
      </c>
      <c r="BB164" s="1">
        <v>665.60003429108053</v>
      </c>
      <c r="BC164" s="2">
        <v>8.9181565948742242E-2</v>
      </c>
      <c r="BD164" s="2">
        <v>0.10665277883445198</v>
      </c>
      <c r="BE164" s="2">
        <v>9.438849084854764E-2</v>
      </c>
      <c r="BF164" s="2">
        <v>7.149564986855049E-2</v>
      </c>
      <c r="BG164" s="2">
        <v>0.10368571810536763</v>
      </c>
      <c r="BH164" s="2">
        <v>8.4970330952544637E-2</v>
      </c>
      <c r="BI164" s="2">
        <v>8.4593878877262704E-2</v>
      </c>
      <c r="BJ164" s="2">
        <v>5.7447105462779965E-2</v>
      </c>
      <c r="BK164" s="2">
        <v>8.5153852345557474E-2</v>
      </c>
      <c r="BL164" s="2">
        <v>7.4158058913035174E-2</v>
      </c>
      <c r="BM164" s="2">
        <v>7.5718189192107169E-2</v>
      </c>
      <c r="BN164" s="2">
        <v>7.3955559365675619E-2</v>
      </c>
    </row>
    <row r="165" spans="1:66" x14ac:dyDescent="0.25">
      <c r="A165" s="8">
        <v>20218</v>
      </c>
      <c r="B165" s="8" t="s">
        <v>831</v>
      </c>
      <c r="C165" s="5">
        <v>0</v>
      </c>
      <c r="D165" s="5">
        <f>+$C165*BC165</f>
        <v>0</v>
      </c>
      <c r="E165" s="5">
        <f>+$C165*BD165</f>
        <v>0</v>
      </c>
      <c r="F165" s="5">
        <f>+$C165*BE165</f>
        <v>0</v>
      </c>
      <c r="G165" s="5">
        <f>+$C165*BF165</f>
        <v>0</v>
      </c>
      <c r="H165" s="5">
        <f>+$C165*BG165</f>
        <v>0</v>
      </c>
      <c r="I165" s="5">
        <f>+$C165*BH165</f>
        <v>0</v>
      </c>
      <c r="J165" s="5">
        <f>+$C165*BI165</f>
        <v>0</v>
      </c>
      <c r="K165" s="5">
        <f>+$C165*BJ165</f>
        <v>0</v>
      </c>
      <c r="L165" s="5">
        <f>+$C165*BK165</f>
        <v>0</v>
      </c>
      <c r="M165" s="5">
        <f>+$C165*BL165</f>
        <v>0</v>
      </c>
      <c r="N165" s="5">
        <f>+$C165*BM165</f>
        <v>0</v>
      </c>
      <c r="O165" s="5">
        <f>+$C165*BN165</f>
        <v>0</v>
      </c>
      <c r="P165" s="5">
        <v>7000</v>
      </c>
      <c r="Q165" s="5">
        <f>+$P165*BC165</f>
        <v>624.27096164119564</v>
      </c>
      <c r="R165" s="5">
        <f>+$P165*BD165</f>
        <v>746.56945184116387</v>
      </c>
      <c r="S165" s="5">
        <f>+$P165*BE165</f>
        <v>660.71943593983349</v>
      </c>
      <c r="T165" s="5">
        <f>+$P165*BF165</f>
        <v>500.46954907985344</v>
      </c>
      <c r="U165" s="5">
        <f>+$P165*BG165</f>
        <v>725.80002673757338</v>
      </c>
      <c r="V165" s="5">
        <f>+$P165*BH165</f>
        <v>594.79231666781243</v>
      </c>
      <c r="W165" s="5">
        <f>+$P165*BI165</f>
        <v>592.15715214083889</v>
      </c>
      <c r="X165" s="5">
        <f>+$P165*BJ165</f>
        <v>402.12973823945975</v>
      </c>
      <c r="Y165" s="5">
        <f>+$P165*BK165</f>
        <v>596.07696641890232</v>
      </c>
      <c r="Z165" s="5">
        <f>+$P165*BL165</f>
        <v>519.10641239124618</v>
      </c>
      <c r="AA165" s="5">
        <f>+$P165*BM165</f>
        <v>530.02732434475013</v>
      </c>
      <c r="AB165" s="5">
        <f>+$P165*BN165</f>
        <v>517.68891555972937</v>
      </c>
      <c r="AC165" s="5">
        <v>0</v>
      </c>
      <c r="AD165" s="5">
        <f>+$AC165*BC165</f>
        <v>0</v>
      </c>
      <c r="AE165" s="5">
        <f>+$AC165*BD165</f>
        <v>0</v>
      </c>
      <c r="AF165" s="5">
        <f>+$AC165*BE165</f>
        <v>0</v>
      </c>
      <c r="AG165" s="5">
        <f>+$AC165*BF165</f>
        <v>0</v>
      </c>
      <c r="AH165" s="5">
        <f>+$AC165*BG165</f>
        <v>0</v>
      </c>
      <c r="AI165" s="5">
        <f>+$AC165*BH165</f>
        <v>0</v>
      </c>
      <c r="AJ165" s="5">
        <f>+$AC165*BI165</f>
        <v>0</v>
      </c>
      <c r="AK165" s="5">
        <f>+$AC165*BJ165</f>
        <v>0</v>
      </c>
      <c r="AL165" s="5">
        <f>+$AC165*BK165</f>
        <v>0</v>
      </c>
      <c r="AM165" s="5">
        <f>+$AC165*BL165</f>
        <v>0</v>
      </c>
      <c r="AN165" s="5">
        <f>+$AC165*BM165</f>
        <v>0</v>
      </c>
      <c r="AO165" s="5">
        <f>+$AC165*BN165</f>
        <v>0</v>
      </c>
      <c r="AP165" s="5">
        <f>+AC165+P165+C165</f>
        <v>7000</v>
      </c>
      <c r="AQ165" s="1">
        <v>802.63409353868019</v>
      </c>
      <c r="AR165" s="1">
        <v>959.8750095100678</v>
      </c>
      <c r="AS165" s="1">
        <v>849.49641763692875</v>
      </c>
      <c r="AT165" s="1">
        <v>643.46084881695435</v>
      </c>
      <c r="AU165" s="1">
        <v>933.17146294830866</v>
      </c>
      <c r="AV165" s="1">
        <v>764.73297857290174</v>
      </c>
      <c r="AW165" s="1">
        <v>761.34490989536437</v>
      </c>
      <c r="AX165" s="1">
        <v>517.02394916501964</v>
      </c>
      <c r="AY165" s="1">
        <v>766.38467111001728</v>
      </c>
      <c r="AZ165" s="1">
        <v>667.42253021731653</v>
      </c>
      <c r="BA165" s="1">
        <v>681.46370272896456</v>
      </c>
      <c r="BB165" s="1">
        <v>665.60003429108053</v>
      </c>
      <c r="BC165" s="2">
        <v>8.9181565948742242E-2</v>
      </c>
      <c r="BD165" s="2">
        <v>0.10665277883445198</v>
      </c>
      <c r="BE165" s="2">
        <v>9.438849084854764E-2</v>
      </c>
      <c r="BF165" s="2">
        <v>7.149564986855049E-2</v>
      </c>
      <c r="BG165" s="2">
        <v>0.10368571810536763</v>
      </c>
      <c r="BH165" s="2">
        <v>8.4970330952544637E-2</v>
      </c>
      <c r="BI165" s="2">
        <v>8.4593878877262704E-2</v>
      </c>
      <c r="BJ165" s="2">
        <v>5.7447105462779965E-2</v>
      </c>
      <c r="BK165" s="2">
        <v>8.5153852345557474E-2</v>
      </c>
      <c r="BL165" s="2">
        <v>7.4158058913035174E-2</v>
      </c>
      <c r="BM165" s="2">
        <v>7.5718189192107169E-2</v>
      </c>
      <c r="BN165" s="2">
        <v>7.3955559365675619E-2</v>
      </c>
    </row>
    <row r="166" spans="1:66" x14ac:dyDescent="0.25">
      <c r="A166" s="8">
        <v>27907</v>
      </c>
      <c r="B166" s="8" t="s">
        <v>830</v>
      </c>
      <c r="C166" s="5">
        <v>0</v>
      </c>
      <c r="D166" s="5">
        <f>+$C166*BC166</f>
        <v>0</v>
      </c>
      <c r="E166" s="5">
        <f>+$C166*BD166</f>
        <v>0</v>
      </c>
      <c r="F166" s="5">
        <f>+$C166*BE166</f>
        <v>0</v>
      </c>
      <c r="G166" s="5">
        <f>+$C166*BF166</f>
        <v>0</v>
      </c>
      <c r="H166" s="5">
        <f>+$C166*BG166</f>
        <v>0</v>
      </c>
      <c r="I166" s="5">
        <f>+$C166*BH166</f>
        <v>0</v>
      </c>
      <c r="J166" s="5">
        <f>+$C166*BI166</f>
        <v>0</v>
      </c>
      <c r="K166" s="5">
        <f>+$C166*BJ166</f>
        <v>0</v>
      </c>
      <c r="L166" s="5">
        <f>+$C166*BK166</f>
        <v>0</v>
      </c>
      <c r="M166" s="5">
        <f>+$C166*BL166</f>
        <v>0</v>
      </c>
      <c r="N166" s="5">
        <f>+$C166*BM166</f>
        <v>0</v>
      </c>
      <c r="O166" s="5">
        <f>+$C166*BN166</f>
        <v>0</v>
      </c>
      <c r="P166" s="5">
        <v>25000</v>
      </c>
      <c r="Q166" s="5">
        <f>+$P166*BC166</f>
        <v>2229.5391487185561</v>
      </c>
      <c r="R166" s="5">
        <f>+$P166*BD166</f>
        <v>2666.3194708612996</v>
      </c>
      <c r="S166" s="5">
        <f>+$P166*BE166</f>
        <v>2359.7122712136911</v>
      </c>
      <c r="T166" s="5">
        <f>+$P166*BF166</f>
        <v>1787.3912467137623</v>
      </c>
      <c r="U166" s="5">
        <f>+$P166*BG166</f>
        <v>2592.1429526341908</v>
      </c>
      <c r="V166" s="5">
        <f>+$P166*BH166</f>
        <v>2124.2582738136161</v>
      </c>
      <c r="W166" s="5">
        <f>+$P166*BI166</f>
        <v>2114.8469719315676</v>
      </c>
      <c r="X166" s="5">
        <f>+$P166*BJ166</f>
        <v>1436.1776365694991</v>
      </c>
      <c r="Y166" s="5">
        <f>+$P166*BK166</f>
        <v>2128.846308638937</v>
      </c>
      <c r="Z166" s="5">
        <f>+$P166*BL166</f>
        <v>1853.9514728258794</v>
      </c>
      <c r="AA166" s="5">
        <f>+$P166*BM166</f>
        <v>1892.9547298026791</v>
      </c>
      <c r="AB166" s="5">
        <f>+$P166*BN166</f>
        <v>1848.8889841418904</v>
      </c>
      <c r="AC166" s="5">
        <v>0</v>
      </c>
      <c r="AD166" s="5">
        <f>+$AC166*BC166</f>
        <v>0</v>
      </c>
      <c r="AE166" s="5">
        <f>+$AC166*BD166</f>
        <v>0</v>
      </c>
      <c r="AF166" s="5">
        <f>+$AC166*BE166</f>
        <v>0</v>
      </c>
      <c r="AG166" s="5">
        <f>+$AC166*BF166</f>
        <v>0</v>
      </c>
      <c r="AH166" s="5">
        <f>+$AC166*BG166</f>
        <v>0</v>
      </c>
      <c r="AI166" s="5">
        <f>+$AC166*BH166</f>
        <v>0</v>
      </c>
      <c r="AJ166" s="5">
        <f>+$AC166*BI166</f>
        <v>0</v>
      </c>
      <c r="AK166" s="5">
        <f>+$AC166*BJ166</f>
        <v>0</v>
      </c>
      <c r="AL166" s="5">
        <f>+$AC166*BK166</f>
        <v>0</v>
      </c>
      <c r="AM166" s="5">
        <f>+$AC166*BL166</f>
        <v>0</v>
      </c>
      <c r="AN166" s="5">
        <f>+$AC166*BM166</f>
        <v>0</v>
      </c>
      <c r="AO166" s="5">
        <f>+$AC166*BN166</f>
        <v>0</v>
      </c>
      <c r="AP166" s="5">
        <f>+AC166+P166+C166</f>
        <v>25000</v>
      </c>
      <c r="AQ166" s="1">
        <v>802.63409353868019</v>
      </c>
      <c r="AR166" s="1">
        <v>959.8750095100678</v>
      </c>
      <c r="AS166" s="1">
        <v>849.49641763692875</v>
      </c>
      <c r="AT166" s="1">
        <v>643.46084881695435</v>
      </c>
      <c r="AU166" s="1">
        <v>933.17146294830866</v>
      </c>
      <c r="AV166" s="1">
        <v>764.73297857290174</v>
      </c>
      <c r="AW166" s="1">
        <v>761.34490989536437</v>
      </c>
      <c r="AX166" s="1">
        <v>517.02394916501964</v>
      </c>
      <c r="AY166" s="1">
        <v>766.38467111001728</v>
      </c>
      <c r="AZ166" s="1">
        <v>667.42253021731653</v>
      </c>
      <c r="BA166" s="1">
        <v>681.46370272896456</v>
      </c>
      <c r="BB166" s="1">
        <v>665.60003429108053</v>
      </c>
      <c r="BC166" s="2">
        <v>8.9181565948742242E-2</v>
      </c>
      <c r="BD166" s="2">
        <v>0.10665277883445198</v>
      </c>
      <c r="BE166" s="2">
        <v>9.438849084854764E-2</v>
      </c>
      <c r="BF166" s="2">
        <v>7.149564986855049E-2</v>
      </c>
      <c r="BG166" s="2">
        <v>0.10368571810536763</v>
      </c>
      <c r="BH166" s="2">
        <v>8.4970330952544637E-2</v>
      </c>
      <c r="BI166" s="2">
        <v>8.4593878877262704E-2</v>
      </c>
      <c r="BJ166" s="2">
        <v>5.7447105462779965E-2</v>
      </c>
      <c r="BK166" s="2">
        <v>8.5153852345557474E-2</v>
      </c>
      <c r="BL166" s="2">
        <v>7.4158058913035174E-2</v>
      </c>
      <c r="BM166" s="2">
        <v>7.5718189192107169E-2</v>
      </c>
      <c r="BN166" s="2">
        <v>7.3955559365675619E-2</v>
      </c>
    </row>
    <row r="167" spans="1:66" x14ac:dyDescent="0.25">
      <c r="A167" s="8">
        <v>29110</v>
      </c>
      <c r="B167" s="8" t="s">
        <v>829</v>
      </c>
      <c r="C167" s="5">
        <v>0</v>
      </c>
      <c r="D167" s="5">
        <f>+$C167*BC167</f>
        <v>0</v>
      </c>
      <c r="E167" s="5">
        <f>+$C167*BD167</f>
        <v>0</v>
      </c>
      <c r="F167" s="5">
        <f>+$C167*BE167</f>
        <v>0</v>
      </c>
      <c r="G167" s="5">
        <f>+$C167*BF167</f>
        <v>0</v>
      </c>
      <c r="H167" s="5">
        <f>+$C167*BG167</f>
        <v>0</v>
      </c>
      <c r="I167" s="5">
        <f>+$C167*BH167</f>
        <v>0</v>
      </c>
      <c r="J167" s="5">
        <f>+$C167*BI167</f>
        <v>0</v>
      </c>
      <c r="K167" s="5">
        <f>+$C167*BJ167</f>
        <v>0</v>
      </c>
      <c r="L167" s="5">
        <f>+$C167*BK167</f>
        <v>0</v>
      </c>
      <c r="M167" s="5">
        <f>+$C167*BL167</f>
        <v>0</v>
      </c>
      <c r="N167" s="5">
        <f>+$C167*BM167</f>
        <v>0</v>
      </c>
      <c r="O167" s="5">
        <f>+$C167*BN167</f>
        <v>0</v>
      </c>
      <c r="P167" s="5">
        <v>5000</v>
      </c>
      <c r="Q167" s="5">
        <f>+$P167*BC167</f>
        <v>445.9078297437112</v>
      </c>
      <c r="R167" s="5">
        <f>+$P167*BD167</f>
        <v>533.26389417225994</v>
      </c>
      <c r="S167" s="5">
        <f>+$P167*BE167</f>
        <v>471.94245424273822</v>
      </c>
      <c r="T167" s="5">
        <f>+$P167*BF167</f>
        <v>357.47824934275246</v>
      </c>
      <c r="U167" s="5">
        <f>+$P167*BG167</f>
        <v>518.42859052683809</v>
      </c>
      <c r="V167" s="5">
        <f>+$P167*BH167</f>
        <v>424.85165476272317</v>
      </c>
      <c r="W167" s="5">
        <f>+$P167*BI167</f>
        <v>422.96939438631352</v>
      </c>
      <c r="X167" s="5">
        <f>+$P167*BJ167</f>
        <v>287.23552731389981</v>
      </c>
      <c r="Y167" s="5">
        <f>+$P167*BK167</f>
        <v>425.76926172778735</v>
      </c>
      <c r="Z167" s="5">
        <f>+$P167*BL167</f>
        <v>370.79029456517588</v>
      </c>
      <c r="AA167" s="5">
        <f>+$P167*BM167</f>
        <v>378.59094596053586</v>
      </c>
      <c r="AB167" s="5">
        <f>+$P167*BN167</f>
        <v>369.77779682837809</v>
      </c>
      <c r="AC167" s="5">
        <v>0</v>
      </c>
      <c r="AD167" s="5">
        <f>+$AC167*BC167</f>
        <v>0</v>
      </c>
      <c r="AE167" s="5">
        <f>+$AC167*BD167</f>
        <v>0</v>
      </c>
      <c r="AF167" s="5">
        <f>+$AC167*BE167</f>
        <v>0</v>
      </c>
      <c r="AG167" s="5">
        <f>+$AC167*BF167</f>
        <v>0</v>
      </c>
      <c r="AH167" s="5">
        <f>+$AC167*BG167</f>
        <v>0</v>
      </c>
      <c r="AI167" s="5">
        <f>+$AC167*BH167</f>
        <v>0</v>
      </c>
      <c r="AJ167" s="5">
        <f>+$AC167*BI167</f>
        <v>0</v>
      </c>
      <c r="AK167" s="5">
        <f>+$AC167*BJ167</f>
        <v>0</v>
      </c>
      <c r="AL167" s="5">
        <f>+$AC167*BK167</f>
        <v>0</v>
      </c>
      <c r="AM167" s="5">
        <f>+$AC167*BL167</f>
        <v>0</v>
      </c>
      <c r="AN167" s="5">
        <f>+$AC167*BM167</f>
        <v>0</v>
      </c>
      <c r="AO167" s="5">
        <f>+$AC167*BN167</f>
        <v>0</v>
      </c>
      <c r="AP167" s="5">
        <f>+AC167+P167+C167</f>
        <v>5000</v>
      </c>
      <c r="AQ167" s="1">
        <v>802.63409353868019</v>
      </c>
      <c r="AR167" s="1">
        <v>959.8750095100678</v>
      </c>
      <c r="AS167" s="1">
        <v>849.49641763692875</v>
      </c>
      <c r="AT167" s="1">
        <v>643.46084881695435</v>
      </c>
      <c r="AU167" s="1">
        <v>933.17146294830866</v>
      </c>
      <c r="AV167" s="1">
        <v>764.73297857290174</v>
      </c>
      <c r="AW167" s="1">
        <v>761.34490989536437</v>
      </c>
      <c r="AX167" s="1">
        <v>517.02394916501964</v>
      </c>
      <c r="AY167" s="1">
        <v>766.38467111001728</v>
      </c>
      <c r="AZ167" s="1">
        <v>667.42253021731653</v>
      </c>
      <c r="BA167" s="1">
        <v>681.46370272896456</v>
      </c>
      <c r="BB167" s="1">
        <v>665.60003429108053</v>
      </c>
      <c r="BC167" s="2">
        <v>8.9181565948742242E-2</v>
      </c>
      <c r="BD167" s="2">
        <v>0.10665277883445198</v>
      </c>
      <c r="BE167" s="2">
        <v>9.438849084854764E-2</v>
      </c>
      <c r="BF167" s="2">
        <v>7.149564986855049E-2</v>
      </c>
      <c r="BG167" s="2">
        <v>0.10368571810536763</v>
      </c>
      <c r="BH167" s="2">
        <v>8.4970330952544637E-2</v>
      </c>
      <c r="BI167" s="2">
        <v>8.4593878877262704E-2</v>
      </c>
      <c r="BJ167" s="2">
        <v>5.7447105462779965E-2</v>
      </c>
      <c r="BK167" s="2">
        <v>8.5153852345557474E-2</v>
      </c>
      <c r="BL167" s="2">
        <v>7.4158058913035174E-2</v>
      </c>
      <c r="BM167" s="2">
        <v>7.5718189192107169E-2</v>
      </c>
      <c r="BN167" s="2">
        <v>7.3955559365675619E-2</v>
      </c>
    </row>
    <row r="168" spans="1:66" x14ac:dyDescent="0.25">
      <c r="A168" s="8">
        <v>1243</v>
      </c>
      <c r="B168" s="8" t="s">
        <v>828</v>
      </c>
      <c r="C168" s="5">
        <v>0</v>
      </c>
      <c r="D168" s="5">
        <f>+$C168*BC168</f>
        <v>0</v>
      </c>
      <c r="E168" s="5">
        <f>+$C168*BD168</f>
        <v>0</v>
      </c>
      <c r="F168" s="5">
        <f>+$C168*BE168</f>
        <v>0</v>
      </c>
      <c r="G168" s="5">
        <f>+$C168*BF168</f>
        <v>0</v>
      </c>
      <c r="H168" s="5">
        <f>+$C168*BG168</f>
        <v>0</v>
      </c>
      <c r="I168" s="5">
        <f>+$C168*BH168</f>
        <v>0</v>
      </c>
      <c r="J168" s="5">
        <f>+$C168*BI168</f>
        <v>0</v>
      </c>
      <c r="K168" s="5">
        <f>+$C168*BJ168</f>
        <v>0</v>
      </c>
      <c r="L168" s="5">
        <f>+$C168*BK168</f>
        <v>0</v>
      </c>
      <c r="M168" s="5">
        <f>+$C168*BL168</f>
        <v>0</v>
      </c>
      <c r="N168" s="5">
        <f>+$C168*BM168</f>
        <v>0</v>
      </c>
      <c r="O168" s="5">
        <f>+$C168*BN168</f>
        <v>0</v>
      </c>
      <c r="P168" s="5">
        <v>9000</v>
      </c>
      <c r="Q168" s="5">
        <f>+$P168*BC168</f>
        <v>802.63409353868019</v>
      </c>
      <c r="R168" s="5">
        <f>+$P168*BD168</f>
        <v>959.8750095100678</v>
      </c>
      <c r="S168" s="5">
        <f>+$P168*BE168</f>
        <v>849.49641763692875</v>
      </c>
      <c r="T168" s="5">
        <f>+$P168*BF168</f>
        <v>643.46084881695435</v>
      </c>
      <c r="U168" s="5">
        <f>+$P168*BG168</f>
        <v>933.17146294830866</v>
      </c>
      <c r="V168" s="5">
        <f>+$P168*BH168</f>
        <v>764.73297857290174</v>
      </c>
      <c r="W168" s="5">
        <f>+$P168*BI168</f>
        <v>761.34490989536437</v>
      </c>
      <c r="X168" s="5">
        <f>+$P168*BJ168</f>
        <v>517.02394916501964</v>
      </c>
      <c r="Y168" s="5">
        <f>+$P168*BK168</f>
        <v>766.38467111001728</v>
      </c>
      <c r="Z168" s="5">
        <f>+$P168*BL168</f>
        <v>667.42253021731653</v>
      </c>
      <c r="AA168" s="5">
        <f>+$P168*BM168</f>
        <v>681.46370272896456</v>
      </c>
      <c r="AB168" s="5">
        <f>+$P168*BN168</f>
        <v>665.60003429108053</v>
      </c>
      <c r="AC168" s="5">
        <v>0</v>
      </c>
      <c r="AD168" s="5">
        <f>+$AC168*BC168</f>
        <v>0</v>
      </c>
      <c r="AE168" s="5">
        <f>+$AC168*BD168</f>
        <v>0</v>
      </c>
      <c r="AF168" s="5">
        <f>+$AC168*BE168</f>
        <v>0</v>
      </c>
      <c r="AG168" s="5">
        <f>+$AC168*BF168</f>
        <v>0</v>
      </c>
      <c r="AH168" s="5">
        <f>+$AC168*BG168</f>
        <v>0</v>
      </c>
      <c r="AI168" s="5">
        <f>+$AC168*BH168</f>
        <v>0</v>
      </c>
      <c r="AJ168" s="5">
        <f>+$AC168*BI168</f>
        <v>0</v>
      </c>
      <c r="AK168" s="5">
        <f>+$AC168*BJ168</f>
        <v>0</v>
      </c>
      <c r="AL168" s="5">
        <f>+$AC168*BK168</f>
        <v>0</v>
      </c>
      <c r="AM168" s="5">
        <f>+$AC168*BL168</f>
        <v>0</v>
      </c>
      <c r="AN168" s="5">
        <f>+$AC168*BM168</f>
        <v>0</v>
      </c>
      <c r="AO168" s="5">
        <f>+$AC168*BN168</f>
        <v>0</v>
      </c>
      <c r="AP168" s="5">
        <f>+AC168+P168+C168</f>
        <v>9000</v>
      </c>
      <c r="AQ168" s="1">
        <v>802.63409353868019</v>
      </c>
      <c r="AR168" s="1">
        <v>959.8750095100678</v>
      </c>
      <c r="AS168" s="1">
        <v>849.49641763692875</v>
      </c>
      <c r="AT168" s="1">
        <v>643.46084881695435</v>
      </c>
      <c r="AU168" s="1">
        <v>933.17146294830866</v>
      </c>
      <c r="AV168" s="1">
        <v>764.73297857290174</v>
      </c>
      <c r="AW168" s="1">
        <v>761.34490989536437</v>
      </c>
      <c r="AX168" s="1">
        <v>517.02394916501964</v>
      </c>
      <c r="AY168" s="1">
        <v>766.38467111001728</v>
      </c>
      <c r="AZ168" s="1">
        <v>667.42253021731653</v>
      </c>
      <c r="BA168" s="1">
        <v>681.46370272896456</v>
      </c>
      <c r="BB168" s="1">
        <v>665.60003429108053</v>
      </c>
      <c r="BC168" s="2">
        <v>8.9181565948742242E-2</v>
      </c>
      <c r="BD168" s="2">
        <v>0.10665277883445198</v>
      </c>
      <c r="BE168" s="2">
        <v>9.438849084854764E-2</v>
      </c>
      <c r="BF168" s="2">
        <v>7.149564986855049E-2</v>
      </c>
      <c r="BG168" s="2">
        <v>0.10368571810536763</v>
      </c>
      <c r="BH168" s="2">
        <v>8.4970330952544637E-2</v>
      </c>
      <c r="BI168" s="2">
        <v>8.4593878877262704E-2</v>
      </c>
      <c r="BJ168" s="2">
        <v>5.7447105462779965E-2</v>
      </c>
      <c r="BK168" s="2">
        <v>8.5153852345557474E-2</v>
      </c>
      <c r="BL168" s="2">
        <v>7.4158058913035174E-2</v>
      </c>
      <c r="BM168" s="2">
        <v>7.5718189192107169E-2</v>
      </c>
      <c r="BN168" s="2">
        <v>7.3955559365675619E-2</v>
      </c>
    </row>
    <row r="169" spans="1:66" x14ac:dyDescent="0.25">
      <c r="A169" s="8">
        <v>2945</v>
      </c>
      <c r="B169" s="8" t="s">
        <v>827</v>
      </c>
      <c r="C169" s="5">
        <v>0</v>
      </c>
      <c r="D169" s="5">
        <f>+$C169*BC169</f>
        <v>0</v>
      </c>
      <c r="E169" s="5">
        <f>+$C169*BD169</f>
        <v>0</v>
      </c>
      <c r="F169" s="5">
        <f>+$C169*BE169</f>
        <v>0</v>
      </c>
      <c r="G169" s="5">
        <f>+$C169*BF169</f>
        <v>0</v>
      </c>
      <c r="H169" s="5">
        <f>+$C169*BG169</f>
        <v>0</v>
      </c>
      <c r="I169" s="5">
        <f>+$C169*BH169</f>
        <v>0</v>
      </c>
      <c r="J169" s="5">
        <f>+$C169*BI169</f>
        <v>0</v>
      </c>
      <c r="K169" s="5">
        <f>+$C169*BJ169</f>
        <v>0</v>
      </c>
      <c r="L169" s="5">
        <f>+$C169*BK169</f>
        <v>0</v>
      </c>
      <c r="M169" s="5">
        <f>+$C169*BL169</f>
        <v>0</v>
      </c>
      <c r="N169" s="5">
        <f>+$C169*BM169</f>
        <v>0</v>
      </c>
      <c r="O169" s="5">
        <f>+$C169*BN169</f>
        <v>0</v>
      </c>
      <c r="P169" s="5">
        <v>0</v>
      </c>
      <c r="Q169" s="5">
        <f>+$P169*BC169</f>
        <v>0</v>
      </c>
      <c r="R169" s="5">
        <f>+$P169*BD169</f>
        <v>0</v>
      </c>
      <c r="S169" s="5">
        <f>+$P169*BE169</f>
        <v>0</v>
      </c>
      <c r="T169" s="5">
        <f>+$P169*BF169</f>
        <v>0</v>
      </c>
      <c r="U169" s="5">
        <f>+$P169*BG169</f>
        <v>0</v>
      </c>
      <c r="V169" s="5">
        <f>+$P169*BH169</f>
        <v>0</v>
      </c>
      <c r="W169" s="5">
        <f>+$P169*BI169</f>
        <v>0</v>
      </c>
      <c r="X169" s="5">
        <f>+$P169*BJ169</f>
        <v>0</v>
      </c>
      <c r="Y169" s="5">
        <f>+$P169*BK169</f>
        <v>0</v>
      </c>
      <c r="Z169" s="5">
        <f>+$P169*BL169</f>
        <v>0</v>
      </c>
      <c r="AA169" s="5">
        <f>+$P169*BM169</f>
        <v>0</v>
      </c>
      <c r="AB169" s="5">
        <f>+$P169*BN169</f>
        <v>0</v>
      </c>
      <c r="AC169" s="5">
        <v>12000</v>
      </c>
      <c r="AD169" s="5">
        <f>+$AC169*BC169</f>
        <v>1070.1787913849068</v>
      </c>
      <c r="AE169" s="5">
        <f>+$AC169*BD169</f>
        <v>1279.8333460134238</v>
      </c>
      <c r="AF169" s="5">
        <f>+$AC169*BE169</f>
        <v>1132.6618901825716</v>
      </c>
      <c r="AG169" s="5">
        <f>+$AC169*BF169</f>
        <v>857.94779842260584</v>
      </c>
      <c r="AH169" s="5">
        <f>+$AC169*BG169</f>
        <v>1244.2286172644115</v>
      </c>
      <c r="AI169" s="5">
        <f>+$AC169*BH169</f>
        <v>1019.6439714305357</v>
      </c>
      <c r="AJ169" s="5">
        <f>+$AC169*BI169</f>
        <v>1015.1265465271524</v>
      </c>
      <c r="AK169" s="5">
        <f>+$AC169*BJ169</f>
        <v>689.36526555335956</v>
      </c>
      <c r="AL169" s="5">
        <f>+$AC169*BK169</f>
        <v>1021.8462281466897</v>
      </c>
      <c r="AM169" s="5">
        <f>+$AC169*BL169</f>
        <v>889.89670695642212</v>
      </c>
      <c r="AN169" s="5">
        <f>+$AC169*BM169</f>
        <v>908.61827030528605</v>
      </c>
      <c r="AO169" s="5">
        <f>+$AC169*BN169</f>
        <v>887.46671238810745</v>
      </c>
      <c r="AP169" s="5">
        <f>+AC169+P169+C169</f>
        <v>12000</v>
      </c>
      <c r="AQ169" s="1">
        <v>766.96146715918326</v>
      </c>
      <c r="AR169" s="1">
        <v>917.21389797628706</v>
      </c>
      <c r="AS169" s="1">
        <v>811.74102129750975</v>
      </c>
      <c r="AT169" s="1">
        <v>614.86258886953419</v>
      </c>
      <c r="AU169" s="1">
        <v>891.6971757061616</v>
      </c>
      <c r="AV169" s="1">
        <v>730.74484619188388</v>
      </c>
      <c r="AW169" s="1">
        <v>727.50735834445925</v>
      </c>
      <c r="AX169" s="1">
        <v>494.0451069799077</v>
      </c>
      <c r="AY169" s="1">
        <v>732.32313017179422</v>
      </c>
      <c r="AZ169" s="1">
        <v>637.75930665210251</v>
      </c>
      <c r="BA169" s="1">
        <v>651.17642705212165</v>
      </c>
      <c r="BB169" s="1">
        <v>636.01781054481035</v>
      </c>
      <c r="BC169" s="2">
        <v>8.9181565948742242E-2</v>
      </c>
      <c r="BD169" s="2">
        <v>0.10665277883445198</v>
      </c>
      <c r="BE169" s="2">
        <v>9.438849084854764E-2</v>
      </c>
      <c r="BF169" s="2">
        <v>7.149564986855049E-2</v>
      </c>
      <c r="BG169" s="2">
        <v>0.10368571810536763</v>
      </c>
      <c r="BH169" s="2">
        <v>8.4970330952544637E-2</v>
      </c>
      <c r="BI169" s="2">
        <v>8.4593878877262704E-2</v>
      </c>
      <c r="BJ169" s="2">
        <v>5.7447105462779965E-2</v>
      </c>
      <c r="BK169" s="2">
        <v>8.5153852345557474E-2</v>
      </c>
      <c r="BL169" s="2">
        <v>7.4158058913035174E-2</v>
      </c>
      <c r="BM169" s="2">
        <v>7.5718189192107169E-2</v>
      </c>
      <c r="BN169" s="2">
        <v>7.3955559365675619E-2</v>
      </c>
    </row>
    <row r="170" spans="1:66" x14ac:dyDescent="0.25">
      <c r="A170" s="8">
        <v>3502</v>
      </c>
      <c r="B170" s="8" t="s">
        <v>826</v>
      </c>
      <c r="C170" s="5">
        <v>0</v>
      </c>
      <c r="D170" s="5">
        <f>+$C170*BC170</f>
        <v>0</v>
      </c>
      <c r="E170" s="5">
        <f>+$C170*BD170</f>
        <v>0</v>
      </c>
      <c r="F170" s="5">
        <f>+$C170*BE170</f>
        <v>0</v>
      </c>
      <c r="G170" s="5">
        <f>+$C170*BF170</f>
        <v>0</v>
      </c>
      <c r="H170" s="5">
        <f>+$C170*BG170</f>
        <v>0</v>
      </c>
      <c r="I170" s="5">
        <f>+$C170*BH170</f>
        <v>0</v>
      </c>
      <c r="J170" s="5">
        <f>+$C170*BI170</f>
        <v>0</v>
      </c>
      <c r="K170" s="5">
        <f>+$C170*BJ170</f>
        <v>0</v>
      </c>
      <c r="L170" s="5">
        <f>+$C170*BK170</f>
        <v>0</v>
      </c>
      <c r="M170" s="5">
        <f>+$C170*BL170</f>
        <v>0</v>
      </c>
      <c r="N170" s="5">
        <f>+$C170*BM170</f>
        <v>0</v>
      </c>
      <c r="O170" s="5">
        <f>+$C170*BN170</f>
        <v>0</v>
      </c>
      <c r="P170" s="5">
        <v>9000</v>
      </c>
      <c r="Q170" s="5">
        <f>+$P170*BC170</f>
        <v>802.63409353868019</v>
      </c>
      <c r="R170" s="5">
        <f>+$P170*BD170</f>
        <v>959.8750095100678</v>
      </c>
      <c r="S170" s="5">
        <f>+$P170*BE170</f>
        <v>849.49641763692875</v>
      </c>
      <c r="T170" s="5">
        <f>+$P170*BF170</f>
        <v>643.46084881695435</v>
      </c>
      <c r="U170" s="5">
        <f>+$P170*BG170</f>
        <v>933.17146294830866</v>
      </c>
      <c r="V170" s="5">
        <f>+$P170*BH170</f>
        <v>764.73297857290174</v>
      </c>
      <c r="W170" s="5">
        <f>+$P170*BI170</f>
        <v>761.34490989536437</v>
      </c>
      <c r="X170" s="5">
        <f>+$P170*BJ170</f>
        <v>517.02394916501964</v>
      </c>
      <c r="Y170" s="5">
        <f>+$P170*BK170</f>
        <v>766.38467111001728</v>
      </c>
      <c r="Z170" s="5">
        <f>+$P170*BL170</f>
        <v>667.42253021731653</v>
      </c>
      <c r="AA170" s="5">
        <f>+$P170*BM170</f>
        <v>681.46370272896456</v>
      </c>
      <c r="AB170" s="5">
        <f>+$P170*BN170</f>
        <v>665.60003429108053</v>
      </c>
      <c r="AC170" s="5">
        <v>0</v>
      </c>
      <c r="AD170" s="5">
        <f>+$AC170*BC170</f>
        <v>0</v>
      </c>
      <c r="AE170" s="5">
        <f>+$AC170*BD170</f>
        <v>0</v>
      </c>
      <c r="AF170" s="5">
        <f>+$AC170*BE170</f>
        <v>0</v>
      </c>
      <c r="AG170" s="5">
        <f>+$AC170*BF170</f>
        <v>0</v>
      </c>
      <c r="AH170" s="5">
        <f>+$AC170*BG170</f>
        <v>0</v>
      </c>
      <c r="AI170" s="5">
        <f>+$AC170*BH170</f>
        <v>0</v>
      </c>
      <c r="AJ170" s="5">
        <f>+$AC170*BI170</f>
        <v>0</v>
      </c>
      <c r="AK170" s="5">
        <f>+$AC170*BJ170</f>
        <v>0</v>
      </c>
      <c r="AL170" s="5">
        <f>+$AC170*BK170</f>
        <v>0</v>
      </c>
      <c r="AM170" s="5">
        <f>+$AC170*BL170</f>
        <v>0</v>
      </c>
      <c r="AN170" s="5">
        <f>+$AC170*BM170</f>
        <v>0</v>
      </c>
      <c r="AO170" s="5">
        <f>+$AC170*BN170</f>
        <v>0</v>
      </c>
      <c r="AP170" s="5">
        <f>+AC170+P170+C170</f>
        <v>9000</v>
      </c>
      <c r="AQ170" s="1">
        <v>798.01894750083272</v>
      </c>
      <c r="AR170" s="1">
        <v>954.35572820538493</v>
      </c>
      <c r="AS170" s="1">
        <v>844.61181323551648</v>
      </c>
      <c r="AT170" s="1">
        <v>639.76094893625691</v>
      </c>
      <c r="AU170" s="1">
        <v>927.80572703635585</v>
      </c>
      <c r="AV170" s="1">
        <v>760.33576394610759</v>
      </c>
      <c r="AW170" s="1">
        <v>756.96717666346603</v>
      </c>
      <c r="AX170" s="1">
        <v>514.05106145732077</v>
      </c>
      <c r="AY170" s="1">
        <v>761.97795925113462</v>
      </c>
      <c r="AZ170" s="1">
        <v>663.58485066856701</v>
      </c>
      <c r="BA170" s="1">
        <v>677.54528643827302</v>
      </c>
      <c r="BB170" s="1">
        <v>661.77283409390691</v>
      </c>
      <c r="BC170" s="2">
        <v>8.9181565948742242E-2</v>
      </c>
      <c r="BD170" s="2">
        <v>0.10665277883445198</v>
      </c>
      <c r="BE170" s="2">
        <v>9.438849084854764E-2</v>
      </c>
      <c r="BF170" s="2">
        <v>7.149564986855049E-2</v>
      </c>
      <c r="BG170" s="2">
        <v>0.10368571810536763</v>
      </c>
      <c r="BH170" s="2">
        <v>8.4970330952544637E-2</v>
      </c>
      <c r="BI170" s="2">
        <v>8.4593878877262704E-2</v>
      </c>
      <c r="BJ170" s="2">
        <v>5.7447105462779965E-2</v>
      </c>
      <c r="BK170" s="2">
        <v>8.5153852345557474E-2</v>
      </c>
      <c r="BL170" s="2">
        <v>7.4158058913035174E-2</v>
      </c>
      <c r="BM170" s="2">
        <v>7.5718189192107169E-2</v>
      </c>
      <c r="BN170" s="2">
        <v>7.3955559365675619E-2</v>
      </c>
    </row>
    <row r="171" spans="1:66" x14ac:dyDescent="0.25">
      <c r="A171" s="8">
        <v>3767</v>
      </c>
      <c r="B171" s="8" t="s">
        <v>825</v>
      </c>
      <c r="C171" s="5">
        <v>8500</v>
      </c>
      <c r="D171" s="5">
        <f>+$C171*BC171</f>
        <v>758.04331056430908</v>
      </c>
      <c r="E171" s="5">
        <f>+$C171*BD171</f>
        <v>906.54862009284182</v>
      </c>
      <c r="F171" s="5">
        <f>+$C171*BE171</f>
        <v>802.30217221265491</v>
      </c>
      <c r="G171" s="5">
        <f>+$C171*BF171</f>
        <v>607.71302388267918</v>
      </c>
      <c r="H171" s="5">
        <f>+$C171*BG171</f>
        <v>881.32860389562484</v>
      </c>
      <c r="I171" s="5">
        <f>+$C171*BH171</f>
        <v>722.24781309662944</v>
      </c>
      <c r="J171" s="5">
        <f>+$C171*BI171</f>
        <v>719.04797045673297</v>
      </c>
      <c r="K171" s="5">
        <f>+$C171*BJ171</f>
        <v>488.30039643362971</v>
      </c>
      <c r="L171" s="5">
        <f>+$C171*BK171</f>
        <v>723.80774493723857</v>
      </c>
      <c r="M171" s="5">
        <f>+$C171*BL171</f>
        <v>630.34350076079897</v>
      </c>
      <c r="N171" s="5">
        <f>+$C171*BM171</f>
        <v>643.60460813291093</v>
      </c>
      <c r="O171" s="5">
        <f>+$C171*BN171</f>
        <v>628.62225460824277</v>
      </c>
      <c r="P171" s="5">
        <v>0</v>
      </c>
      <c r="Q171" s="5">
        <f>+$P171*BC171</f>
        <v>0</v>
      </c>
      <c r="R171" s="5">
        <f>+$P171*BD171</f>
        <v>0</v>
      </c>
      <c r="S171" s="5">
        <f>+$P171*BE171</f>
        <v>0</v>
      </c>
      <c r="T171" s="5">
        <f>+$P171*BF171</f>
        <v>0</v>
      </c>
      <c r="U171" s="5">
        <f>+$P171*BG171</f>
        <v>0</v>
      </c>
      <c r="V171" s="5">
        <f>+$P171*BH171</f>
        <v>0</v>
      </c>
      <c r="W171" s="5">
        <f>+$P171*BI171</f>
        <v>0</v>
      </c>
      <c r="X171" s="5">
        <f>+$P171*BJ171</f>
        <v>0</v>
      </c>
      <c r="Y171" s="5">
        <f>+$P171*BK171</f>
        <v>0</v>
      </c>
      <c r="Z171" s="5">
        <f>+$P171*BL171</f>
        <v>0</v>
      </c>
      <c r="AA171" s="5">
        <f>+$P171*BM171</f>
        <v>0</v>
      </c>
      <c r="AB171" s="5">
        <f>+$P171*BN171</f>
        <v>0</v>
      </c>
      <c r="AC171" s="5">
        <v>0</v>
      </c>
      <c r="AD171" s="5">
        <f>+$AC171*BC171</f>
        <v>0</v>
      </c>
      <c r="AE171" s="5">
        <f>+$AC171*BD171</f>
        <v>0</v>
      </c>
      <c r="AF171" s="5">
        <f>+$AC171*BE171</f>
        <v>0</v>
      </c>
      <c r="AG171" s="5">
        <f>+$AC171*BF171</f>
        <v>0</v>
      </c>
      <c r="AH171" s="5">
        <f>+$AC171*BG171</f>
        <v>0</v>
      </c>
      <c r="AI171" s="5">
        <f>+$AC171*BH171</f>
        <v>0</v>
      </c>
      <c r="AJ171" s="5">
        <f>+$AC171*BI171</f>
        <v>0</v>
      </c>
      <c r="AK171" s="5">
        <f>+$AC171*BJ171</f>
        <v>0</v>
      </c>
      <c r="AL171" s="5">
        <f>+$AC171*BK171</f>
        <v>0</v>
      </c>
      <c r="AM171" s="5">
        <f>+$AC171*BL171</f>
        <v>0</v>
      </c>
      <c r="AN171" s="5">
        <f>+$AC171*BM171</f>
        <v>0</v>
      </c>
      <c r="AO171" s="5">
        <f>+$AC171*BN171</f>
        <v>0</v>
      </c>
      <c r="AP171" s="5">
        <f>+AC171+P171+C171</f>
        <v>8500</v>
      </c>
      <c r="AQ171" s="1">
        <v>758.04331056430908</v>
      </c>
      <c r="AR171" s="1">
        <v>906.54862009284182</v>
      </c>
      <c r="AS171" s="1">
        <v>802.30217221265491</v>
      </c>
      <c r="AT171" s="1">
        <v>607.71302388267918</v>
      </c>
      <c r="AU171" s="1">
        <v>881.32860389562484</v>
      </c>
      <c r="AV171" s="1">
        <v>722.24781309662944</v>
      </c>
      <c r="AW171" s="1">
        <v>719.04797045673297</v>
      </c>
      <c r="AX171" s="1">
        <v>488.30039643362971</v>
      </c>
      <c r="AY171" s="1">
        <v>723.80774493723857</v>
      </c>
      <c r="AZ171" s="1">
        <v>630.34350076079897</v>
      </c>
      <c r="BA171" s="1">
        <v>643.60460813291093</v>
      </c>
      <c r="BB171" s="1">
        <v>628.62225460824277</v>
      </c>
      <c r="BC171" s="2">
        <v>8.9181565948742242E-2</v>
      </c>
      <c r="BD171" s="2">
        <v>0.10665277883445198</v>
      </c>
      <c r="BE171" s="2">
        <v>9.438849084854764E-2</v>
      </c>
      <c r="BF171" s="2">
        <v>7.149564986855049E-2</v>
      </c>
      <c r="BG171" s="2">
        <v>0.10368571810536763</v>
      </c>
      <c r="BH171" s="2">
        <v>8.4970330952544637E-2</v>
      </c>
      <c r="BI171" s="2">
        <v>8.4593878877262704E-2</v>
      </c>
      <c r="BJ171" s="2">
        <v>5.7447105462779965E-2</v>
      </c>
      <c r="BK171" s="2">
        <v>8.5153852345557474E-2</v>
      </c>
      <c r="BL171" s="2">
        <v>7.4158058913035174E-2</v>
      </c>
      <c r="BM171" s="2">
        <v>7.5718189192107169E-2</v>
      </c>
      <c r="BN171" s="2">
        <v>7.3955559365675619E-2</v>
      </c>
    </row>
    <row r="172" spans="1:66" x14ac:dyDescent="0.25">
      <c r="A172" s="8">
        <v>2556</v>
      </c>
      <c r="B172" s="8" t="s">
        <v>824</v>
      </c>
      <c r="C172" s="5">
        <v>300</v>
      </c>
      <c r="D172" s="5">
        <f>+$C172*BC172</f>
        <v>26.754469784622671</v>
      </c>
      <c r="E172" s="5">
        <f>+$C172*BD172</f>
        <v>31.995833650335594</v>
      </c>
      <c r="F172" s="5">
        <f>+$C172*BE172</f>
        <v>28.316547254564291</v>
      </c>
      <c r="G172" s="5">
        <f>+$C172*BF172</f>
        <v>21.448694960565145</v>
      </c>
      <c r="H172" s="5">
        <f>+$C172*BG172</f>
        <v>31.105715431610289</v>
      </c>
      <c r="I172" s="5">
        <f>+$C172*BH172</f>
        <v>25.49109928576339</v>
      </c>
      <c r="J172" s="5">
        <f>+$C172*BI172</f>
        <v>25.37816366317881</v>
      </c>
      <c r="K172" s="5">
        <f>+$C172*BJ172</f>
        <v>17.23413163883399</v>
      </c>
      <c r="L172" s="5">
        <f>+$C172*BK172</f>
        <v>25.546155703667242</v>
      </c>
      <c r="M172" s="5">
        <f>+$C172*BL172</f>
        <v>22.247417673910551</v>
      </c>
      <c r="N172" s="5">
        <f>+$C172*BM172</f>
        <v>22.71545675763215</v>
      </c>
      <c r="O172" s="5">
        <f>+$C172*BN172</f>
        <v>22.186667809702687</v>
      </c>
      <c r="P172" s="5">
        <v>1000</v>
      </c>
      <c r="Q172" s="5">
        <f>+$P172*BC172</f>
        <v>89.181565948742247</v>
      </c>
      <c r="R172" s="5">
        <f>+$P172*BD172</f>
        <v>106.65277883445198</v>
      </c>
      <c r="S172" s="5">
        <f>+$P172*BE172</f>
        <v>94.388490848547647</v>
      </c>
      <c r="T172" s="5">
        <f>+$P172*BF172</f>
        <v>71.495649868550487</v>
      </c>
      <c r="U172" s="5">
        <f>+$P172*BG172</f>
        <v>103.68571810536763</v>
      </c>
      <c r="V172" s="5">
        <f>+$P172*BH172</f>
        <v>84.970330952544643</v>
      </c>
      <c r="W172" s="5">
        <f>+$P172*BI172</f>
        <v>84.593878877262711</v>
      </c>
      <c r="X172" s="5">
        <f>+$P172*BJ172</f>
        <v>57.447105462779966</v>
      </c>
      <c r="Y172" s="5">
        <f>+$P172*BK172</f>
        <v>85.153852345557468</v>
      </c>
      <c r="Z172" s="5">
        <f>+$P172*BL172</f>
        <v>74.158058913035177</v>
      </c>
      <c r="AA172" s="5">
        <f>+$P172*BM172</f>
        <v>75.718189192107175</v>
      </c>
      <c r="AB172" s="5">
        <f>+$P172*BN172</f>
        <v>73.955559365675626</v>
      </c>
      <c r="AC172" s="5">
        <v>0</v>
      </c>
      <c r="AD172" s="5">
        <f>+$AC172*BC172</f>
        <v>0</v>
      </c>
      <c r="AE172" s="5">
        <f>+$AC172*BD172</f>
        <v>0</v>
      </c>
      <c r="AF172" s="5">
        <f>+$AC172*BE172</f>
        <v>0</v>
      </c>
      <c r="AG172" s="5">
        <f>+$AC172*BF172</f>
        <v>0</v>
      </c>
      <c r="AH172" s="5">
        <f>+$AC172*BG172</f>
        <v>0</v>
      </c>
      <c r="AI172" s="5">
        <f>+$AC172*BH172</f>
        <v>0</v>
      </c>
      <c r="AJ172" s="5">
        <f>+$AC172*BI172</f>
        <v>0</v>
      </c>
      <c r="AK172" s="5">
        <f>+$AC172*BJ172</f>
        <v>0</v>
      </c>
      <c r="AL172" s="5">
        <f>+$AC172*BK172</f>
        <v>0</v>
      </c>
      <c r="AM172" s="5">
        <f>+$AC172*BL172</f>
        <v>0</v>
      </c>
      <c r="AN172" s="5">
        <f>+$AC172*BM172</f>
        <v>0</v>
      </c>
      <c r="AO172" s="5">
        <f>+$AC172*BN172</f>
        <v>0</v>
      </c>
      <c r="AP172" s="5">
        <f>+AC172+P172+C172</f>
        <v>1300</v>
      </c>
      <c r="AQ172" s="1">
        <v>758.04331056430908</v>
      </c>
      <c r="AR172" s="1">
        <v>906.54862009284182</v>
      </c>
      <c r="AS172" s="1">
        <v>802.30217221265491</v>
      </c>
      <c r="AT172" s="1">
        <v>607.71302388267918</v>
      </c>
      <c r="AU172" s="1">
        <v>881.32860389562484</v>
      </c>
      <c r="AV172" s="1">
        <v>722.24781309662944</v>
      </c>
      <c r="AW172" s="1">
        <v>719.04797045673297</v>
      </c>
      <c r="AX172" s="1">
        <v>488.30039643362971</v>
      </c>
      <c r="AY172" s="1">
        <v>723.80774493723857</v>
      </c>
      <c r="AZ172" s="1">
        <v>630.34350076079897</v>
      </c>
      <c r="BA172" s="1">
        <v>643.60460813291093</v>
      </c>
      <c r="BB172" s="1">
        <v>628.62225460824277</v>
      </c>
      <c r="BC172" s="2">
        <v>8.9181565948742242E-2</v>
      </c>
      <c r="BD172" s="2">
        <v>0.10665277883445198</v>
      </c>
      <c r="BE172" s="2">
        <v>9.438849084854764E-2</v>
      </c>
      <c r="BF172" s="2">
        <v>7.149564986855049E-2</v>
      </c>
      <c r="BG172" s="2">
        <v>0.10368571810536763</v>
      </c>
      <c r="BH172" s="2">
        <v>8.4970330952544637E-2</v>
      </c>
      <c r="BI172" s="2">
        <v>8.4593878877262704E-2</v>
      </c>
      <c r="BJ172" s="2">
        <v>5.7447105462779965E-2</v>
      </c>
      <c r="BK172" s="2">
        <v>8.5153852345557474E-2</v>
      </c>
      <c r="BL172" s="2">
        <v>7.4158058913035174E-2</v>
      </c>
      <c r="BM172" s="2">
        <v>7.5718189192107169E-2</v>
      </c>
      <c r="BN172" s="2">
        <v>7.3955559365675619E-2</v>
      </c>
    </row>
    <row r="173" spans="1:66" x14ac:dyDescent="0.25">
      <c r="A173" s="8">
        <v>1763</v>
      </c>
      <c r="B173" s="8" t="s">
        <v>823</v>
      </c>
      <c r="C173" s="5">
        <v>50000</v>
      </c>
      <c r="D173" s="5">
        <f>+$C173*BC173</f>
        <v>4459.0782974371123</v>
      </c>
      <c r="E173" s="5">
        <f>+$C173*BD173</f>
        <v>5332.6389417225992</v>
      </c>
      <c r="F173" s="5">
        <f>+$C173*BE173</f>
        <v>4719.4245424273822</v>
      </c>
      <c r="G173" s="5">
        <f>+$C173*BF173</f>
        <v>3574.7824934275245</v>
      </c>
      <c r="H173" s="5">
        <f>+$C173*BG173</f>
        <v>5184.2859052683816</v>
      </c>
      <c r="I173" s="5">
        <f>+$C173*BH173</f>
        <v>4248.5165476272323</v>
      </c>
      <c r="J173" s="5">
        <f>+$C173*BI173</f>
        <v>4229.6939438631352</v>
      </c>
      <c r="K173" s="5">
        <f>+$C173*BJ173</f>
        <v>2872.3552731389982</v>
      </c>
      <c r="L173" s="5">
        <f>+$C173*BK173</f>
        <v>4257.692617277874</v>
      </c>
      <c r="M173" s="5">
        <f>+$C173*BL173</f>
        <v>3707.9029456517587</v>
      </c>
      <c r="N173" s="5">
        <f>+$C173*BM173</f>
        <v>3785.9094596053583</v>
      </c>
      <c r="O173" s="5">
        <f>+$C173*BN173</f>
        <v>3697.7779682837809</v>
      </c>
      <c r="P173" s="5">
        <v>3000</v>
      </c>
      <c r="Q173" s="5">
        <f>+$P173*BC173</f>
        <v>267.54469784622671</v>
      </c>
      <c r="R173" s="5">
        <f>+$P173*BD173</f>
        <v>319.95833650335595</v>
      </c>
      <c r="S173" s="5">
        <f>+$P173*BE173</f>
        <v>283.1654725456429</v>
      </c>
      <c r="T173" s="5">
        <f>+$P173*BF173</f>
        <v>214.48694960565146</v>
      </c>
      <c r="U173" s="5">
        <f>+$P173*BG173</f>
        <v>311.05715431610287</v>
      </c>
      <c r="V173" s="5">
        <f>+$P173*BH173</f>
        <v>254.91099285763391</v>
      </c>
      <c r="W173" s="5">
        <f>+$P173*BI173</f>
        <v>253.7816366317881</v>
      </c>
      <c r="X173" s="5">
        <f>+$P173*BJ173</f>
        <v>172.34131638833989</v>
      </c>
      <c r="Y173" s="5">
        <f>+$P173*BK173</f>
        <v>255.46155703667242</v>
      </c>
      <c r="Z173" s="5">
        <f>+$P173*BL173</f>
        <v>222.47417673910553</v>
      </c>
      <c r="AA173" s="5">
        <f>+$P173*BM173</f>
        <v>227.15456757632151</v>
      </c>
      <c r="AB173" s="5">
        <f>+$P173*BN173</f>
        <v>221.86667809702686</v>
      </c>
      <c r="AC173" s="5">
        <v>0</v>
      </c>
      <c r="AD173" s="5">
        <f>+$AC173*BC173</f>
        <v>0</v>
      </c>
      <c r="AE173" s="5">
        <f>+$AC173*BD173</f>
        <v>0</v>
      </c>
      <c r="AF173" s="5">
        <f>+$AC173*BE173</f>
        <v>0</v>
      </c>
      <c r="AG173" s="5">
        <f>+$AC173*BF173</f>
        <v>0</v>
      </c>
      <c r="AH173" s="5">
        <f>+$AC173*BG173</f>
        <v>0</v>
      </c>
      <c r="AI173" s="5">
        <f>+$AC173*BH173</f>
        <v>0</v>
      </c>
      <c r="AJ173" s="5">
        <f>+$AC173*BI173</f>
        <v>0</v>
      </c>
      <c r="AK173" s="5">
        <f>+$AC173*BJ173</f>
        <v>0</v>
      </c>
      <c r="AL173" s="5">
        <f>+$AC173*BK173</f>
        <v>0</v>
      </c>
      <c r="AM173" s="5">
        <f>+$AC173*BL173</f>
        <v>0</v>
      </c>
      <c r="AN173" s="5">
        <f>+$AC173*BM173</f>
        <v>0</v>
      </c>
      <c r="AO173" s="5">
        <f>+$AC173*BN173</f>
        <v>0</v>
      </c>
      <c r="AP173" s="5">
        <f>+AC173+P173+C173</f>
        <v>53000</v>
      </c>
      <c r="AQ173" s="1">
        <v>750.70081387661719</v>
      </c>
      <c r="AR173" s="1">
        <v>897.76768350584371</v>
      </c>
      <c r="AS173" s="1">
        <v>794.53097898411227</v>
      </c>
      <c r="AT173" s="1">
        <v>601.82664403770161</v>
      </c>
      <c r="AU173" s="1">
        <v>872.79195135257362</v>
      </c>
      <c r="AV173" s="1">
        <v>715.25203580864445</v>
      </c>
      <c r="AW173" s="1">
        <v>712.08318722101012</v>
      </c>
      <c r="AX173" s="1">
        <v>483.57066134666809</v>
      </c>
      <c r="AY173" s="1">
        <v>716.796857965924</v>
      </c>
      <c r="AZ173" s="1">
        <v>624.23791945437097</v>
      </c>
      <c r="BA173" s="1">
        <v>637.37057818034634</v>
      </c>
      <c r="BB173" s="1">
        <v>622.53334549454792</v>
      </c>
      <c r="BC173" s="2">
        <v>8.9181565948742242E-2</v>
      </c>
      <c r="BD173" s="2">
        <v>0.10665277883445198</v>
      </c>
      <c r="BE173" s="2">
        <v>9.438849084854764E-2</v>
      </c>
      <c r="BF173" s="2">
        <v>7.149564986855049E-2</v>
      </c>
      <c r="BG173" s="2">
        <v>0.10368571810536763</v>
      </c>
      <c r="BH173" s="2">
        <v>8.4970330952544637E-2</v>
      </c>
      <c r="BI173" s="2">
        <v>8.4593878877262704E-2</v>
      </c>
      <c r="BJ173" s="2">
        <v>5.7447105462779965E-2</v>
      </c>
      <c r="BK173" s="2">
        <v>8.5153852345557474E-2</v>
      </c>
      <c r="BL173" s="2">
        <v>7.4158058913035174E-2</v>
      </c>
      <c r="BM173" s="2">
        <v>7.5718189192107169E-2</v>
      </c>
      <c r="BN173" s="2">
        <v>7.3955559365675619E-2</v>
      </c>
    </row>
    <row r="174" spans="1:66" x14ac:dyDescent="0.25">
      <c r="A174" s="8">
        <v>2370</v>
      </c>
      <c r="B174" s="8" t="s">
        <v>822</v>
      </c>
      <c r="C174" s="5">
        <v>15000</v>
      </c>
      <c r="D174" s="5">
        <f>+$C174*BC174</f>
        <v>1337.7234892311337</v>
      </c>
      <c r="E174" s="5">
        <f>+$C174*BD174</f>
        <v>1599.7916825167797</v>
      </c>
      <c r="F174" s="5">
        <f>+$C174*BE174</f>
        <v>1415.8273627282147</v>
      </c>
      <c r="G174" s="5">
        <f>+$C174*BF174</f>
        <v>1072.4347480282574</v>
      </c>
      <c r="H174" s="5">
        <f>+$C174*BG174</f>
        <v>1555.2857715805144</v>
      </c>
      <c r="I174" s="5">
        <f>+$C174*BH174</f>
        <v>1274.5549642881695</v>
      </c>
      <c r="J174" s="5">
        <f>+$C174*BI174</f>
        <v>1268.9081831589406</v>
      </c>
      <c r="K174" s="5">
        <f>+$C174*BJ174</f>
        <v>861.70658194169948</v>
      </c>
      <c r="L174" s="5">
        <f>+$C174*BK174</f>
        <v>1277.3077851833621</v>
      </c>
      <c r="M174" s="5">
        <f>+$C174*BL174</f>
        <v>1112.3708836955277</v>
      </c>
      <c r="N174" s="5">
        <f>+$C174*BM174</f>
        <v>1135.7728378816075</v>
      </c>
      <c r="O174" s="5">
        <f>+$C174*BN174</f>
        <v>1109.3333904851343</v>
      </c>
      <c r="P174" s="5">
        <v>1500</v>
      </c>
      <c r="Q174" s="5">
        <f>+$P174*BC174</f>
        <v>133.77234892311336</v>
      </c>
      <c r="R174" s="5">
        <f>+$P174*BD174</f>
        <v>159.97916825167798</v>
      </c>
      <c r="S174" s="5">
        <f>+$P174*BE174</f>
        <v>141.58273627282145</v>
      </c>
      <c r="T174" s="5">
        <f>+$P174*BF174</f>
        <v>107.24347480282573</v>
      </c>
      <c r="U174" s="5">
        <f>+$P174*BG174</f>
        <v>155.52857715805143</v>
      </c>
      <c r="V174" s="5">
        <f>+$P174*BH174</f>
        <v>127.45549642881696</v>
      </c>
      <c r="W174" s="5">
        <f>+$P174*BI174</f>
        <v>126.89081831589405</v>
      </c>
      <c r="X174" s="5">
        <f>+$P174*BJ174</f>
        <v>86.170658194169945</v>
      </c>
      <c r="Y174" s="5">
        <f>+$P174*BK174</f>
        <v>127.73077851833621</v>
      </c>
      <c r="Z174" s="5">
        <f>+$P174*BL174</f>
        <v>111.23708836955277</v>
      </c>
      <c r="AA174" s="5">
        <f>+$P174*BM174</f>
        <v>113.57728378816076</v>
      </c>
      <c r="AB174" s="5">
        <f>+$P174*BN174</f>
        <v>110.93333904851343</v>
      </c>
      <c r="AC174" s="5">
        <v>0</v>
      </c>
      <c r="AD174" s="5">
        <f>+$AC174*BC174</f>
        <v>0</v>
      </c>
      <c r="AE174" s="5">
        <f>+$AC174*BD174</f>
        <v>0</v>
      </c>
      <c r="AF174" s="5">
        <f>+$AC174*BE174</f>
        <v>0</v>
      </c>
      <c r="AG174" s="5">
        <f>+$AC174*BF174</f>
        <v>0</v>
      </c>
      <c r="AH174" s="5">
        <f>+$AC174*BG174</f>
        <v>0</v>
      </c>
      <c r="AI174" s="5">
        <f>+$AC174*BH174</f>
        <v>0</v>
      </c>
      <c r="AJ174" s="5">
        <f>+$AC174*BI174</f>
        <v>0</v>
      </c>
      <c r="AK174" s="5">
        <f>+$AC174*BJ174</f>
        <v>0</v>
      </c>
      <c r="AL174" s="5">
        <f>+$AC174*BK174</f>
        <v>0</v>
      </c>
      <c r="AM174" s="5">
        <f>+$AC174*BL174</f>
        <v>0</v>
      </c>
      <c r="AN174" s="5">
        <f>+$AC174*BM174</f>
        <v>0</v>
      </c>
      <c r="AO174" s="5">
        <f>+$AC174*BN174</f>
        <v>0</v>
      </c>
      <c r="AP174" s="5">
        <f>+AC174+P174+C174</f>
        <v>16500</v>
      </c>
      <c r="AQ174" s="1">
        <v>713.45252758993797</v>
      </c>
      <c r="AR174" s="1">
        <v>853.22223067561583</v>
      </c>
      <c r="AS174" s="1">
        <v>755.10792678838118</v>
      </c>
      <c r="AT174" s="1">
        <v>571.96519894840389</v>
      </c>
      <c r="AU174" s="1">
        <v>829.48574484294102</v>
      </c>
      <c r="AV174" s="1">
        <v>679.76264762035714</v>
      </c>
      <c r="AW174" s="1">
        <v>676.75103101810168</v>
      </c>
      <c r="AX174" s="1">
        <v>459.57684370223973</v>
      </c>
      <c r="AY174" s="1">
        <v>681.23081876445974</v>
      </c>
      <c r="AZ174" s="1">
        <v>593.26447130428141</v>
      </c>
      <c r="BA174" s="1">
        <v>605.7455135368574</v>
      </c>
      <c r="BB174" s="1">
        <v>591.64447492540501</v>
      </c>
      <c r="BC174" s="2">
        <v>8.9181565948742242E-2</v>
      </c>
      <c r="BD174" s="2">
        <v>0.10665277883445198</v>
      </c>
      <c r="BE174" s="2">
        <v>9.438849084854764E-2</v>
      </c>
      <c r="BF174" s="2">
        <v>7.149564986855049E-2</v>
      </c>
      <c r="BG174" s="2">
        <v>0.10368571810536763</v>
      </c>
      <c r="BH174" s="2">
        <v>8.4970330952544637E-2</v>
      </c>
      <c r="BI174" s="2">
        <v>8.4593878877262704E-2</v>
      </c>
      <c r="BJ174" s="2">
        <v>5.7447105462779965E-2</v>
      </c>
      <c r="BK174" s="2">
        <v>8.5153852345557474E-2</v>
      </c>
      <c r="BL174" s="2">
        <v>7.4158058913035174E-2</v>
      </c>
      <c r="BM174" s="2">
        <v>7.5718189192107169E-2</v>
      </c>
      <c r="BN174" s="2">
        <v>7.3955559365675619E-2</v>
      </c>
    </row>
    <row r="175" spans="1:66" x14ac:dyDescent="0.25">
      <c r="A175" s="8">
        <v>2802</v>
      </c>
      <c r="B175" s="8" t="s">
        <v>821</v>
      </c>
      <c r="C175" s="5">
        <v>0</v>
      </c>
      <c r="D175" s="5">
        <f>+$C175*BC175</f>
        <v>0</v>
      </c>
      <c r="E175" s="5">
        <f>+$C175*BD175</f>
        <v>0</v>
      </c>
      <c r="F175" s="5">
        <f>+$C175*BE175</f>
        <v>0</v>
      </c>
      <c r="G175" s="5">
        <f>+$C175*BF175</f>
        <v>0</v>
      </c>
      <c r="H175" s="5">
        <f>+$C175*BG175</f>
        <v>0</v>
      </c>
      <c r="I175" s="5">
        <f>+$C175*BH175</f>
        <v>0</v>
      </c>
      <c r="J175" s="5">
        <f>+$C175*BI175</f>
        <v>0</v>
      </c>
      <c r="K175" s="5">
        <f>+$C175*BJ175</f>
        <v>0</v>
      </c>
      <c r="L175" s="5">
        <f>+$C175*BK175</f>
        <v>0</v>
      </c>
      <c r="M175" s="5">
        <f>+$C175*BL175</f>
        <v>0</v>
      </c>
      <c r="N175" s="5">
        <f>+$C175*BM175</f>
        <v>0</v>
      </c>
      <c r="O175" s="5">
        <f>+$C175*BN175</f>
        <v>0</v>
      </c>
      <c r="P175" s="5">
        <v>8000</v>
      </c>
      <c r="Q175" s="5">
        <f>+$P175*BC175</f>
        <v>713.45252758993797</v>
      </c>
      <c r="R175" s="5">
        <f>+$P175*BD175</f>
        <v>853.22223067561583</v>
      </c>
      <c r="S175" s="5">
        <f>+$P175*BE175</f>
        <v>755.10792678838118</v>
      </c>
      <c r="T175" s="5">
        <f>+$P175*BF175</f>
        <v>571.96519894840389</v>
      </c>
      <c r="U175" s="5">
        <f>+$P175*BG175</f>
        <v>829.48574484294102</v>
      </c>
      <c r="V175" s="5">
        <f>+$P175*BH175</f>
        <v>679.76264762035714</v>
      </c>
      <c r="W175" s="5">
        <f>+$P175*BI175</f>
        <v>676.75103101810168</v>
      </c>
      <c r="X175" s="5">
        <f>+$P175*BJ175</f>
        <v>459.57684370223973</v>
      </c>
      <c r="Y175" s="5">
        <f>+$P175*BK175</f>
        <v>681.23081876445974</v>
      </c>
      <c r="Z175" s="5">
        <f>+$P175*BL175</f>
        <v>593.26447130428141</v>
      </c>
      <c r="AA175" s="5">
        <f>+$P175*BM175</f>
        <v>605.7455135368574</v>
      </c>
      <c r="AB175" s="5">
        <f>+$P175*BN175</f>
        <v>591.64447492540501</v>
      </c>
      <c r="AC175" s="5">
        <v>0</v>
      </c>
      <c r="AD175" s="5">
        <f>+$AC175*BC175</f>
        <v>0</v>
      </c>
      <c r="AE175" s="5">
        <f>+$AC175*BD175</f>
        <v>0</v>
      </c>
      <c r="AF175" s="5">
        <f>+$AC175*BE175</f>
        <v>0</v>
      </c>
      <c r="AG175" s="5">
        <f>+$AC175*BF175</f>
        <v>0</v>
      </c>
      <c r="AH175" s="5">
        <f>+$AC175*BG175</f>
        <v>0</v>
      </c>
      <c r="AI175" s="5">
        <f>+$AC175*BH175</f>
        <v>0</v>
      </c>
      <c r="AJ175" s="5">
        <f>+$AC175*BI175</f>
        <v>0</v>
      </c>
      <c r="AK175" s="5">
        <f>+$AC175*BJ175</f>
        <v>0</v>
      </c>
      <c r="AL175" s="5">
        <f>+$AC175*BK175</f>
        <v>0</v>
      </c>
      <c r="AM175" s="5">
        <f>+$AC175*BL175</f>
        <v>0</v>
      </c>
      <c r="AN175" s="5">
        <f>+$AC175*BM175</f>
        <v>0</v>
      </c>
      <c r="AO175" s="5">
        <f>+$AC175*BN175</f>
        <v>0</v>
      </c>
      <c r="AP175" s="5">
        <f>+AC175+P175+C175</f>
        <v>8000</v>
      </c>
      <c r="AQ175" s="1">
        <v>853.91661531401519</v>
      </c>
      <c r="AR175" s="1">
        <v>1021.2040901871369</v>
      </c>
      <c r="AS175" s="1">
        <v>903.77310347202331</v>
      </c>
      <c r="AT175" s="1">
        <v>684.5733498391163</v>
      </c>
      <c r="AU175" s="1">
        <v>992.79437985902871</v>
      </c>
      <c r="AV175" s="1">
        <v>813.59389283219821</v>
      </c>
      <c r="AW175" s="1">
        <v>809.98935103555107</v>
      </c>
      <c r="AX175" s="1">
        <v>550.0580454548093</v>
      </c>
      <c r="AY175" s="1">
        <v>815.35111659354493</v>
      </c>
      <c r="AZ175" s="1">
        <v>710.06600962437369</v>
      </c>
      <c r="BA175" s="1">
        <v>725.00431165104783</v>
      </c>
      <c r="BB175" s="1">
        <v>708.12706937092184</v>
      </c>
      <c r="BC175" s="2">
        <v>8.9181565948742242E-2</v>
      </c>
      <c r="BD175" s="2">
        <v>0.10665277883445198</v>
      </c>
      <c r="BE175" s="2">
        <v>9.438849084854764E-2</v>
      </c>
      <c r="BF175" s="2">
        <v>7.149564986855049E-2</v>
      </c>
      <c r="BG175" s="2">
        <v>0.10368571810536763</v>
      </c>
      <c r="BH175" s="2">
        <v>8.4970330952544637E-2</v>
      </c>
      <c r="BI175" s="2">
        <v>8.4593878877262704E-2</v>
      </c>
      <c r="BJ175" s="2">
        <v>5.7447105462779965E-2</v>
      </c>
      <c r="BK175" s="2">
        <v>8.5153852345557474E-2</v>
      </c>
      <c r="BL175" s="2">
        <v>7.4158058913035174E-2</v>
      </c>
      <c r="BM175" s="2">
        <v>7.5718189192107169E-2</v>
      </c>
      <c r="BN175" s="2">
        <v>7.3955559365675619E-2</v>
      </c>
    </row>
    <row r="176" spans="1:66" x14ac:dyDescent="0.25">
      <c r="A176" s="8">
        <v>3529</v>
      </c>
      <c r="B176" s="8" t="s">
        <v>820</v>
      </c>
      <c r="C176" s="5">
        <v>0</v>
      </c>
      <c r="D176" s="5">
        <f>+$C176*BC176</f>
        <v>0</v>
      </c>
      <c r="E176" s="5">
        <f>+$C176*BD176</f>
        <v>0</v>
      </c>
      <c r="F176" s="5">
        <f>+$C176*BE176</f>
        <v>0</v>
      </c>
      <c r="G176" s="5">
        <f>+$C176*BF176</f>
        <v>0</v>
      </c>
      <c r="H176" s="5">
        <f>+$C176*BG176</f>
        <v>0</v>
      </c>
      <c r="I176" s="5">
        <f>+$C176*BH176</f>
        <v>0</v>
      </c>
      <c r="J176" s="5">
        <f>+$C176*BI176</f>
        <v>0</v>
      </c>
      <c r="K176" s="5">
        <f>+$C176*BJ176</f>
        <v>0</v>
      </c>
      <c r="L176" s="5">
        <f>+$C176*BK176</f>
        <v>0</v>
      </c>
      <c r="M176" s="5">
        <f>+$C176*BL176</f>
        <v>0</v>
      </c>
      <c r="N176" s="5">
        <f>+$C176*BM176</f>
        <v>0</v>
      </c>
      <c r="O176" s="5">
        <f>+$C176*BN176</f>
        <v>0</v>
      </c>
      <c r="P176" s="5">
        <v>5000</v>
      </c>
      <c r="Q176" s="5">
        <f>+$P176*BC176</f>
        <v>445.9078297437112</v>
      </c>
      <c r="R176" s="5">
        <f>+$P176*BD176</f>
        <v>533.26389417225994</v>
      </c>
      <c r="S176" s="5">
        <f>+$P176*BE176</f>
        <v>471.94245424273822</v>
      </c>
      <c r="T176" s="5">
        <f>+$P176*BF176</f>
        <v>357.47824934275246</v>
      </c>
      <c r="U176" s="5">
        <f>+$P176*BG176</f>
        <v>518.42859052683809</v>
      </c>
      <c r="V176" s="5">
        <f>+$P176*BH176</f>
        <v>424.85165476272317</v>
      </c>
      <c r="W176" s="5">
        <f>+$P176*BI176</f>
        <v>422.96939438631352</v>
      </c>
      <c r="X176" s="5">
        <f>+$P176*BJ176</f>
        <v>287.23552731389981</v>
      </c>
      <c r="Y176" s="5">
        <f>+$P176*BK176</f>
        <v>425.76926172778735</v>
      </c>
      <c r="Z176" s="5">
        <f>+$P176*BL176</f>
        <v>370.79029456517588</v>
      </c>
      <c r="AA176" s="5">
        <f>+$P176*BM176</f>
        <v>378.59094596053586</v>
      </c>
      <c r="AB176" s="5">
        <f>+$P176*BN176</f>
        <v>369.77779682837809</v>
      </c>
      <c r="AC176" s="5">
        <v>0</v>
      </c>
      <c r="AD176" s="5">
        <f>+$AC176*BC176</f>
        <v>0</v>
      </c>
      <c r="AE176" s="5">
        <f>+$AC176*BD176</f>
        <v>0</v>
      </c>
      <c r="AF176" s="5">
        <f>+$AC176*BE176</f>
        <v>0</v>
      </c>
      <c r="AG176" s="5">
        <f>+$AC176*BF176</f>
        <v>0</v>
      </c>
      <c r="AH176" s="5">
        <f>+$AC176*BG176</f>
        <v>0</v>
      </c>
      <c r="AI176" s="5">
        <f>+$AC176*BH176</f>
        <v>0</v>
      </c>
      <c r="AJ176" s="5">
        <f>+$AC176*BI176</f>
        <v>0</v>
      </c>
      <c r="AK176" s="5">
        <f>+$AC176*BJ176</f>
        <v>0</v>
      </c>
      <c r="AL176" s="5">
        <f>+$AC176*BK176</f>
        <v>0</v>
      </c>
      <c r="AM176" s="5">
        <f>+$AC176*BL176</f>
        <v>0</v>
      </c>
      <c r="AN176" s="5">
        <f>+$AC176*BM176</f>
        <v>0</v>
      </c>
      <c r="AO176" s="5">
        <f>+$AC176*BN176</f>
        <v>0</v>
      </c>
      <c r="AP176" s="5">
        <f>+AC176+P176+C176</f>
        <v>5000</v>
      </c>
      <c r="AQ176" s="1">
        <v>713.45252758993797</v>
      </c>
      <c r="AR176" s="1">
        <v>853.22223067561583</v>
      </c>
      <c r="AS176" s="1">
        <v>755.10792678838118</v>
      </c>
      <c r="AT176" s="1">
        <v>571.96519894840389</v>
      </c>
      <c r="AU176" s="1">
        <v>829.48574484294102</v>
      </c>
      <c r="AV176" s="1">
        <v>679.76264762035714</v>
      </c>
      <c r="AW176" s="1">
        <v>676.75103101810168</v>
      </c>
      <c r="AX176" s="1">
        <v>459.57684370223973</v>
      </c>
      <c r="AY176" s="1">
        <v>681.23081876445974</v>
      </c>
      <c r="AZ176" s="1">
        <v>593.26447130428141</v>
      </c>
      <c r="BA176" s="1">
        <v>605.7455135368574</v>
      </c>
      <c r="BB176" s="1">
        <v>591.64447492540501</v>
      </c>
      <c r="BC176" s="2">
        <v>8.9181565948742242E-2</v>
      </c>
      <c r="BD176" s="2">
        <v>0.10665277883445198</v>
      </c>
      <c r="BE176" s="2">
        <v>9.438849084854764E-2</v>
      </c>
      <c r="BF176" s="2">
        <v>7.149564986855049E-2</v>
      </c>
      <c r="BG176" s="2">
        <v>0.10368571810536763</v>
      </c>
      <c r="BH176" s="2">
        <v>8.4970330952544637E-2</v>
      </c>
      <c r="BI176" s="2">
        <v>8.4593878877262704E-2</v>
      </c>
      <c r="BJ176" s="2">
        <v>5.7447105462779965E-2</v>
      </c>
      <c r="BK176" s="2">
        <v>8.5153852345557474E-2</v>
      </c>
      <c r="BL176" s="2">
        <v>7.4158058913035174E-2</v>
      </c>
      <c r="BM176" s="2">
        <v>7.5718189192107169E-2</v>
      </c>
      <c r="BN176" s="2">
        <v>7.3955559365675619E-2</v>
      </c>
    </row>
    <row r="177" spans="1:66" x14ac:dyDescent="0.25">
      <c r="A177" s="8">
        <v>3600</v>
      </c>
      <c r="B177" s="8" t="s">
        <v>819</v>
      </c>
      <c r="C177" s="5">
        <v>0</v>
      </c>
      <c r="D177" s="5">
        <f>+$C177*BC177</f>
        <v>0</v>
      </c>
      <c r="E177" s="5">
        <f>+$C177*BD177</f>
        <v>0</v>
      </c>
      <c r="F177" s="5">
        <f>+$C177*BE177</f>
        <v>0</v>
      </c>
      <c r="G177" s="5">
        <f>+$C177*BF177</f>
        <v>0</v>
      </c>
      <c r="H177" s="5">
        <f>+$C177*BG177</f>
        <v>0</v>
      </c>
      <c r="I177" s="5">
        <f>+$C177*BH177</f>
        <v>0</v>
      </c>
      <c r="J177" s="5">
        <f>+$C177*BI177</f>
        <v>0</v>
      </c>
      <c r="K177" s="5">
        <f>+$C177*BJ177</f>
        <v>0</v>
      </c>
      <c r="L177" s="5">
        <f>+$C177*BK177</f>
        <v>0</v>
      </c>
      <c r="M177" s="5">
        <f>+$C177*BL177</f>
        <v>0</v>
      </c>
      <c r="N177" s="5">
        <f>+$C177*BM177</f>
        <v>0</v>
      </c>
      <c r="O177" s="5">
        <f>+$C177*BN177</f>
        <v>0</v>
      </c>
      <c r="P177" s="5">
        <v>1500</v>
      </c>
      <c r="Q177" s="5">
        <f>+$P177*BC177</f>
        <v>133.77234892311336</v>
      </c>
      <c r="R177" s="5">
        <f>+$P177*BD177</f>
        <v>159.97916825167798</v>
      </c>
      <c r="S177" s="5">
        <f>+$P177*BE177</f>
        <v>141.58273627282145</v>
      </c>
      <c r="T177" s="5">
        <f>+$P177*BF177</f>
        <v>107.24347480282573</v>
      </c>
      <c r="U177" s="5">
        <f>+$P177*BG177</f>
        <v>155.52857715805143</v>
      </c>
      <c r="V177" s="5">
        <f>+$P177*BH177</f>
        <v>127.45549642881696</v>
      </c>
      <c r="W177" s="5">
        <f>+$P177*BI177</f>
        <v>126.89081831589405</v>
      </c>
      <c r="X177" s="5">
        <f>+$P177*BJ177</f>
        <v>86.170658194169945</v>
      </c>
      <c r="Y177" s="5">
        <f>+$P177*BK177</f>
        <v>127.73077851833621</v>
      </c>
      <c r="Z177" s="5">
        <f>+$P177*BL177</f>
        <v>111.23708836955277</v>
      </c>
      <c r="AA177" s="5">
        <f>+$P177*BM177</f>
        <v>113.57728378816076</v>
      </c>
      <c r="AB177" s="5">
        <f>+$P177*BN177</f>
        <v>110.93333904851343</v>
      </c>
      <c r="AC177" s="5">
        <v>0</v>
      </c>
      <c r="AD177" s="5">
        <f>+$AC177*BC177</f>
        <v>0</v>
      </c>
      <c r="AE177" s="5">
        <f>+$AC177*BD177</f>
        <v>0</v>
      </c>
      <c r="AF177" s="5">
        <f>+$AC177*BE177</f>
        <v>0</v>
      </c>
      <c r="AG177" s="5">
        <f>+$AC177*BF177</f>
        <v>0</v>
      </c>
      <c r="AH177" s="5">
        <f>+$AC177*BG177</f>
        <v>0</v>
      </c>
      <c r="AI177" s="5">
        <f>+$AC177*BH177</f>
        <v>0</v>
      </c>
      <c r="AJ177" s="5">
        <f>+$AC177*BI177</f>
        <v>0</v>
      </c>
      <c r="AK177" s="5">
        <f>+$AC177*BJ177</f>
        <v>0</v>
      </c>
      <c r="AL177" s="5">
        <f>+$AC177*BK177</f>
        <v>0</v>
      </c>
      <c r="AM177" s="5">
        <f>+$AC177*BL177</f>
        <v>0</v>
      </c>
      <c r="AN177" s="5">
        <f>+$AC177*BM177</f>
        <v>0</v>
      </c>
      <c r="AO177" s="5">
        <f>+$AC177*BN177</f>
        <v>0</v>
      </c>
      <c r="AP177" s="5">
        <f>+AC177+P177+C177</f>
        <v>1500</v>
      </c>
      <c r="AQ177" s="1">
        <v>713.45252758993797</v>
      </c>
      <c r="AR177" s="1">
        <v>853.22223067561583</v>
      </c>
      <c r="AS177" s="1">
        <v>755.10792678838118</v>
      </c>
      <c r="AT177" s="1">
        <v>571.96519894840389</v>
      </c>
      <c r="AU177" s="1">
        <v>829.48574484294102</v>
      </c>
      <c r="AV177" s="1">
        <v>679.76264762035714</v>
      </c>
      <c r="AW177" s="1">
        <v>676.75103101810168</v>
      </c>
      <c r="AX177" s="1">
        <v>459.57684370223973</v>
      </c>
      <c r="AY177" s="1">
        <v>681.23081876445974</v>
      </c>
      <c r="AZ177" s="1">
        <v>593.26447130428141</v>
      </c>
      <c r="BA177" s="1">
        <v>605.7455135368574</v>
      </c>
      <c r="BB177" s="1">
        <v>591.64447492540501</v>
      </c>
      <c r="BC177" s="2">
        <v>8.9181565948742242E-2</v>
      </c>
      <c r="BD177" s="2">
        <v>0.10665277883445198</v>
      </c>
      <c r="BE177" s="2">
        <v>9.438849084854764E-2</v>
      </c>
      <c r="BF177" s="2">
        <v>7.149564986855049E-2</v>
      </c>
      <c r="BG177" s="2">
        <v>0.10368571810536763</v>
      </c>
      <c r="BH177" s="2">
        <v>8.4970330952544637E-2</v>
      </c>
      <c r="BI177" s="2">
        <v>8.4593878877262704E-2</v>
      </c>
      <c r="BJ177" s="2">
        <v>5.7447105462779965E-2</v>
      </c>
      <c r="BK177" s="2">
        <v>8.5153852345557474E-2</v>
      </c>
      <c r="BL177" s="2">
        <v>7.4158058913035174E-2</v>
      </c>
      <c r="BM177" s="2">
        <v>7.5718189192107169E-2</v>
      </c>
      <c r="BN177" s="2">
        <v>7.3955559365675619E-2</v>
      </c>
    </row>
    <row r="178" spans="1:66" x14ac:dyDescent="0.25">
      <c r="A178" s="8">
        <v>3771</v>
      </c>
      <c r="B178" s="8" t="s">
        <v>818</v>
      </c>
      <c r="C178" s="5">
        <v>0</v>
      </c>
      <c r="D178" s="5">
        <f>+$C178*BC178</f>
        <v>0</v>
      </c>
      <c r="E178" s="5">
        <f>+$C178*BD178</f>
        <v>0</v>
      </c>
      <c r="F178" s="5">
        <f>+$C178*BE178</f>
        <v>0</v>
      </c>
      <c r="G178" s="5">
        <f>+$C178*BF178</f>
        <v>0</v>
      </c>
      <c r="H178" s="5">
        <f>+$C178*BG178</f>
        <v>0</v>
      </c>
      <c r="I178" s="5">
        <f>+$C178*BH178</f>
        <v>0</v>
      </c>
      <c r="J178" s="5">
        <f>+$C178*BI178</f>
        <v>0</v>
      </c>
      <c r="K178" s="5">
        <f>+$C178*BJ178</f>
        <v>0</v>
      </c>
      <c r="L178" s="5">
        <f>+$C178*BK178</f>
        <v>0</v>
      </c>
      <c r="M178" s="5">
        <f>+$C178*BL178</f>
        <v>0</v>
      </c>
      <c r="N178" s="5">
        <f>+$C178*BM178</f>
        <v>0</v>
      </c>
      <c r="O178" s="5">
        <f>+$C178*BN178</f>
        <v>0</v>
      </c>
      <c r="P178" s="5">
        <v>5000</v>
      </c>
      <c r="Q178" s="5">
        <f>+$P178*BC178</f>
        <v>445.9078297437112</v>
      </c>
      <c r="R178" s="5">
        <f>+$P178*BD178</f>
        <v>533.26389417225994</v>
      </c>
      <c r="S178" s="5">
        <f>+$P178*BE178</f>
        <v>471.94245424273822</v>
      </c>
      <c r="T178" s="5">
        <f>+$P178*BF178</f>
        <v>357.47824934275246</v>
      </c>
      <c r="U178" s="5">
        <f>+$P178*BG178</f>
        <v>518.42859052683809</v>
      </c>
      <c r="V178" s="5">
        <f>+$P178*BH178</f>
        <v>424.85165476272317</v>
      </c>
      <c r="W178" s="5">
        <f>+$P178*BI178</f>
        <v>422.96939438631352</v>
      </c>
      <c r="X178" s="5">
        <f>+$P178*BJ178</f>
        <v>287.23552731389981</v>
      </c>
      <c r="Y178" s="5">
        <f>+$P178*BK178</f>
        <v>425.76926172778735</v>
      </c>
      <c r="Z178" s="5">
        <f>+$P178*BL178</f>
        <v>370.79029456517588</v>
      </c>
      <c r="AA178" s="5">
        <f>+$P178*BM178</f>
        <v>378.59094596053586</v>
      </c>
      <c r="AB178" s="5">
        <f>+$P178*BN178</f>
        <v>369.77779682837809</v>
      </c>
      <c r="AC178" s="5">
        <v>0</v>
      </c>
      <c r="AD178" s="5">
        <f>+$AC178*BC178</f>
        <v>0</v>
      </c>
      <c r="AE178" s="5">
        <f>+$AC178*BD178</f>
        <v>0</v>
      </c>
      <c r="AF178" s="5">
        <f>+$AC178*BE178</f>
        <v>0</v>
      </c>
      <c r="AG178" s="5">
        <f>+$AC178*BF178</f>
        <v>0</v>
      </c>
      <c r="AH178" s="5">
        <f>+$AC178*BG178</f>
        <v>0</v>
      </c>
      <c r="AI178" s="5">
        <f>+$AC178*BH178</f>
        <v>0</v>
      </c>
      <c r="AJ178" s="5">
        <f>+$AC178*BI178</f>
        <v>0</v>
      </c>
      <c r="AK178" s="5">
        <f>+$AC178*BJ178</f>
        <v>0</v>
      </c>
      <c r="AL178" s="5">
        <f>+$AC178*BK178</f>
        <v>0</v>
      </c>
      <c r="AM178" s="5">
        <f>+$AC178*BL178</f>
        <v>0</v>
      </c>
      <c r="AN178" s="5">
        <f>+$AC178*BM178</f>
        <v>0</v>
      </c>
      <c r="AO178" s="5">
        <f>+$AC178*BN178</f>
        <v>0</v>
      </c>
      <c r="AP178" s="5">
        <f>+AC178+P178+C178</f>
        <v>5000</v>
      </c>
      <c r="AQ178" s="1">
        <v>713.45252758993797</v>
      </c>
      <c r="AR178" s="1">
        <v>853.22223067561583</v>
      </c>
      <c r="AS178" s="1">
        <v>755.10792678838118</v>
      </c>
      <c r="AT178" s="1">
        <v>571.96519894840389</v>
      </c>
      <c r="AU178" s="1">
        <v>829.48574484294102</v>
      </c>
      <c r="AV178" s="1">
        <v>679.76264762035714</v>
      </c>
      <c r="AW178" s="1">
        <v>676.75103101810168</v>
      </c>
      <c r="AX178" s="1">
        <v>459.57684370223973</v>
      </c>
      <c r="AY178" s="1">
        <v>681.23081876445974</v>
      </c>
      <c r="AZ178" s="1">
        <v>593.26447130428141</v>
      </c>
      <c r="BA178" s="1">
        <v>605.7455135368574</v>
      </c>
      <c r="BB178" s="1">
        <v>591.64447492540501</v>
      </c>
      <c r="BC178" s="2">
        <v>8.9181565948742242E-2</v>
      </c>
      <c r="BD178" s="2">
        <v>0.10665277883445198</v>
      </c>
      <c r="BE178" s="2">
        <v>9.438849084854764E-2</v>
      </c>
      <c r="BF178" s="2">
        <v>7.149564986855049E-2</v>
      </c>
      <c r="BG178" s="2">
        <v>0.10368571810536763</v>
      </c>
      <c r="BH178" s="2">
        <v>8.4970330952544637E-2</v>
      </c>
      <c r="BI178" s="2">
        <v>8.4593878877262704E-2</v>
      </c>
      <c r="BJ178" s="2">
        <v>5.7447105462779965E-2</v>
      </c>
      <c r="BK178" s="2">
        <v>8.5153852345557474E-2</v>
      </c>
      <c r="BL178" s="2">
        <v>7.4158058913035174E-2</v>
      </c>
      <c r="BM178" s="2">
        <v>7.5718189192107169E-2</v>
      </c>
      <c r="BN178" s="2">
        <v>7.3955559365675619E-2</v>
      </c>
    </row>
    <row r="179" spans="1:66" x14ac:dyDescent="0.25">
      <c r="A179" s="8">
        <v>4106</v>
      </c>
      <c r="B179" s="8" t="s">
        <v>817</v>
      </c>
      <c r="C179" s="5">
        <v>0</v>
      </c>
      <c r="D179" s="5">
        <f>+$C179*BC179</f>
        <v>0</v>
      </c>
      <c r="E179" s="5">
        <f>+$C179*BD179</f>
        <v>0</v>
      </c>
      <c r="F179" s="5">
        <f>+$C179*BE179</f>
        <v>0</v>
      </c>
      <c r="G179" s="5">
        <f>+$C179*BF179</f>
        <v>0</v>
      </c>
      <c r="H179" s="5">
        <f>+$C179*BG179</f>
        <v>0</v>
      </c>
      <c r="I179" s="5">
        <f>+$C179*BH179</f>
        <v>0</v>
      </c>
      <c r="J179" s="5">
        <f>+$C179*BI179</f>
        <v>0</v>
      </c>
      <c r="K179" s="5">
        <f>+$C179*BJ179</f>
        <v>0</v>
      </c>
      <c r="L179" s="5">
        <f>+$C179*BK179</f>
        <v>0</v>
      </c>
      <c r="M179" s="5">
        <f>+$C179*BL179</f>
        <v>0</v>
      </c>
      <c r="N179" s="5">
        <f>+$C179*BM179</f>
        <v>0</v>
      </c>
      <c r="O179" s="5">
        <f>+$C179*BN179</f>
        <v>0</v>
      </c>
      <c r="P179" s="5">
        <v>10000</v>
      </c>
      <c r="Q179" s="5">
        <f>+$P179*BC179</f>
        <v>891.81565948742241</v>
      </c>
      <c r="R179" s="5">
        <f>+$P179*BD179</f>
        <v>1066.5277883445199</v>
      </c>
      <c r="S179" s="5">
        <f>+$P179*BE179</f>
        <v>943.88490848547644</v>
      </c>
      <c r="T179" s="5">
        <f>+$P179*BF179</f>
        <v>714.95649868550493</v>
      </c>
      <c r="U179" s="5">
        <f>+$P179*BG179</f>
        <v>1036.8571810536762</v>
      </c>
      <c r="V179" s="5">
        <f>+$P179*BH179</f>
        <v>849.70330952544634</v>
      </c>
      <c r="W179" s="5">
        <f>+$P179*BI179</f>
        <v>845.93878877262705</v>
      </c>
      <c r="X179" s="5">
        <f>+$P179*BJ179</f>
        <v>574.47105462779962</v>
      </c>
      <c r="Y179" s="5">
        <f>+$P179*BK179</f>
        <v>851.5385234555747</v>
      </c>
      <c r="Z179" s="5">
        <f>+$P179*BL179</f>
        <v>741.58058913035177</v>
      </c>
      <c r="AA179" s="5">
        <f>+$P179*BM179</f>
        <v>757.18189192107172</v>
      </c>
      <c r="AB179" s="5">
        <f>+$P179*BN179</f>
        <v>739.55559365675617</v>
      </c>
      <c r="AC179" s="5">
        <v>0</v>
      </c>
      <c r="AD179" s="5">
        <f>+$AC179*BC179</f>
        <v>0</v>
      </c>
      <c r="AE179" s="5">
        <f>+$AC179*BD179</f>
        <v>0</v>
      </c>
      <c r="AF179" s="5">
        <f>+$AC179*BE179</f>
        <v>0</v>
      </c>
      <c r="AG179" s="5">
        <f>+$AC179*BF179</f>
        <v>0</v>
      </c>
      <c r="AH179" s="5">
        <f>+$AC179*BG179</f>
        <v>0</v>
      </c>
      <c r="AI179" s="5">
        <f>+$AC179*BH179</f>
        <v>0</v>
      </c>
      <c r="AJ179" s="5">
        <f>+$AC179*BI179</f>
        <v>0</v>
      </c>
      <c r="AK179" s="5">
        <f>+$AC179*BJ179</f>
        <v>0</v>
      </c>
      <c r="AL179" s="5">
        <f>+$AC179*BK179</f>
        <v>0</v>
      </c>
      <c r="AM179" s="5">
        <f>+$AC179*BL179</f>
        <v>0</v>
      </c>
      <c r="AN179" s="5">
        <f>+$AC179*BM179</f>
        <v>0</v>
      </c>
      <c r="AO179" s="5">
        <f>+$AC179*BN179</f>
        <v>0</v>
      </c>
      <c r="AP179" s="5">
        <f>+AC179+P179+C179</f>
        <v>10000</v>
      </c>
      <c r="AQ179" s="1">
        <v>713.45252758993797</v>
      </c>
      <c r="AR179" s="1">
        <v>853.22223067561583</v>
      </c>
      <c r="AS179" s="1">
        <v>755.10792678838118</v>
      </c>
      <c r="AT179" s="1">
        <v>571.96519894840389</v>
      </c>
      <c r="AU179" s="1">
        <v>829.48574484294102</v>
      </c>
      <c r="AV179" s="1">
        <v>679.76264762035714</v>
      </c>
      <c r="AW179" s="1">
        <v>676.75103101810168</v>
      </c>
      <c r="AX179" s="1">
        <v>459.57684370223973</v>
      </c>
      <c r="AY179" s="1">
        <v>681.23081876445974</v>
      </c>
      <c r="AZ179" s="1">
        <v>593.26447130428141</v>
      </c>
      <c r="BA179" s="1">
        <v>605.7455135368574</v>
      </c>
      <c r="BB179" s="1">
        <v>591.64447492540501</v>
      </c>
      <c r="BC179" s="2">
        <v>8.9181565948742242E-2</v>
      </c>
      <c r="BD179" s="2">
        <v>0.10665277883445198</v>
      </c>
      <c r="BE179" s="2">
        <v>9.438849084854764E-2</v>
      </c>
      <c r="BF179" s="2">
        <v>7.149564986855049E-2</v>
      </c>
      <c r="BG179" s="2">
        <v>0.10368571810536763</v>
      </c>
      <c r="BH179" s="2">
        <v>8.4970330952544637E-2</v>
      </c>
      <c r="BI179" s="2">
        <v>8.4593878877262704E-2</v>
      </c>
      <c r="BJ179" s="2">
        <v>5.7447105462779965E-2</v>
      </c>
      <c r="BK179" s="2">
        <v>8.5153852345557474E-2</v>
      </c>
      <c r="BL179" s="2">
        <v>7.4158058913035174E-2</v>
      </c>
      <c r="BM179" s="2">
        <v>7.5718189192107169E-2</v>
      </c>
      <c r="BN179" s="2">
        <v>7.3955559365675619E-2</v>
      </c>
    </row>
    <row r="180" spans="1:66" x14ac:dyDescent="0.25">
      <c r="A180" s="8">
        <v>6540</v>
      </c>
      <c r="B180" s="8" t="s">
        <v>816</v>
      </c>
      <c r="C180" s="5">
        <v>0</v>
      </c>
      <c r="D180" s="5">
        <f>+$C180*BC180</f>
        <v>0</v>
      </c>
      <c r="E180" s="5">
        <f>+$C180*BD180</f>
        <v>0</v>
      </c>
      <c r="F180" s="5">
        <f>+$C180*BE180</f>
        <v>0</v>
      </c>
      <c r="G180" s="5">
        <f>+$C180*BF180</f>
        <v>0</v>
      </c>
      <c r="H180" s="5">
        <f>+$C180*BG180</f>
        <v>0</v>
      </c>
      <c r="I180" s="5">
        <f>+$C180*BH180</f>
        <v>0</v>
      </c>
      <c r="J180" s="5">
        <f>+$C180*BI180</f>
        <v>0</v>
      </c>
      <c r="K180" s="5">
        <f>+$C180*BJ180</f>
        <v>0</v>
      </c>
      <c r="L180" s="5">
        <f>+$C180*BK180</f>
        <v>0</v>
      </c>
      <c r="M180" s="5">
        <f>+$C180*BL180</f>
        <v>0</v>
      </c>
      <c r="N180" s="5">
        <f>+$C180*BM180</f>
        <v>0</v>
      </c>
      <c r="O180" s="5">
        <f>+$C180*BN180</f>
        <v>0</v>
      </c>
      <c r="P180" s="5">
        <v>0</v>
      </c>
      <c r="Q180" s="5">
        <f>+$P180*BC180</f>
        <v>0</v>
      </c>
      <c r="R180" s="5">
        <f>+$P180*BD180</f>
        <v>0</v>
      </c>
      <c r="S180" s="5">
        <f>+$P180*BE180</f>
        <v>0</v>
      </c>
      <c r="T180" s="5">
        <f>+$P180*BF180</f>
        <v>0</v>
      </c>
      <c r="U180" s="5">
        <f>+$P180*BG180</f>
        <v>0</v>
      </c>
      <c r="V180" s="5">
        <f>+$P180*BH180</f>
        <v>0</v>
      </c>
      <c r="W180" s="5">
        <f>+$P180*BI180</f>
        <v>0</v>
      </c>
      <c r="X180" s="5">
        <f>+$P180*BJ180</f>
        <v>0</v>
      </c>
      <c r="Y180" s="5">
        <f>+$P180*BK180</f>
        <v>0</v>
      </c>
      <c r="Z180" s="5">
        <f>+$P180*BL180</f>
        <v>0</v>
      </c>
      <c r="AA180" s="5">
        <f>+$P180*BM180</f>
        <v>0</v>
      </c>
      <c r="AB180" s="5">
        <f>+$P180*BN180</f>
        <v>0</v>
      </c>
      <c r="AC180" s="5">
        <v>7000</v>
      </c>
      <c r="AD180" s="5">
        <f>+$AC180*BC180</f>
        <v>624.27096164119564</v>
      </c>
      <c r="AE180" s="5">
        <f>+$AC180*BD180</f>
        <v>746.56945184116387</v>
      </c>
      <c r="AF180" s="5">
        <f>+$AC180*BE180</f>
        <v>660.71943593983349</v>
      </c>
      <c r="AG180" s="5">
        <f>+$AC180*BF180</f>
        <v>500.46954907985344</v>
      </c>
      <c r="AH180" s="5">
        <f>+$AC180*BG180</f>
        <v>725.80002673757338</v>
      </c>
      <c r="AI180" s="5">
        <f>+$AC180*BH180</f>
        <v>594.79231666781243</v>
      </c>
      <c r="AJ180" s="5">
        <f>+$AC180*BI180</f>
        <v>592.15715214083889</v>
      </c>
      <c r="AK180" s="5">
        <f>+$AC180*BJ180</f>
        <v>402.12973823945975</v>
      </c>
      <c r="AL180" s="5">
        <f>+$AC180*BK180</f>
        <v>596.07696641890232</v>
      </c>
      <c r="AM180" s="5">
        <f>+$AC180*BL180</f>
        <v>519.10641239124618</v>
      </c>
      <c r="AN180" s="5">
        <f>+$AC180*BM180</f>
        <v>530.02732434475013</v>
      </c>
      <c r="AO180" s="5">
        <f>+$AC180*BN180</f>
        <v>517.68891555972937</v>
      </c>
      <c r="AP180" s="5">
        <f>+AC180+P180+C180</f>
        <v>7000</v>
      </c>
      <c r="AQ180" s="1">
        <v>713.45252758993797</v>
      </c>
      <c r="AR180" s="1">
        <v>853.22223067561583</v>
      </c>
      <c r="AS180" s="1">
        <v>755.10792678838118</v>
      </c>
      <c r="AT180" s="1">
        <v>571.96519894840389</v>
      </c>
      <c r="AU180" s="1">
        <v>829.48574484294102</v>
      </c>
      <c r="AV180" s="1">
        <v>679.76264762035714</v>
      </c>
      <c r="AW180" s="1">
        <v>676.75103101810168</v>
      </c>
      <c r="AX180" s="1">
        <v>459.57684370223973</v>
      </c>
      <c r="AY180" s="1">
        <v>681.23081876445974</v>
      </c>
      <c r="AZ180" s="1">
        <v>593.26447130428141</v>
      </c>
      <c r="BA180" s="1">
        <v>605.7455135368574</v>
      </c>
      <c r="BB180" s="1">
        <v>591.64447492540501</v>
      </c>
      <c r="BC180" s="2">
        <v>8.9181565948742242E-2</v>
      </c>
      <c r="BD180" s="2">
        <v>0.10665277883445198</v>
      </c>
      <c r="BE180" s="2">
        <v>9.438849084854764E-2</v>
      </c>
      <c r="BF180" s="2">
        <v>7.149564986855049E-2</v>
      </c>
      <c r="BG180" s="2">
        <v>0.10368571810536763</v>
      </c>
      <c r="BH180" s="2">
        <v>8.4970330952544637E-2</v>
      </c>
      <c r="BI180" s="2">
        <v>8.4593878877262704E-2</v>
      </c>
      <c r="BJ180" s="2">
        <v>5.7447105462779965E-2</v>
      </c>
      <c r="BK180" s="2">
        <v>8.5153852345557474E-2</v>
      </c>
      <c r="BL180" s="2">
        <v>7.4158058913035174E-2</v>
      </c>
      <c r="BM180" s="2">
        <v>7.5718189192107169E-2</v>
      </c>
      <c r="BN180" s="2">
        <v>7.3955559365675619E-2</v>
      </c>
    </row>
    <row r="181" spans="1:66" x14ac:dyDescent="0.25">
      <c r="A181" s="8">
        <v>2034</v>
      </c>
      <c r="B181" s="8" t="s">
        <v>815</v>
      </c>
      <c r="C181" s="5">
        <v>4000</v>
      </c>
      <c r="D181" s="5">
        <f>+$C181*BC181</f>
        <v>356.72626379496899</v>
      </c>
      <c r="E181" s="5">
        <f>+$C181*BD181</f>
        <v>426.61111533780792</v>
      </c>
      <c r="F181" s="5">
        <f>+$C181*BE181</f>
        <v>377.55396339419059</v>
      </c>
      <c r="G181" s="5">
        <f>+$C181*BF181</f>
        <v>285.98259947420195</v>
      </c>
      <c r="H181" s="5">
        <f>+$C181*BG181</f>
        <v>414.74287242147051</v>
      </c>
      <c r="I181" s="5">
        <f>+$C181*BH181</f>
        <v>339.88132381017857</v>
      </c>
      <c r="J181" s="5">
        <f>+$C181*BI181</f>
        <v>338.37551550905084</v>
      </c>
      <c r="K181" s="5">
        <f>+$C181*BJ181</f>
        <v>229.78842185111986</v>
      </c>
      <c r="L181" s="5">
        <f>+$C181*BK181</f>
        <v>340.61540938222987</v>
      </c>
      <c r="M181" s="5">
        <f>+$C181*BL181</f>
        <v>296.63223565214071</v>
      </c>
      <c r="N181" s="5">
        <f>+$C181*BM181</f>
        <v>302.8727567684287</v>
      </c>
      <c r="O181" s="5">
        <f>+$C181*BN181</f>
        <v>295.8222374627025</v>
      </c>
      <c r="P181" s="5">
        <v>0</v>
      </c>
      <c r="Q181" s="5">
        <f>+$P181*BC181</f>
        <v>0</v>
      </c>
      <c r="R181" s="5">
        <f>+$P181*BD181</f>
        <v>0</v>
      </c>
      <c r="S181" s="5">
        <f>+$P181*BE181</f>
        <v>0</v>
      </c>
      <c r="T181" s="5">
        <f>+$P181*BF181</f>
        <v>0</v>
      </c>
      <c r="U181" s="5">
        <f>+$P181*BG181</f>
        <v>0</v>
      </c>
      <c r="V181" s="5">
        <f>+$P181*BH181</f>
        <v>0</v>
      </c>
      <c r="W181" s="5">
        <f>+$P181*BI181</f>
        <v>0</v>
      </c>
      <c r="X181" s="5">
        <f>+$P181*BJ181</f>
        <v>0</v>
      </c>
      <c r="Y181" s="5">
        <f>+$P181*BK181</f>
        <v>0</v>
      </c>
      <c r="Z181" s="5">
        <f>+$P181*BL181</f>
        <v>0</v>
      </c>
      <c r="AA181" s="5">
        <f>+$P181*BM181</f>
        <v>0</v>
      </c>
      <c r="AB181" s="5">
        <f>+$P181*BN181</f>
        <v>0</v>
      </c>
      <c r="AC181" s="5">
        <v>0</v>
      </c>
      <c r="AD181" s="5">
        <f>+$AC181*BC181</f>
        <v>0</v>
      </c>
      <c r="AE181" s="5">
        <f>+$AC181*BD181</f>
        <v>0</v>
      </c>
      <c r="AF181" s="5">
        <f>+$AC181*BE181</f>
        <v>0</v>
      </c>
      <c r="AG181" s="5">
        <f>+$AC181*BF181</f>
        <v>0</v>
      </c>
      <c r="AH181" s="5">
        <f>+$AC181*BG181</f>
        <v>0</v>
      </c>
      <c r="AI181" s="5">
        <f>+$AC181*BH181</f>
        <v>0</v>
      </c>
      <c r="AJ181" s="5">
        <f>+$AC181*BI181</f>
        <v>0</v>
      </c>
      <c r="AK181" s="5">
        <f>+$AC181*BJ181</f>
        <v>0</v>
      </c>
      <c r="AL181" s="5">
        <f>+$AC181*BK181</f>
        <v>0</v>
      </c>
      <c r="AM181" s="5">
        <f>+$AC181*BL181</f>
        <v>0</v>
      </c>
      <c r="AN181" s="5">
        <f>+$AC181*BM181</f>
        <v>0</v>
      </c>
      <c r="AO181" s="5">
        <f>+$AC181*BN181</f>
        <v>0</v>
      </c>
      <c r="AP181" s="5">
        <f>+AC181+P181+C181</f>
        <v>4000</v>
      </c>
      <c r="AQ181" s="1">
        <v>716.10122009861561</v>
      </c>
      <c r="AR181" s="1">
        <v>856.38981820699905</v>
      </c>
      <c r="AS181" s="1">
        <v>757.91126496658296</v>
      </c>
      <c r="AT181" s="1">
        <v>574.08861974949991</v>
      </c>
      <c r="AU181" s="1">
        <v>832.56521067067047</v>
      </c>
      <c r="AV181" s="1">
        <v>682.28626644964766</v>
      </c>
      <c r="AW181" s="1">
        <v>679.26346922075629</v>
      </c>
      <c r="AX181" s="1">
        <v>461.28302273448429</v>
      </c>
      <c r="AY181" s="1">
        <v>683.75988817912287</v>
      </c>
      <c r="AZ181" s="1">
        <v>595.4669656539985</v>
      </c>
      <c r="BA181" s="1">
        <v>607.99434375586293</v>
      </c>
      <c r="BB181" s="1">
        <v>593.84095503856554</v>
      </c>
      <c r="BC181" s="2">
        <v>8.9181565948742242E-2</v>
      </c>
      <c r="BD181" s="2">
        <v>0.10665277883445198</v>
      </c>
      <c r="BE181" s="2">
        <v>9.438849084854764E-2</v>
      </c>
      <c r="BF181" s="2">
        <v>7.149564986855049E-2</v>
      </c>
      <c r="BG181" s="2">
        <v>0.10368571810536763</v>
      </c>
      <c r="BH181" s="2">
        <v>8.4970330952544637E-2</v>
      </c>
      <c r="BI181" s="2">
        <v>8.4593878877262704E-2</v>
      </c>
      <c r="BJ181" s="2">
        <v>5.7447105462779965E-2</v>
      </c>
      <c r="BK181" s="2">
        <v>8.5153852345557474E-2</v>
      </c>
      <c r="BL181" s="2">
        <v>7.4158058913035174E-2</v>
      </c>
      <c r="BM181" s="2">
        <v>7.5718189192107169E-2</v>
      </c>
      <c r="BN181" s="2">
        <v>7.3955559365675619E-2</v>
      </c>
    </row>
    <row r="182" spans="1:66" x14ac:dyDescent="0.25">
      <c r="A182" s="8">
        <v>3873</v>
      </c>
      <c r="B182" s="8" t="s">
        <v>814</v>
      </c>
      <c r="C182" s="5">
        <v>7000</v>
      </c>
      <c r="D182" s="5">
        <f>+$C182*BC182</f>
        <v>624.27096164119564</v>
      </c>
      <c r="E182" s="5">
        <f>+$C182*BD182</f>
        <v>746.56945184116387</v>
      </c>
      <c r="F182" s="5">
        <f>+$C182*BE182</f>
        <v>660.71943593983349</v>
      </c>
      <c r="G182" s="5">
        <f>+$C182*BF182</f>
        <v>500.46954907985344</v>
      </c>
      <c r="H182" s="5">
        <f>+$C182*BG182</f>
        <v>725.80002673757338</v>
      </c>
      <c r="I182" s="5">
        <f>+$C182*BH182</f>
        <v>594.79231666781243</v>
      </c>
      <c r="J182" s="5">
        <f>+$C182*BI182</f>
        <v>592.15715214083889</v>
      </c>
      <c r="K182" s="5">
        <f>+$C182*BJ182</f>
        <v>402.12973823945975</v>
      </c>
      <c r="L182" s="5">
        <f>+$C182*BK182</f>
        <v>596.07696641890232</v>
      </c>
      <c r="M182" s="5">
        <f>+$C182*BL182</f>
        <v>519.10641239124618</v>
      </c>
      <c r="N182" s="5">
        <f>+$C182*BM182</f>
        <v>530.02732434475013</v>
      </c>
      <c r="O182" s="5">
        <f>+$C182*BN182</f>
        <v>517.68891555972937</v>
      </c>
      <c r="P182" s="5">
        <v>0</v>
      </c>
      <c r="Q182" s="5">
        <f>+$P182*BC182</f>
        <v>0</v>
      </c>
      <c r="R182" s="5">
        <f>+$P182*BD182</f>
        <v>0</v>
      </c>
      <c r="S182" s="5">
        <f>+$P182*BE182</f>
        <v>0</v>
      </c>
      <c r="T182" s="5">
        <f>+$P182*BF182</f>
        <v>0</v>
      </c>
      <c r="U182" s="5">
        <f>+$P182*BG182</f>
        <v>0</v>
      </c>
      <c r="V182" s="5">
        <f>+$P182*BH182</f>
        <v>0</v>
      </c>
      <c r="W182" s="5">
        <f>+$P182*BI182</f>
        <v>0</v>
      </c>
      <c r="X182" s="5">
        <f>+$P182*BJ182</f>
        <v>0</v>
      </c>
      <c r="Y182" s="5">
        <f>+$P182*BK182</f>
        <v>0</v>
      </c>
      <c r="Z182" s="5">
        <f>+$P182*BL182</f>
        <v>0</v>
      </c>
      <c r="AA182" s="5">
        <f>+$P182*BM182</f>
        <v>0</v>
      </c>
      <c r="AB182" s="5">
        <f>+$P182*BN182</f>
        <v>0</v>
      </c>
      <c r="AC182" s="5">
        <v>0</v>
      </c>
      <c r="AD182" s="5">
        <f>+$AC182*BC182</f>
        <v>0</v>
      </c>
      <c r="AE182" s="5">
        <f>+$AC182*BD182</f>
        <v>0</v>
      </c>
      <c r="AF182" s="5">
        <f>+$AC182*BE182</f>
        <v>0</v>
      </c>
      <c r="AG182" s="5">
        <f>+$AC182*BF182</f>
        <v>0</v>
      </c>
      <c r="AH182" s="5">
        <f>+$AC182*BG182</f>
        <v>0</v>
      </c>
      <c r="AI182" s="5">
        <f>+$AC182*BH182</f>
        <v>0</v>
      </c>
      <c r="AJ182" s="5">
        <f>+$AC182*BI182</f>
        <v>0</v>
      </c>
      <c r="AK182" s="5">
        <f>+$AC182*BJ182</f>
        <v>0</v>
      </c>
      <c r="AL182" s="5">
        <f>+$AC182*BK182</f>
        <v>0</v>
      </c>
      <c r="AM182" s="5">
        <f>+$AC182*BL182</f>
        <v>0</v>
      </c>
      <c r="AN182" s="5">
        <f>+$AC182*BM182</f>
        <v>0</v>
      </c>
      <c r="AO182" s="5">
        <f>+$AC182*BN182</f>
        <v>0</v>
      </c>
      <c r="AP182" s="5">
        <f>+AC182+P182+C182</f>
        <v>7000</v>
      </c>
      <c r="AQ182" s="1">
        <v>624.27096164119564</v>
      </c>
      <c r="AR182" s="1">
        <v>746.56945184116387</v>
      </c>
      <c r="AS182" s="1">
        <v>660.71943593983349</v>
      </c>
      <c r="AT182" s="1">
        <v>500.46954907985344</v>
      </c>
      <c r="AU182" s="1">
        <v>725.80002673757338</v>
      </c>
      <c r="AV182" s="1">
        <v>594.79231666781243</v>
      </c>
      <c r="AW182" s="1">
        <v>592.15715214083889</v>
      </c>
      <c r="AX182" s="1">
        <v>402.12973823945975</v>
      </c>
      <c r="AY182" s="1">
        <v>596.07696641890232</v>
      </c>
      <c r="AZ182" s="1">
        <v>519.10641239124618</v>
      </c>
      <c r="BA182" s="1">
        <v>530.02732434475013</v>
      </c>
      <c r="BB182" s="1">
        <v>517.68891555972937</v>
      </c>
      <c r="BC182" s="2">
        <v>8.9181565948742242E-2</v>
      </c>
      <c r="BD182" s="2">
        <v>0.10665277883445198</v>
      </c>
      <c r="BE182" s="2">
        <v>9.438849084854764E-2</v>
      </c>
      <c r="BF182" s="2">
        <v>7.149564986855049E-2</v>
      </c>
      <c r="BG182" s="2">
        <v>0.10368571810536763</v>
      </c>
      <c r="BH182" s="2">
        <v>8.4970330952544637E-2</v>
      </c>
      <c r="BI182" s="2">
        <v>8.4593878877262704E-2</v>
      </c>
      <c r="BJ182" s="2">
        <v>5.7447105462779965E-2</v>
      </c>
      <c r="BK182" s="2">
        <v>8.5153852345557474E-2</v>
      </c>
      <c r="BL182" s="2">
        <v>7.4158058913035174E-2</v>
      </c>
      <c r="BM182" s="2">
        <v>7.5718189192107169E-2</v>
      </c>
      <c r="BN182" s="2">
        <v>7.3955559365675619E-2</v>
      </c>
    </row>
    <row r="183" spans="1:66" x14ac:dyDescent="0.25">
      <c r="A183" s="8">
        <v>3949</v>
      </c>
      <c r="B183" s="8" t="s">
        <v>813</v>
      </c>
      <c r="C183" s="5">
        <v>500</v>
      </c>
      <c r="D183" s="5">
        <f>+$C183*BC183</f>
        <v>44.590782974371123</v>
      </c>
      <c r="E183" s="5">
        <f>+$C183*BD183</f>
        <v>53.32638941722599</v>
      </c>
      <c r="F183" s="5">
        <f>+$C183*BE183</f>
        <v>47.194245424273824</v>
      </c>
      <c r="G183" s="5">
        <f>+$C183*BF183</f>
        <v>35.747824934275243</v>
      </c>
      <c r="H183" s="5">
        <f>+$C183*BG183</f>
        <v>51.842859052683814</v>
      </c>
      <c r="I183" s="5">
        <f>+$C183*BH183</f>
        <v>42.485165476272321</v>
      </c>
      <c r="J183" s="5">
        <f>+$C183*BI183</f>
        <v>42.296939438631355</v>
      </c>
      <c r="K183" s="5">
        <f>+$C183*BJ183</f>
        <v>28.723552731389983</v>
      </c>
      <c r="L183" s="5">
        <f>+$C183*BK183</f>
        <v>42.576926172778734</v>
      </c>
      <c r="M183" s="5">
        <f>+$C183*BL183</f>
        <v>37.079029456517588</v>
      </c>
      <c r="N183" s="5">
        <f>+$C183*BM183</f>
        <v>37.859094596053588</v>
      </c>
      <c r="O183" s="5">
        <f>+$C183*BN183</f>
        <v>36.977779682837813</v>
      </c>
      <c r="P183" s="5">
        <v>0</v>
      </c>
      <c r="Q183" s="5">
        <f>+$P183*BC183</f>
        <v>0</v>
      </c>
      <c r="R183" s="5">
        <f>+$P183*BD183</f>
        <v>0</v>
      </c>
      <c r="S183" s="5">
        <f>+$P183*BE183</f>
        <v>0</v>
      </c>
      <c r="T183" s="5">
        <f>+$P183*BF183</f>
        <v>0</v>
      </c>
      <c r="U183" s="5">
        <f>+$P183*BG183</f>
        <v>0</v>
      </c>
      <c r="V183" s="5">
        <f>+$P183*BH183</f>
        <v>0</v>
      </c>
      <c r="W183" s="5">
        <f>+$P183*BI183</f>
        <v>0</v>
      </c>
      <c r="X183" s="5">
        <f>+$P183*BJ183</f>
        <v>0</v>
      </c>
      <c r="Y183" s="5">
        <f>+$P183*BK183</f>
        <v>0</v>
      </c>
      <c r="Z183" s="5">
        <f>+$P183*BL183</f>
        <v>0</v>
      </c>
      <c r="AA183" s="5">
        <f>+$P183*BM183</f>
        <v>0</v>
      </c>
      <c r="AB183" s="5">
        <f>+$P183*BN183</f>
        <v>0</v>
      </c>
      <c r="AC183" s="5">
        <v>0</v>
      </c>
      <c r="AD183" s="5">
        <f>+$AC183*BC183</f>
        <v>0</v>
      </c>
      <c r="AE183" s="5">
        <f>+$AC183*BD183</f>
        <v>0</v>
      </c>
      <c r="AF183" s="5">
        <f>+$AC183*BE183</f>
        <v>0</v>
      </c>
      <c r="AG183" s="5">
        <f>+$AC183*BF183</f>
        <v>0</v>
      </c>
      <c r="AH183" s="5">
        <f>+$AC183*BG183</f>
        <v>0</v>
      </c>
      <c r="AI183" s="5">
        <f>+$AC183*BH183</f>
        <v>0</v>
      </c>
      <c r="AJ183" s="5">
        <f>+$AC183*BI183</f>
        <v>0</v>
      </c>
      <c r="AK183" s="5">
        <f>+$AC183*BJ183</f>
        <v>0</v>
      </c>
      <c r="AL183" s="5">
        <f>+$AC183*BK183</f>
        <v>0</v>
      </c>
      <c r="AM183" s="5">
        <f>+$AC183*BL183</f>
        <v>0</v>
      </c>
      <c r="AN183" s="5">
        <f>+$AC183*BM183</f>
        <v>0</v>
      </c>
      <c r="AO183" s="5">
        <f>+$AC183*BN183</f>
        <v>0</v>
      </c>
      <c r="AP183" s="5">
        <f>+AC183+P183+C183</f>
        <v>500</v>
      </c>
      <c r="AQ183" s="1">
        <v>624.27096164119564</v>
      </c>
      <c r="AR183" s="1">
        <v>746.56945184116387</v>
      </c>
      <c r="AS183" s="1">
        <v>660.71943593983349</v>
      </c>
      <c r="AT183" s="1">
        <v>500.46954907985344</v>
      </c>
      <c r="AU183" s="1">
        <v>725.80002673757338</v>
      </c>
      <c r="AV183" s="1">
        <v>594.79231666781243</v>
      </c>
      <c r="AW183" s="1">
        <v>592.15715214083889</v>
      </c>
      <c r="AX183" s="1">
        <v>402.12973823945975</v>
      </c>
      <c r="AY183" s="1">
        <v>596.07696641890232</v>
      </c>
      <c r="AZ183" s="1">
        <v>519.10641239124618</v>
      </c>
      <c r="BA183" s="1">
        <v>530.02732434475013</v>
      </c>
      <c r="BB183" s="1">
        <v>517.68891555972937</v>
      </c>
      <c r="BC183" s="2">
        <v>8.9181565948742242E-2</v>
      </c>
      <c r="BD183" s="2">
        <v>0.10665277883445198</v>
      </c>
      <c r="BE183" s="2">
        <v>9.438849084854764E-2</v>
      </c>
      <c r="BF183" s="2">
        <v>7.149564986855049E-2</v>
      </c>
      <c r="BG183" s="2">
        <v>0.10368571810536763</v>
      </c>
      <c r="BH183" s="2">
        <v>8.4970330952544637E-2</v>
      </c>
      <c r="BI183" s="2">
        <v>8.4593878877262704E-2</v>
      </c>
      <c r="BJ183" s="2">
        <v>5.7447105462779965E-2</v>
      </c>
      <c r="BK183" s="2">
        <v>8.5153852345557474E-2</v>
      </c>
      <c r="BL183" s="2">
        <v>7.4158058913035174E-2</v>
      </c>
      <c r="BM183" s="2">
        <v>7.5718189192107169E-2</v>
      </c>
      <c r="BN183" s="2">
        <v>7.3955559365675619E-2</v>
      </c>
    </row>
    <row r="184" spans="1:66" x14ac:dyDescent="0.25">
      <c r="A184" s="8">
        <v>4025</v>
      </c>
      <c r="B184" s="8" t="s">
        <v>812</v>
      </c>
      <c r="C184" s="5">
        <v>0</v>
      </c>
      <c r="D184" s="5">
        <f>+$C184*BC184</f>
        <v>0</v>
      </c>
      <c r="E184" s="5">
        <f>+$C184*BD184</f>
        <v>0</v>
      </c>
      <c r="F184" s="5">
        <f>+$C184*BE184</f>
        <v>0</v>
      </c>
      <c r="G184" s="5">
        <f>+$C184*BF184</f>
        <v>0</v>
      </c>
      <c r="H184" s="5">
        <f>+$C184*BG184</f>
        <v>0</v>
      </c>
      <c r="I184" s="5">
        <f>+$C184*BH184</f>
        <v>0</v>
      </c>
      <c r="J184" s="5">
        <f>+$C184*BI184</f>
        <v>0</v>
      </c>
      <c r="K184" s="5">
        <f>+$C184*BJ184</f>
        <v>0</v>
      </c>
      <c r="L184" s="5">
        <f>+$C184*BK184</f>
        <v>0</v>
      </c>
      <c r="M184" s="5">
        <f>+$C184*BL184</f>
        <v>0</v>
      </c>
      <c r="N184" s="5">
        <f>+$C184*BM184</f>
        <v>0</v>
      </c>
      <c r="O184" s="5">
        <f>+$C184*BN184</f>
        <v>0</v>
      </c>
      <c r="P184" s="5">
        <v>5000</v>
      </c>
      <c r="Q184" s="5">
        <f>+$P184*BC184</f>
        <v>445.9078297437112</v>
      </c>
      <c r="R184" s="5">
        <f>+$P184*BD184</f>
        <v>533.26389417225994</v>
      </c>
      <c r="S184" s="5">
        <f>+$P184*BE184</f>
        <v>471.94245424273822</v>
      </c>
      <c r="T184" s="5">
        <f>+$P184*BF184</f>
        <v>357.47824934275246</v>
      </c>
      <c r="U184" s="5">
        <f>+$P184*BG184</f>
        <v>518.42859052683809</v>
      </c>
      <c r="V184" s="5">
        <f>+$P184*BH184</f>
        <v>424.85165476272317</v>
      </c>
      <c r="W184" s="5">
        <f>+$P184*BI184</f>
        <v>422.96939438631352</v>
      </c>
      <c r="X184" s="5">
        <f>+$P184*BJ184</f>
        <v>287.23552731389981</v>
      </c>
      <c r="Y184" s="5">
        <f>+$P184*BK184</f>
        <v>425.76926172778735</v>
      </c>
      <c r="Z184" s="5">
        <f>+$P184*BL184</f>
        <v>370.79029456517588</v>
      </c>
      <c r="AA184" s="5">
        <f>+$P184*BM184</f>
        <v>378.59094596053586</v>
      </c>
      <c r="AB184" s="5">
        <f>+$P184*BN184</f>
        <v>369.77779682837809</v>
      </c>
      <c r="AC184" s="5">
        <v>0</v>
      </c>
      <c r="AD184" s="5">
        <f>+$AC184*BC184</f>
        <v>0</v>
      </c>
      <c r="AE184" s="5">
        <f>+$AC184*BD184</f>
        <v>0</v>
      </c>
      <c r="AF184" s="5">
        <f>+$AC184*BE184</f>
        <v>0</v>
      </c>
      <c r="AG184" s="5">
        <f>+$AC184*BF184</f>
        <v>0</v>
      </c>
      <c r="AH184" s="5">
        <f>+$AC184*BG184</f>
        <v>0</v>
      </c>
      <c r="AI184" s="5">
        <f>+$AC184*BH184</f>
        <v>0</v>
      </c>
      <c r="AJ184" s="5">
        <f>+$AC184*BI184</f>
        <v>0</v>
      </c>
      <c r="AK184" s="5">
        <f>+$AC184*BJ184</f>
        <v>0</v>
      </c>
      <c r="AL184" s="5">
        <f>+$AC184*BK184</f>
        <v>0</v>
      </c>
      <c r="AM184" s="5">
        <f>+$AC184*BL184</f>
        <v>0</v>
      </c>
      <c r="AN184" s="5">
        <f>+$AC184*BM184</f>
        <v>0</v>
      </c>
      <c r="AO184" s="5">
        <f>+$AC184*BN184</f>
        <v>0</v>
      </c>
      <c r="AP184" s="5">
        <f>+AC184+P184+C184</f>
        <v>5000</v>
      </c>
      <c r="AQ184" s="1">
        <v>624.27096164119564</v>
      </c>
      <c r="AR184" s="1">
        <v>746.56945184116387</v>
      </c>
      <c r="AS184" s="1">
        <v>660.71943593983349</v>
      </c>
      <c r="AT184" s="1">
        <v>500.46954907985344</v>
      </c>
      <c r="AU184" s="1">
        <v>725.80002673757338</v>
      </c>
      <c r="AV184" s="1">
        <v>594.79231666781243</v>
      </c>
      <c r="AW184" s="1">
        <v>592.15715214083889</v>
      </c>
      <c r="AX184" s="1">
        <v>402.12973823945975</v>
      </c>
      <c r="AY184" s="1">
        <v>596.07696641890232</v>
      </c>
      <c r="AZ184" s="1">
        <v>519.10641239124618</v>
      </c>
      <c r="BA184" s="1">
        <v>530.02732434475013</v>
      </c>
      <c r="BB184" s="1">
        <v>517.68891555972937</v>
      </c>
      <c r="BC184" s="2">
        <v>8.9181565948742242E-2</v>
      </c>
      <c r="BD184" s="2">
        <v>0.10665277883445198</v>
      </c>
      <c r="BE184" s="2">
        <v>9.438849084854764E-2</v>
      </c>
      <c r="BF184" s="2">
        <v>7.149564986855049E-2</v>
      </c>
      <c r="BG184" s="2">
        <v>0.10368571810536763</v>
      </c>
      <c r="BH184" s="2">
        <v>8.4970330952544637E-2</v>
      </c>
      <c r="BI184" s="2">
        <v>8.4593878877262704E-2</v>
      </c>
      <c r="BJ184" s="2">
        <v>5.7447105462779965E-2</v>
      </c>
      <c r="BK184" s="2">
        <v>8.5153852345557474E-2</v>
      </c>
      <c r="BL184" s="2">
        <v>7.4158058913035174E-2</v>
      </c>
      <c r="BM184" s="2">
        <v>7.5718189192107169E-2</v>
      </c>
      <c r="BN184" s="2">
        <v>7.3955559365675619E-2</v>
      </c>
    </row>
    <row r="185" spans="1:66" x14ac:dyDescent="0.25">
      <c r="A185" s="8">
        <v>27031</v>
      </c>
      <c r="B185" s="8" t="s">
        <v>811</v>
      </c>
      <c r="C185" s="5">
        <v>0</v>
      </c>
      <c r="D185" s="5">
        <f>+$C185*BC185</f>
        <v>0</v>
      </c>
      <c r="E185" s="5">
        <f>+$C185*BD185</f>
        <v>0</v>
      </c>
      <c r="F185" s="5">
        <f>+$C185*BE185</f>
        <v>0</v>
      </c>
      <c r="G185" s="5">
        <f>+$C185*BF185</f>
        <v>0</v>
      </c>
      <c r="H185" s="5">
        <f>+$C185*BG185</f>
        <v>0</v>
      </c>
      <c r="I185" s="5">
        <f>+$C185*BH185</f>
        <v>0</v>
      </c>
      <c r="J185" s="5">
        <f>+$C185*BI185</f>
        <v>0</v>
      </c>
      <c r="K185" s="5">
        <f>+$C185*BJ185</f>
        <v>0</v>
      </c>
      <c r="L185" s="5">
        <f>+$C185*BK185</f>
        <v>0</v>
      </c>
      <c r="M185" s="5">
        <f>+$C185*BL185</f>
        <v>0</v>
      </c>
      <c r="N185" s="5">
        <f>+$C185*BM185</f>
        <v>0</v>
      </c>
      <c r="O185" s="5">
        <f>+$C185*BN185</f>
        <v>0</v>
      </c>
      <c r="P185" s="5">
        <v>4000</v>
      </c>
      <c r="Q185" s="5">
        <f>+$P185*BC185</f>
        <v>356.72626379496899</v>
      </c>
      <c r="R185" s="5">
        <f>+$P185*BD185</f>
        <v>426.61111533780792</v>
      </c>
      <c r="S185" s="5">
        <f>+$P185*BE185</f>
        <v>377.55396339419059</v>
      </c>
      <c r="T185" s="5">
        <f>+$P185*BF185</f>
        <v>285.98259947420195</v>
      </c>
      <c r="U185" s="5">
        <f>+$P185*BG185</f>
        <v>414.74287242147051</v>
      </c>
      <c r="V185" s="5">
        <f>+$P185*BH185</f>
        <v>339.88132381017857</v>
      </c>
      <c r="W185" s="5">
        <f>+$P185*BI185</f>
        <v>338.37551550905084</v>
      </c>
      <c r="X185" s="5">
        <f>+$P185*BJ185</f>
        <v>229.78842185111986</v>
      </c>
      <c r="Y185" s="5">
        <f>+$P185*BK185</f>
        <v>340.61540938222987</v>
      </c>
      <c r="Z185" s="5">
        <f>+$P185*BL185</f>
        <v>296.63223565214071</v>
      </c>
      <c r="AA185" s="5">
        <f>+$P185*BM185</f>
        <v>302.8727567684287</v>
      </c>
      <c r="AB185" s="5">
        <f>+$P185*BN185</f>
        <v>295.8222374627025</v>
      </c>
      <c r="AC185" s="5">
        <v>0</v>
      </c>
      <c r="AD185" s="5">
        <f>+$AC185*BC185</f>
        <v>0</v>
      </c>
      <c r="AE185" s="5">
        <f>+$AC185*BD185</f>
        <v>0</v>
      </c>
      <c r="AF185" s="5">
        <f>+$AC185*BE185</f>
        <v>0</v>
      </c>
      <c r="AG185" s="5">
        <f>+$AC185*BF185</f>
        <v>0</v>
      </c>
      <c r="AH185" s="5">
        <f>+$AC185*BG185</f>
        <v>0</v>
      </c>
      <c r="AI185" s="5">
        <f>+$AC185*BH185</f>
        <v>0</v>
      </c>
      <c r="AJ185" s="5">
        <f>+$AC185*BI185</f>
        <v>0</v>
      </c>
      <c r="AK185" s="5">
        <f>+$AC185*BJ185</f>
        <v>0</v>
      </c>
      <c r="AL185" s="5">
        <f>+$AC185*BK185</f>
        <v>0</v>
      </c>
      <c r="AM185" s="5">
        <f>+$AC185*BL185</f>
        <v>0</v>
      </c>
      <c r="AN185" s="5">
        <f>+$AC185*BM185</f>
        <v>0</v>
      </c>
      <c r="AO185" s="5">
        <f>+$AC185*BN185</f>
        <v>0</v>
      </c>
      <c r="AP185" s="5">
        <f>+AC185+P185+C185</f>
        <v>4000</v>
      </c>
      <c r="AQ185" s="1">
        <v>1337.7234892311337</v>
      </c>
      <c r="AR185" s="1">
        <v>1599.7916825167797</v>
      </c>
      <c r="AS185" s="1">
        <v>1415.8273627282147</v>
      </c>
      <c r="AT185" s="1">
        <v>1072.4347480282574</v>
      </c>
      <c r="AU185" s="1">
        <v>1555.2857715805144</v>
      </c>
      <c r="AV185" s="1">
        <v>1274.5549642881695</v>
      </c>
      <c r="AW185" s="1">
        <v>1268.9081831589406</v>
      </c>
      <c r="AX185" s="1">
        <v>861.70658194169948</v>
      </c>
      <c r="AY185" s="1">
        <v>1277.3077851833621</v>
      </c>
      <c r="AZ185" s="1">
        <v>1112.3708836955277</v>
      </c>
      <c r="BA185" s="1">
        <v>1135.7728378816075</v>
      </c>
      <c r="BB185" s="1">
        <v>1109.3333904851343</v>
      </c>
      <c r="BC185" s="2">
        <v>8.9181565948742242E-2</v>
      </c>
      <c r="BD185" s="2">
        <v>0.10665277883445198</v>
      </c>
      <c r="BE185" s="2">
        <v>9.438849084854764E-2</v>
      </c>
      <c r="BF185" s="2">
        <v>7.149564986855049E-2</v>
      </c>
      <c r="BG185" s="2">
        <v>0.10368571810536763</v>
      </c>
      <c r="BH185" s="2">
        <v>8.4970330952544637E-2</v>
      </c>
      <c r="BI185" s="2">
        <v>8.4593878877262704E-2</v>
      </c>
      <c r="BJ185" s="2">
        <v>5.7447105462779965E-2</v>
      </c>
      <c r="BK185" s="2">
        <v>8.5153852345557474E-2</v>
      </c>
      <c r="BL185" s="2">
        <v>7.4158058913035174E-2</v>
      </c>
      <c r="BM185" s="2">
        <v>7.5718189192107169E-2</v>
      </c>
      <c r="BN185" s="2">
        <v>7.3955559365675619E-2</v>
      </c>
    </row>
    <row r="186" spans="1:66" x14ac:dyDescent="0.25">
      <c r="A186" s="8">
        <v>3637</v>
      </c>
      <c r="B186" s="8" t="s">
        <v>810</v>
      </c>
      <c r="C186" s="5">
        <v>0</v>
      </c>
      <c r="D186" s="5">
        <f>+$C186*BC186</f>
        <v>0</v>
      </c>
      <c r="E186" s="5">
        <f>+$C186*BD186</f>
        <v>0</v>
      </c>
      <c r="F186" s="5">
        <f>+$C186*BE186</f>
        <v>0</v>
      </c>
      <c r="G186" s="5">
        <f>+$C186*BF186</f>
        <v>0</v>
      </c>
      <c r="H186" s="5">
        <f>+$C186*BG186</f>
        <v>0</v>
      </c>
      <c r="I186" s="5">
        <f>+$C186*BH186</f>
        <v>0</v>
      </c>
      <c r="J186" s="5">
        <f>+$C186*BI186</f>
        <v>0</v>
      </c>
      <c r="K186" s="5">
        <f>+$C186*BJ186</f>
        <v>0</v>
      </c>
      <c r="L186" s="5">
        <f>+$C186*BK186</f>
        <v>0</v>
      </c>
      <c r="M186" s="5">
        <f>+$C186*BL186</f>
        <v>0</v>
      </c>
      <c r="N186" s="5">
        <f>+$C186*BM186</f>
        <v>0</v>
      </c>
      <c r="O186" s="5">
        <f>+$C186*BN186</f>
        <v>0</v>
      </c>
      <c r="P186" s="5">
        <v>6000</v>
      </c>
      <c r="Q186" s="5">
        <f>+$P186*BC186</f>
        <v>535.08939569245342</v>
      </c>
      <c r="R186" s="5">
        <f>+$P186*BD186</f>
        <v>639.9166730067119</v>
      </c>
      <c r="S186" s="5">
        <f>+$P186*BE186</f>
        <v>566.3309450912858</v>
      </c>
      <c r="T186" s="5">
        <f>+$P186*BF186</f>
        <v>428.97389921130292</v>
      </c>
      <c r="U186" s="5">
        <f>+$P186*BG186</f>
        <v>622.11430863220573</v>
      </c>
      <c r="V186" s="5">
        <f>+$P186*BH186</f>
        <v>509.82198571526783</v>
      </c>
      <c r="W186" s="5">
        <f>+$P186*BI186</f>
        <v>507.56327326357621</v>
      </c>
      <c r="X186" s="5">
        <f>+$P186*BJ186</f>
        <v>344.68263277667978</v>
      </c>
      <c r="Y186" s="5">
        <f>+$P186*BK186</f>
        <v>510.92311407334483</v>
      </c>
      <c r="Z186" s="5">
        <f>+$P186*BL186</f>
        <v>444.94835347821106</v>
      </c>
      <c r="AA186" s="5">
        <f>+$P186*BM186</f>
        <v>454.30913515264302</v>
      </c>
      <c r="AB186" s="5">
        <f>+$P186*BN186</f>
        <v>443.73335619405373</v>
      </c>
      <c r="AC186" s="5">
        <v>0</v>
      </c>
      <c r="AD186" s="5">
        <f>+$AC186*BC186</f>
        <v>0</v>
      </c>
      <c r="AE186" s="5">
        <f>+$AC186*BD186</f>
        <v>0</v>
      </c>
      <c r="AF186" s="5">
        <f>+$AC186*BE186</f>
        <v>0</v>
      </c>
      <c r="AG186" s="5">
        <f>+$AC186*BF186</f>
        <v>0</v>
      </c>
      <c r="AH186" s="5">
        <f>+$AC186*BG186</f>
        <v>0</v>
      </c>
      <c r="AI186" s="5">
        <f>+$AC186*BH186</f>
        <v>0</v>
      </c>
      <c r="AJ186" s="5">
        <f>+$AC186*BI186</f>
        <v>0</v>
      </c>
      <c r="AK186" s="5">
        <f>+$AC186*BJ186</f>
        <v>0</v>
      </c>
      <c r="AL186" s="5">
        <f>+$AC186*BK186</f>
        <v>0</v>
      </c>
      <c r="AM186" s="5">
        <f>+$AC186*BL186</f>
        <v>0</v>
      </c>
      <c r="AN186" s="5">
        <f>+$AC186*BM186</f>
        <v>0</v>
      </c>
      <c r="AO186" s="5">
        <f>+$AC186*BN186</f>
        <v>0</v>
      </c>
      <c r="AP186" s="5">
        <f>+AC186+P186+C186</f>
        <v>6000</v>
      </c>
      <c r="AQ186" s="1">
        <v>1337.7234892311337</v>
      </c>
      <c r="AR186" s="1">
        <v>1599.7916825167797</v>
      </c>
      <c r="AS186" s="1">
        <v>1415.8273627282147</v>
      </c>
      <c r="AT186" s="1">
        <v>1072.4347480282574</v>
      </c>
      <c r="AU186" s="1">
        <v>1555.2857715805144</v>
      </c>
      <c r="AV186" s="1">
        <v>1274.5549642881695</v>
      </c>
      <c r="AW186" s="1">
        <v>1268.9081831589406</v>
      </c>
      <c r="AX186" s="1">
        <v>861.70658194169948</v>
      </c>
      <c r="AY186" s="1">
        <v>1277.3077851833621</v>
      </c>
      <c r="AZ186" s="1">
        <v>1112.3708836955277</v>
      </c>
      <c r="BA186" s="1">
        <v>1135.7728378816075</v>
      </c>
      <c r="BB186" s="1">
        <v>1109.3333904851343</v>
      </c>
      <c r="BC186" s="2">
        <v>8.9181565948742242E-2</v>
      </c>
      <c r="BD186" s="2">
        <v>0.10665277883445198</v>
      </c>
      <c r="BE186" s="2">
        <v>9.438849084854764E-2</v>
      </c>
      <c r="BF186" s="2">
        <v>7.149564986855049E-2</v>
      </c>
      <c r="BG186" s="2">
        <v>0.10368571810536763</v>
      </c>
      <c r="BH186" s="2">
        <v>8.4970330952544637E-2</v>
      </c>
      <c r="BI186" s="2">
        <v>8.4593878877262704E-2</v>
      </c>
      <c r="BJ186" s="2">
        <v>5.7447105462779965E-2</v>
      </c>
      <c r="BK186" s="2">
        <v>8.5153852345557474E-2</v>
      </c>
      <c r="BL186" s="2">
        <v>7.4158058913035174E-2</v>
      </c>
      <c r="BM186" s="2">
        <v>7.5718189192107169E-2</v>
      </c>
      <c r="BN186" s="2">
        <v>7.3955559365675619E-2</v>
      </c>
    </row>
    <row r="187" spans="1:66" x14ac:dyDescent="0.25">
      <c r="A187" s="8">
        <v>4190</v>
      </c>
      <c r="B187" s="8" t="s">
        <v>809</v>
      </c>
      <c r="C187" s="5">
        <v>8000</v>
      </c>
      <c r="D187" s="5">
        <f>+$C187*BC187</f>
        <v>713.45252758993797</v>
      </c>
      <c r="E187" s="5">
        <f>+$C187*BD187</f>
        <v>853.22223067561583</v>
      </c>
      <c r="F187" s="5">
        <f>+$C187*BE187</f>
        <v>755.10792678838118</v>
      </c>
      <c r="G187" s="5">
        <f>+$C187*BF187</f>
        <v>571.96519894840389</v>
      </c>
      <c r="H187" s="5">
        <f>+$C187*BG187</f>
        <v>829.48574484294102</v>
      </c>
      <c r="I187" s="5">
        <f>+$C187*BH187</f>
        <v>679.76264762035714</v>
      </c>
      <c r="J187" s="5">
        <f>+$C187*BI187</f>
        <v>676.75103101810168</v>
      </c>
      <c r="K187" s="5">
        <f>+$C187*BJ187</f>
        <v>459.57684370223973</v>
      </c>
      <c r="L187" s="5">
        <f>+$C187*BK187</f>
        <v>681.23081876445974</v>
      </c>
      <c r="M187" s="5">
        <f>+$C187*BL187</f>
        <v>593.26447130428141</v>
      </c>
      <c r="N187" s="5">
        <f>+$C187*BM187</f>
        <v>605.7455135368574</v>
      </c>
      <c r="O187" s="5">
        <f>+$C187*BN187</f>
        <v>591.64447492540501</v>
      </c>
      <c r="P187" s="5">
        <v>0</v>
      </c>
      <c r="Q187" s="5">
        <f>+$P187*BC187</f>
        <v>0</v>
      </c>
      <c r="R187" s="5">
        <f>+$P187*BD187</f>
        <v>0</v>
      </c>
      <c r="S187" s="5">
        <f>+$P187*BE187</f>
        <v>0</v>
      </c>
      <c r="T187" s="5">
        <f>+$P187*BF187</f>
        <v>0</v>
      </c>
      <c r="U187" s="5">
        <f>+$P187*BG187</f>
        <v>0</v>
      </c>
      <c r="V187" s="5">
        <f>+$P187*BH187</f>
        <v>0</v>
      </c>
      <c r="W187" s="5">
        <f>+$P187*BI187</f>
        <v>0</v>
      </c>
      <c r="X187" s="5">
        <f>+$P187*BJ187</f>
        <v>0</v>
      </c>
      <c r="Y187" s="5">
        <f>+$P187*BK187</f>
        <v>0</v>
      </c>
      <c r="Z187" s="5">
        <f>+$P187*BL187</f>
        <v>0</v>
      </c>
      <c r="AA187" s="5">
        <f>+$P187*BM187</f>
        <v>0</v>
      </c>
      <c r="AB187" s="5">
        <f>+$P187*BN187</f>
        <v>0</v>
      </c>
      <c r="AC187" s="5">
        <v>0</v>
      </c>
      <c r="AD187" s="5">
        <f>+$AC187*BC187</f>
        <v>0</v>
      </c>
      <c r="AE187" s="5">
        <f>+$AC187*BD187</f>
        <v>0</v>
      </c>
      <c r="AF187" s="5">
        <f>+$AC187*BE187</f>
        <v>0</v>
      </c>
      <c r="AG187" s="5">
        <f>+$AC187*BF187</f>
        <v>0</v>
      </c>
      <c r="AH187" s="5">
        <f>+$AC187*BG187</f>
        <v>0</v>
      </c>
      <c r="AI187" s="5">
        <f>+$AC187*BH187</f>
        <v>0</v>
      </c>
      <c r="AJ187" s="5">
        <f>+$AC187*BI187</f>
        <v>0</v>
      </c>
      <c r="AK187" s="5">
        <f>+$AC187*BJ187</f>
        <v>0</v>
      </c>
      <c r="AL187" s="5">
        <f>+$AC187*BK187</f>
        <v>0</v>
      </c>
      <c r="AM187" s="5">
        <f>+$AC187*BL187</f>
        <v>0</v>
      </c>
      <c r="AN187" s="5">
        <f>+$AC187*BM187</f>
        <v>0</v>
      </c>
      <c r="AO187" s="5">
        <f>+$AC187*BN187</f>
        <v>0</v>
      </c>
      <c r="AP187" s="5">
        <f>+AC187+P187+C187</f>
        <v>8000</v>
      </c>
      <c r="AQ187" s="1">
        <v>579.68017866682453</v>
      </c>
      <c r="AR187" s="1">
        <v>693.24306242393789</v>
      </c>
      <c r="AS187" s="1">
        <v>613.52519051555964</v>
      </c>
      <c r="AT187" s="1">
        <v>464.72172414557821</v>
      </c>
      <c r="AU187" s="1">
        <v>673.95716768488955</v>
      </c>
      <c r="AV187" s="1">
        <v>552.30715119154013</v>
      </c>
      <c r="AW187" s="1">
        <v>549.8602127022076</v>
      </c>
      <c r="AX187" s="1">
        <v>373.40618550806977</v>
      </c>
      <c r="AY187" s="1">
        <v>553.5000402461236</v>
      </c>
      <c r="AZ187" s="1">
        <v>482.02738293472862</v>
      </c>
      <c r="BA187" s="1">
        <v>492.1682297486966</v>
      </c>
      <c r="BB187" s="1">
        <v>480.71113587689155</v>
      </c>
      <c r="BC187" s="2">
        <v>8.9181565948742242E-2</v>
      </c>
      <c r="BD187" s="2">
        <v>0.10665277883445198</v>
      </c>
      <c r="BE187" s="2">
        <v>9.438849084854764E-2</v>
      </c>
      <c r="BF187" s="2">
        <v>7.149564986855049E-2</v>
      </c>
      <c r="BG187" s="2">
        <v>0.10368571810536763</v>
      </c>
      <c r="BH187" s="2">
        <v>8.4970330952544637E-2</v>
      </c>
      <c r="BI187" s="2">
        <v>8.4593878877262704E-2</v>
      </c>
      <c r="BJ187" s="2">
        <v>5.7447105462779965E-2</v>
      </c>
      <c r="BK187" s="2">
        <v>8.5153852345557474E-2</v>
      </c>
      <c r="BL187" s="2">
        <v>7.4158058913035174E-2</v>
      </c>
      <c r="BM187" s="2">
        <v>7.5718189192107169E-2</v>
      </c>
      <c r="BN187" s="2">
        <v>7.3955559365675619E-2</v>
      </c>
    </row>
    <row r="188" spans="1:66" x14ac:dyDescent="0.25">
      <c r="A188" s="8">
        <v>1253</v>
      </c>
      <c r="B188" s="8" t="s">
        <v>808</v>
      </c>
      <c r="C188" s="5">
        <v>0</v>
      </c>
      <c r="D188" s="5">
        <f>+$C188*BC188</f>
        <v>0</v>
      </c>
      <c r="E188" s="5">
        <f>+$C188*BD188</f>
        <v>0</v>
      </c>
      <c r="F188" s="5">
        <f>+$C188*BE188</f>
        <v>0</v>
      </c>
      <c r="G188" s="5">
        <f>+$C188*BF188</f>
        <v>0</v>
      </c>
      <c r="H188" s="5">
        <f>+$C188*BG188</f>
        <v>0</v>
      </c>
      <c r="I188" s="5">
        <f>+$C188*BH188</f>
        <v>0</v>
      </c>
      <c r="J188" s="5">
        <f>+$C188*BI188</f>
        <v>0</v>
      </c>
      <c r="K188" s="5">
        <f>+$C188*BJ188</f>
        <v>0</v>
      </c>
      <c r="L188" s="5">
        <f>+$C188*BK188</f>
        <v>0</v>
      </c>
      <c r="M188" s="5">
        <f>+$C188*BL188</f>
        <v>0</v>
      </c>
      <c r="N188" s="5">
        <f>+$C188*BM188</f>
        <v>0</v>
      </c>
      <c r="O188" s="5">
        <f>+$C188*BN188</f>
        <v>0</v>
      </c>
      <c r="P188" s="5">
        <v>10000</v>
      </c>
      <c r="Q188" s="5">
        <f>+$P188*BC188</f>
        <v>891.81565948742241</v>
      </c>
      <c r="R188" s="5">
        <f>+$P188*BD188</f>
        <v>1066.5277883445199</v>
      </c>
      <c r="S188" s="5">
        <f>+$P188*BE188</f>
        <v>943.88490848547644</v>
      </c>
      <c r="T188" s="5">
        <f>+$P188*BF188</f>
        <v>714.95649868550493</v>
      </c>
      <c r="U188" s="5">
        <f>+$P188*BG188</f>
        <v>1036.8571810536762</v>
      </c>
      <c r="V188" s="5">
        <f>+$P188*BH188</f>
        <v>849.70330952544634</v>
      </c>
      <c r="W188" s="5">
        <f>+$P188*BI188</f>
        <v>845.93878877262705</v>
      </c>
      <c r="X188" s="5">
        <f>+$P188*BJ188</f>
        <v>574.47105462779962</v>
      </c>
      <c r="Y188" s="5">
        <f>+$P188*BK188</f>
        <v>851.5385234555747</v>
      </c>
      <c r="Z188" s="5">
        <f>+$P188*BL188</f>
        <v>741.58058913035177</v>
      </c>
      <c r="AA188" s="5">
        <f>+$P188*BM188</f>
        <v>757.18189192107172</v>
      </c>
      <c r="AB188" s="5">
        <f>+$P188*BN188</f>
        <v>739.55559365675617</v>
      </c>
      <c r="AC188" s="5">
        <v>0</v>
      </c>
      <c r="AD188" s="5">
        <f>+$AC188*BC188</f>
        <v>0</v>
      </c>
      <c r="AE188" s="5">
        <f>+$AC188*BD188</f>
        <v>0</v>
      </c>
      <c r="AF188" s="5">
        <f>+$AC188*BE188</f>
        <v>0</v>
      </c>
      <c r="AG188" s="5">
        <f>+$AC188*BF188</f>
        <v>0</v>
      </c>
      <c r="AH188" s="5">
        <f>+$AC188*BG188</f>
        <v>0</v>
      </c>
      <c r="AI188" s="5">
        <f>+$AC188*BH188</f>
        <v>0</v>
      </c>
      <c r="AJ188" s="5">
        <f>+$AC188*BI188</f>
        <v>0</v>
      </c>
      <c r="AK188" s="5">
        <f>+$AC188*BJ188</f>
        <v>0</v>
      </c>
      <c r="AL188" s="5">
        <f>+$AC188*BK188</f>
        <v>0</v>
      </c>
      <c r="AM188" s="5">
        <f>+$AC188*BL188</f>
        <v>0</v>
      </c>
      <c r="AN188" s="5">
        <f>+$AC188*BM188</f>
        <v>0</v>
      </c>
      <c r="AO188" s="5">
        <f>+$AC188*BN188</f>
        <v>0</v>
      </c>
      <c r="AP188" s="5">
        <f>+AC188+P188+C188</f>
        <v>10000</v>
      </c>
      <c r="AQ188" s="1">
        <v>579.68017866682453</v>
      </c>
      <c r="AR188" s="1">
        <v>693.24306242393789</v>
      </c>
      <c r="AS188" s="1">
        <v>613.52519051555964</v>
      </c>
      <c r="AT188" s="1">
        <v>464.72172414557821</v>
      </c>
      <c r="AU188" s="1">
        <v>673.95716768488955</v>
      </c>
      <c r="AV188" s="1">
        <v>552.30715119154013</v>
      </c>
      <c r="AW188" s="1">
        <v>549.8602127022076</v>
      </c>
      <c r="AX188" s="1">
        <v>373.40618550806977</v>
      </c>
      <c r="AY188" s="1">
        <v>553.5000402461236</v>
      </c>
      <c r="AZ188" s="1">
        <v>482.02738293472862</v>
      </c>
      <c r="BA188" s="1">
        <v>492.1682297486966</v>
      </c>
      <c r="BB188" s="1">
        <v>480.71113587689155</v>
      </c>
      <c r="BC188" s="2">
        <v>8.9181565948742242E-2</v>
      </c>
      <c r="BD188" s="2">
        <v>0.10665277883445198</v>
      </c>
      <c r="BE188" s="2">
        <v>9.438849084854764E-2</v>
      </c>
      <c r="BF188" s="2">
        <v>7.149564986855049E-2</v>
      </c>
      <c r="BG188" s="2">
        <v>0.10368571810536763</v>
      </c>
      <c r="BH188" s="2">
        <v>8.4970330952544637E-2</v>
      </c>
      <c r="BI188" s="2">
        <v>8.4593878877262704E-2</v>
      </c>
      <c r="BJ188" s="2">
        <v>5.7447105462779965E-2</v>
      </c>
      <c r="BK188" s="2">
        <v>8.5153852345557474E-2</v>
      </c>
      <c r="BL188" s="2">
        <v>7.4158058913035174E-2</v>
      </c>
      <c r="BM188" s="2">
        <v>7.5718189192107169E-2</v>
      </c>
      <c r="BN188" s="2">
        <v>7.3955559365675619E-2</v>
      </c>
    </row>
    <row r="189" spans="1:66" x14ac:dyDescent="0.25">
      <c r="A189" s="8">
        <v>2670</v>
      </c>
      <c r="B189" s="8" t="s">
        <v>807</v>
      </c>
      <c r="C189" s="5">
        <v>25000</v>
      </c>
      <c r="D189" s="5">
        <f>+$C189*BC189</f>
        <v>2229.5391487185561</v>
      </c>
      <c r="E189" s="5">
        <f>+$C189*BD189</f>
        <v>2666.3194708612996</v>
      </c>
      <c r="F189" s="5">
        <f>+$C189*BE189</f>
        <v>2359.7122712136911</v>
      </c>
      <c r="G189" s="5">
        <f>+$C189*BF189</f>
        <v>1787.3912467137623</v>
      </c>
      <c r="H189" s="5">
        <f>+$C189*BG189</f>
        <v>2592.1429526341908</v>
      </c>
      <c r="I189" s="5">
        <f>+$C189*BH189</f>
        <v>2124.2582738136161</v>
      </c>
      <c r="J189" s="5">
        <f>+$C189*BI189</f>
        <v>2114.8469719315676</v>
      </c>
      <c r="K189" s="5">
        <f>+$C189*BJ189</f>
        <v>1436.1776365694991</v>
      </c>
      <c r="L189" s="5">
        <f>+$C189*BK189</f>
        <v>2128.846308638937</v>
      </c>
      <c r="M189" s="5">
        <f>+$C189*BL189</f>
        <v>1853.9514728258794</v>
      </c>
      <c r="N189" s="5">
        <f>+$C189*BM189</f>
        <v>1892.9547298026791</v>
      </c>
      <c r="O189" s="5">
        <f>+$C189*BN189</f>
        <v>1848.8889841418904</v>
      </c>
      <c r="P189" s="5">
        <v>50000</v>
      </c>
      <c r="Q189" s="5">
        <f>+$P189*BC189</f>
        <v>4459.0782974371123</v>
      </c>
      <c r="R189" s="5">
        <f>+$P189*BD189</f>
        <v>5332.6389417225992</v>
      </c>
      <c r="S189" s="5">
        <f>+$P189*BE189</f>
        <v>4719.4245424273822</v>
      </c>
      <c r="T189" s="5">
        <f>+$P189*BF189</f>
        <v>3574.7824934275245</v>
      </c>
      <c r="U189" s="5">
        <f>+$P189*BG189</f>
        <v>5184.2859052683816</v>
      </c>
      <c r="V189" s="5">
        <f>+$P189*BH189</f>
        <v>4248.5165476272323</v>
      </c>
      <c r="W189" s="5">
        <f>+$P189*BI189</f>
        <v>4229.6939438631352</v>
      </c>
      <c r="X189" s="5">
        <f>+$P189*BJ189</f>
        <v>2872.3552731389982</v>
      </c>
      <c r="Y189" s="5">
        <f>+$P189*BK189</f>
        <v>4257.692617277874</v>
      </c>
      <c r="Z189" s="5">
        <f>+$P189*BL189</f>
        <v>3707.9029456517587</v>
      </c>
      <c r="AA189" s="5">
        <f>+$P189*BM189</f>
        <v>3785.9094596053583</v>
      </c>
      <c r="AB189" s="5">
        <f>+$P189*BN189</f>
        <v>3697.7779682837809</v>
      </c>
      <c r="AC189" s="5">
        <v>0</v>
      </c>
      <c r="AD189" s="5">
        <f>+$AC189*BC189</f>
        <v>0</v>
      </c>
      <c r="AE189" s="5">
        <f>+$AC189*BD189</f>
        <v>0</v>
      </c>
      <c r="AF189" s="5">
        <f>+$AC189*BE189</f>
        <v>0</v>
      </c>
      <c r="AG189" s="5">
        <f>+$AC189*BF189</f>
        <v>0</v>
      </c>
      <c r="AH189" s="5">
        <f>+$AC189*BG189</f>
        <v>0</v>
      </c>
      <c r="AI189" s="5">
        <f>+$AC189*BH189</f>
        <v>0</v>
      </c>
      <c r="AJ189" s="5">
        <f>+$AC189*BI189</f>
        <v>0</v>
      </c>
      <c r="AK189" s="5">
        <f>+$AC189*BJ189</f>
        <v>0</v>
      </c>
      <c r="AL189" s="5">
        <f>+$AC189*BK189</f>
        <v>0</v>
      </c>
      <c r="AM189" s="5">
        <f>+$AC189*BL189</f>
        <v>0</v>
      </c>
      <c r="AN189" s="5">
        <f>+$AC189*BM189</f>
        <v>0</v>
      </c>
      <c r="AO189" s="5">
        <f>+$AC189*BN189</f>
        <v>0</v>
      </c>
      <c r="AP189" s="5">
        <f>+AC189+P189+C189</f>
        <v>75000</v>
      </c>
      <c r="AQ189" s="1">
        <v>535.08939569245342</v>
      </c>
      <c r="AR189" s="1">
        <v>639.9166730067119</v>
      </c>
      <c r="AS189" s="1">
        <v>566.3309450912858</v>
      </c>
      <c r="AT189" s="1">
        <v>428.97389921130292</v>
      </c>
      <c r="AU189" s="1">
        <v>622.11430863220573</v>
      </c>
      <c r="AV189" s="1">
        <v>509.82198571526783</v>
      </c>
      <c r="AW189" s="1">
        <v>507.56327326357621</v>
      </c>
      <c r="AX189" s="1">
        <v>344.68263277667978</v>
      </c>
      <c r="AY189" s="1">
        <v>510.92311407334483</v>
      </c>
      <c r="AZ189" s="1">
        <v>444.94835347821106</v>
      </c>
      <c r="BA189" s="1">
        <v>454.30913515264302</v>
      </c>
      <c r="BB189" s="1">
        <v>443.73335619405373</v>
      </c>
      <c r="BC189" s="2">
        <v>8.9181565948742242E-2</v>
      </c>
      <c r="BD189" s="2">
        <v>0.10665277883445198</v>
      </c>
      <c r="BE189" s="2">
        <v>9.438849084854764E-2</v>
      </c>
      <c r="BF189" s="2">
        <v>7.149564986855049E-2</v>
      </c>
      <c r="BG189" s="2">
        <v>0.10368571810536763</v>
      </c>
      <c r="BH189" s="2">
        <v>8.4970330952544637E-2</v>
      </c>
      <c r="BI189" s="2">
        <v>8.4593878877262704E-2</v>
      </c>
      <c r="BJ189" s="2">
        <v>5.7447105462779965E-2</v>
      </c>
      <c r="BK189" s="2">
        <v>8.5153852345557474E-2</v>
      </c>
      <c r="BL189" s="2">
        <v>7.4158058913035174E-2</v>
      </c>
      <c r="BM189" s="2">
        <v>7.5718189192107169E-2</v>
      </c>
      <c r="BN189" s="2">
        <v>7.3955559365675619E-2</v>
      </c>
    </row>
    <row r="190" spans="1:66" x14ac:dyDescent="0.25">
      <c r="A190" s="8">
        <v>3219</v>
      </c>
      <c r="B190" s="8" t="s">
        <v>806</v>
      </c>
      <c r="C190" s="5">
        <v>0</v>
      </c>
      <c r="D190" s="5">
        <f>+$C190*BC190</f>
        <v>0</v>
      </c>
      <c r="E190" s="5">
        <f>+$C190*BD190</f>
        <v>0</v>
      </c>
      <c r="F190" s="5">
        <f>+$C190*BE190</f>
        <v>0</v>
      </c>
      <c r="G190" s="5">
        <f>+$C190*BF190</f>
        <v>0</v>
      </c>
      <c r="H190" s="5">
        <f>+$C190*BG190</f>
        <v>0</v>
      </c>
      <c r="I190" s="5">
        <f>+$C190*BH190</f>
        <v>0</v>
      </c>
      <c r="J190" s="5">
        <f>+$C190*BI190</f>
        <v>0</v>
      </c>
      <c r="K190" s="5">
        <f>+$C190*BJ190</f>
        <v>0</v>
      </c>
      <c r="L190" s="5">
        <f>+$C190*BK190</f>
        <v>0</v>
      </c>
      <c r="M190" s="5">
        <f>+$C190*BL190</f>
        <v>0</v>
      </c>
      <c r="N190" s="5">
        <f>+$C190*BM190</f>
        <v>0</v>
      </c>
      <c r="O190" s="5">
        <f>+$C190*BN190</f>
        <v>0</v>
      </c>
      <c r="P190" s="5">
        <v>15000</v>
      </c>
      <c r="Q190" s="5">
        <f>+$P190*BC190</f>
        <v>1337.7234892311337</v>
      </c>
      <c r="R190" s="5">
        <f>+$P190*BD190</f>
        <v>1599.7916825167797</v>
      </c>
      <c r="S190" s="5">
        <f>+$P190*BE190</f>
        <v>1415.8273627282147</v>
      </c>
      <c r="T190" s="5">
        <f>+$P190*BF190</f>
        <v>1072.4347480282574</v>
      </c>
      <c r="U190" s="5">
        <f>+$P190*BG190</f>
        <v>1555.2857715805144</v>
      </c>
      <c r="V190" s="5">
        <f>+$P190*BH190</f>
        <v>1274.5549642881695</v>
      </c>
      <c r="W190" s="5">
        <f>+$P190*BI190</f>
        <v>1268.9081831589406</v>
      </c>
      <c r="X190" s="5">
        <f>+$P190*BJ190</f>
        <v>861.70658194169948</v>
      </c>
      <c r="Y190" s="5">
        <f>+$P190*BK190</f>
        <v>1277.3077851833621</v>
      </c>
      <c r="Z190" s="5">
        <f>+$P190*BL190</f>
        <v>1112.3708836955277</v>
      </c>
      <c r="AA190" s="5">
        <f>+$P190*BM190</f>
        <v>1135.7728378816075</v>
      </c>
      <c r="AB190" s="5">
        <f>+$P190*BN190</f>
        <v>1109.3333904851343</v>
      </c>
      <c r="AC190" s="5">
        <v>0</v>
      </c>
      <c r="AD190" s="5">
        <f>+$AC190*BC190</f>
        <v>0</v>
      </c>
      <c r="AE190" s="5">
        <f>+$AC190*BD190</f>
        <v>0</v>
      </c>
      <c r="AF190" s="5">
        <f>+$AC190*BE190</f>
        <v>0</v>
      </c>
      <c r="AG190" s="5">
        <f>+$AC190*BF190</f>
        <v>0</v>
      </c>
      <c r="AH190" s="5">
        <f>+$AC190*BG190</f>
        <v>0</v>
      </c>
      <c r="AI190" s="5">
        <f>+$AC190*BH190</f>
        <v>0</v>
      </c>
      <c r="AJ190" s="5">
        <f>+$AC190*BI190</f>
        <v>0</v>
      </c>
      <c r="AK190" s="5">
        <f>+$AC190*BJ190</f>
        <v>0</v>
      </c>
      <c r="AL190" s="5">
        <f>+$AC190*BK190</f>
        <v>0</v>
      </c>
      <c r="AM190" s="5">
        <f>+$AC190*BL190</f>
        <v>0</v>
      </c>
      <c r="AN190" s="5">
        <f>+$AC190*BM190</f>
        <v>0</v>
      </c>
      <c r="AO190" s="5">
        <f>+$AC190*BN190</f>
        <v>0</v>
      </c>
      <c r="AP190" s="5">
        <f>+AC190+P190+C190</f>
        <v>15000</v>
      </c>
      <c r="AQ190" s="1">
        <v>535.08939569245342</v>
      </c>
      <c r="AR190" s="1">
        <v>639.9166730067119</v>
      </c>
      <c r="AS190" s="1">
        <v>566.3309450912858</v>
      </c>
      <c r="AT190" s="1">
        <v>428.97389921130292</v>
      </c>
      <c r="AU190" s="1">
        <v>622.11430863220573</v>
      </c>
      <c r="AV190" s="1">
        <v>509.82198571526783</v>
      </c>
      <c r="AW190" s="1">
        <v>507.56327326357621</v>
      </c>
      <c r="AX190" s="1">
        <v>344.68263277667978</v>
      </c>
      <c r="AY190" s="1">
        <v>510.92311407334483</v>
      </c>
      <c r="AZ190" s="1">
        <v>444.94835347821106</v>
      </c>
      <c r="BA190" s="1">
        <v>454.30913515264302</v>
      </c>
      <c r="BB190" s="1">
        <v>443.73335619405373</v>
      </c>
      <c r="BC190" s="2">
        <v>8.9181565948742242E-2</v>
      </c>
      <c r="BD190" s="2">
        <v>0.10665277883445198</v>
      </c>
      <c r="BE190" s="2">
        <v>9.438849084854764E-2</v>
      </c>
      <c r="BF190" s="2">
        <v>7.149564986855049E-2</v>
      </c>
      <c r="BG190" s="2">
        <v>0.10368571810536763</v>
      </c>
      <c r="BH190" s="2">
        <v>8.4970330952544637E-2</v>
      </c>
      <c r="BI190" s="2">
        <v>8.4593878877262704E-2</v>
      </c>
      <c r="BJ190" s="2">
        <v>5.7447105462779965E-2</v>
      </c>
      <c r="BK190" s="2">
        <v>8.5153852345557474E-2</v>
      </c>
      <c r="BL190" s="2">
        <v>7.4158058913035174E-2</v>
      </c>
      <c r="BM190" s="2">
        <v>7.5718189192107169E-2</v>
      </c>
      <c r="BN190" s="2">
        <v>7.3955559365675619E-2</v>
      </c>
    </row>
    <row r="191" spans="1:66" x14ac:dyDescent="0.25">
      <c r="A191" s="8">
        <v>3847</v>
      </c>
      <c r="B191" s="8" t="s">
        <v>805</v>
      </c>
      <c r="C191" s="5">
        <v>0</v>
      </c>
      <c r="D191" s="5">
        <f>+$C191*BC191</f>
        <v>0</v>
      </c>
      <c r="E191" s="5">
        <f>+$C191*BD191</f>
        <v>0</v>
      </c>
      <c r="F191" s="5">
        <f>+$C191*BE191</f>
        <v>0</v>
      </c>
      <c r="G191" s="5">
        <f>+$C191*BF191</f>
        <v>0</v>
      </c>
      <c r="H191" s="5">
        <f>+$C191*BG191</f>
        <v>0</v>
      </c>
      <c r="I191" s="5">
        <f>+$C191*BH191</f>
        <v>0</v>
      </c>
      <c r="J191" s="5">
        <f>+$C191*BI191</f>
        <v>0</v>
      </c>
      <c r="K191" s="5">
        <f>+$C191*BJ191</f>
        <v>0</v>
      </c>
      <c r="L191" s="5">
        <f>+$C191*BK191</f>
        <v>0</v>
      </c>
      <c r="M191" s="5">
        <f>+$C191*BL191</f>
        <v>0</v>
      </c>
      <c r="N191" s="5">
        <f>+$C191*BM191</f>
        <v>0</v>
      </c>
      <c r="O191" s="5">
        <f>+$C191*BN191</f>
        <v>0</v>
      </c>
      <c r="P191" s="5">
        <v>2000</v>
      </c>
      <c r="Q191" s="5">
        <f>+$P191*BC191</f>
        <v>178.36313189748449</v>
      </c>
      <c r="R191" s="5">
        <f>+$P191*BD191</f>
        <v>213.30555766890396</v>
      </c>
      <c r="S191" s="5">
        <f>+$P191*BE191</f>
        <v>188.77698169709529</v>
      </c>
      <c r="T191" s="5">
        <f>+$P191*BF191</f>
        <v>142.99129973710097</v>
      </c>
      <c r="U191" s="5">
        <f>+$P191*BG191</f>
        <v>207.37143621073525</v>
      </c>
      <c r="V191" s="5">
        <f>+$P191*BH191</f>
        <v>169.94066190508929</v>
      </c>
      <c r="W191" s="5">
        <f>+$P191*BI191</f>
        <v>169.18775775452542</v>
      </c>
      <c r="X191" s="5">
        <f>+$P191*BJ191</f>
        <v>114.89421092555993</v>
      </c>
      <c r="Y191" s="5">
        <f>+$P191*BK191</f>
        <v>170.30770469111494</v>
      </c>
      <c r="Z191" s="5">
        <f>+$P191*BL191</f>
        <v>148.31611782607035</v>
      </c>
      <c r="AA191" s="5">
        <f>+$P191*BM191</f>
        <v>151.43637838421435</v>
      </c>
      <c r="AB191" s="5">
        <f>+$P191*BN191</f>
        <v>147.91111873135125</v>
      </c>
      <c r="AC191" s="5">
        <v>0</v>
      </c>
      <c r="AD191" s="5">
        <f>+$AC191*BC191</f>
        <v>0</v>
      </c>
      <c r="AE191" s="5">
        <f>+$AC191*BD191</f>
        <v>0</v>
      </c>
      <c r="AF191" s="5">
        <f>+$AC191*BE191</f>
        <v>0</v>
      </c>
      <c r="AG191" s="5">
        <f>+$AC191*BF191</f>
        <v>0</v>
      </c>
      <c r="AH191" s="5">
        <f>+$AC191*BG191</f>
        <v>0</v>
      </c>
      <c r="AI191" s="5">
        <f>+$AC191*BH191</f>
        <v>0</v>
      </c>
      <c r="AJ191" s="5">
        <f>+$AC191*BI191</f>
        <v>0</v>
      </c>
      <c r="AK191" s="5">
        <f>+$AC191*BJ191</f>
        <v>0</v>
      </c>
      <c r="AL191" s="5">
        <f>+$AC191*BK191</f>
        <v>0</v>
      </c>
      <c r="AM191" s="5">
        <f>+$AC191*BL191</f>
        <v>0</v>
      </c>
      <c r="AN191" s="5">
        <f>+$AC191*BM191</f>
        <v>0</v>
      </c>
      <c r="AO191" s="5">
        <f>+$AC191*BN191</f>
        <v>0</v>
      </c>
      <c r="AP191" s="5">
        <f>+AC191+P191+C191</f>
        <v>2000</v>
      </c>
      <c r="AQ191" s="1">
        <v>535.08939569245342</v>
      </c>
      <c r="AR191" s="1">
        <v>639.9166730067119</v>
      </c>
      <c r="AS191" s="1">
        <v>566.3309450912858</v>
      </c>
      <c r="AT191" s="1">
        <v>428.97389921130292</v>
      </c>
      <c r="AU191" s="1">
        <v>622.11430863220573</v>
      </c>
      <c r="AV191" s="1">
        <v>509.82198571526783</v>
      </c>
      <c r="AW191" s="1">
        <v>507.56327326357621</v>
      </c>
      <c r="AX191" s="1">
        <v>344.68263277667978</v>
      </c>
      <c r="AY191" s="1">
        <v>510.92311407334483</v>
      </c>
      <c r="AZ191" s="1">
        <v>444.94835347821106</v>
      </c>
      <c r="BA191" s="1">
        <v>454.30913515264302</v>
      </c>
      <c r="BB191" s="1">
        <v>443.73335619405373</v>
      </c>
      <c r="BC191" s="2">
        <v>8.9181565948742242E-2</v>
      </c>
      <c r="BD191" s="2">
        <v>0.10665277883445198</v>
      </c>
      <c r="BE191" s="2">
        <v>9.438849084854764E-2</v>
      </c>
      <c r="BF191" s="2">
        <v>7.149564986855049E-2</v>
      </c>
      <c r="BG191" s="2">
        <v>0.10368571810536763</v>
      </c>
      <c r="BH191" s="2">
        <v>8.4970330952544637E-2</v>
      </c>
      <c r="BI191" s="2">
        <v>8.4593878877262704E-2</v>
      </c>
      <c r="BJ191" s="2">
        <v>5.7447105462779965E-2</v>
      </c>
      <c r="BK191" s="2">
        <v>8.5153852345557474E-2</v>
      </c>
      <c r="BL191" s="2">
        <v>7.4158058913035174E-2</v>
      </c>
      <c r="BM191" s="2">
        <v>7.5718189192107169E-2</v>
      </c>
      <c r="BN191" s="2">
        <v>7.3955559365675619E-2</v>
      </c>
    </row>
    <row r="192" spans="1:66" x14ac:dyDescent="0.25">
      <c r="A192" s="8">
        <v>4166</v>
      </c>
      <c r="B192" s="8" t="s">
        <v>804</v>
      </c>
      <c r="C192" s="5">
        <v>2000</v>
      </c>
      <c r="D192" s="5">
        <f>+$C192*BC192</f>
        <v>178.36313189748449</v>
      </c>
      <c r="E192" s="5">
        <f>+$C192*BD192</f>
        <v>213.30555766890396</v>
      </c>
      <c r="F192" s="5">
        <f>+$C192*BE192</f>
        <v>188.77698169709529</v>
      </c>
      <c r="G192" s="5">
        <f>+$C192*BF192</f>
        <v>142.99129973710097</v>
      </c>
      <c r="H192" s="5">
        <f>+$C192*BG192</f>
        <v>207.37143621073525</v>
      </c>
      <c r="I192" s="5">
        <f>+$C192*BH192</f>
        <v>169.94066190508929</v>
      </c>
      <c r="J192" s="5">
        <f>+$C192*BI192</f>
        <v>169.18775775452542</v>
      </c>
      <c r="K192" s="5">
        <f>+$C192*BJ192</f>
        <v>114.89421092555993</v>
      </c>
      <c r="L192" s="5">
        <f>+$C192*BK192</f>
        <v>170.30770469111494</v>
      </c>
      <c r="M192" s="5">
        <f>+$C192*BL192</f>
        <v>148.31611782607035</v>
      </c>
      <c r="N192" s="5">
        <f>+$C192*BM192</f>
        <v>151.43637838421435</v>
      </c>
      <c r="O192" s="5">
        <f>+$C192*BN192</f>
        <v>147.91111873135125</v>
      </c>
      <c r="P192" s="5">
        <v>0</v>
      </c>
      <c r="Q192" s="5">
        <f>+$P192*BC192</f>
        <v>0</v>
      </c>
      <c r="R192" s="5">
        <f>+$P192*BD192</f>
        <v>0</v>
      </c>
      <c r="S192" s="5">
        <f>+$P192*BE192</f>
        <v>0</v>
      </c>
      <c r="T192" s="5">
        <f>+$P192*BF192</f>
        <v>0</v>
      </c>
      <c r="U192" s="5">
        <f>+$P192*BG192</f>
        <v>0</v>
      </c>
      <c r="V192" s="5">
        <f>+$P192*BH192</f>
        <v>0</v>
      </c>
      <c r="W192" s="5">
        <f>+$P192*BI192</f>
        <v>0</v>
      </c>
      <c r="X192" s="5">
        <f>+$P192*BJ192</f>
        <v>0</v>
      </c>
      <c r="Y192" s="5">
        <f>+$P192*BK192</f>
        <v>0</v>
      </c>
      <c r="Z192" s="5">
        <f>+$P192*BL192</f>
        <v>0</v>
      </c>
      <c r="AA192" s="5">
        <f>+$P192*BM192</f>
        <v>0</v>
      </c>
      <c r="AB192" s="5">
        <f>+$P192*BN192</f>
        <v>0</v>
      </c>
      <c r="AC192" s="5">
        <v>6500</v>
      </c>
      <c r="AD192" s="5">
        <f>+$AC192*BC192</f>
        <v>579.68017866682453</v>
      </c>
      <c r="AE192" s="5">
        <f>+$AC192*BD192</f>
        <v>693.24306242393789</v>
      </c>
      <c r="AF192" s="5">
        <f>+$AC192*BE192</f>
        <v>613.52519051555964</v>
      </c>
      <c r="AG192" s="5">
        <f>+$AC192*BF192</f>
        <v>464.72172414557821</v>
      </c>
      <c r="AH192" s="5">
        <f>+$AC192*BG192</f>
        <v>673.95716768488955</v>
      </c>
      <c r="AI192" s="5">
        <f>+$AC192*BH192</f>
        <v>552.30715119154013</v>
      </c>
      <c r="AJ192" s="5">
        <f>+$AC192*BI192</f>
        <v>549.8602127022076</v>
      </c>
      <c r="AK192" s="5">
        <f>+$AC192*BJ192</f>
        <v>373.40618550806977</v>
      </c>
      <c r="AL192" s="5">
        <f>+$AC192*BK192</f>
        <v>553.5000402461236</v>
      </c>
      <c r="AM192" s="5">
        <f>+$AC192*BL192</f>
        <v>482.02738293472862</v>
      </c>
      <c r="AN192" s="5">
        <f>+$AC192*BM192</f>
        <v>492.1682297486966</v>
      </c>
      <c r="AO192" s="5">
        <f>+$AC192*BN192</f>
        <v>480.71113587689155</v>
      </c>
      <c r="AP192" s="5">
        <f>+AC192+P192+C192</f>
        <v>8500</v>
      </c>
      <c r="AQ192" s="1">
        <v>535.08939569245342</v>
      </c>
      <c r="AR192" s="1">
        <v>639.9166730067119</v>
      </c>
      <c r="AS192" s="1">
        <v>566.3309450912858</v>
      </c>
      <c r="AT192" s="1">
        <v>428.97389921130292</v>
      </c>
      <c r="AU192" s="1">
        <v>622.11430863220573</v>
      </c>
      <c r="AV192" s="1">
        <v>509.82198571526783</v>
      </c>
      <c r="AW192" s="1">
        <v>507.56327326357621</v>
      </c>
      <c r="AX192" s="1">
        <v>344.68263277667978</v>
      </c>
      <c r="AY192" s="1">
        <v>510.92311407334483</v>
      </c>
      <c r="AZ192" s="1">
        <v>444.94835347821106</v>
      </c>
      <c r="BA192" s="1">
        <v>454.30913515264302</v>
      </c>
      <c r="BB192" s="1">
        <v>443.73335619405373</v>
      </c>
      <c r="BC192" s="2">
        <v>8.9181565948742242E-2</v>
      </c>
      <c r="BD192" s="2">
        <v>0.10665277883445198</v>
      </c>
      <c r="BE192" s="2">
        <v>9.438849084854764E-2</v>
      </c>
      <c r="BF192" s="2">
        <v>7.149564986855049E-2</v>
      </c>
      <c r="BG192" s="2">
        <v>0.10368571810536763</v>
      </c>
      <c r="BH192" s="2">
        <v>8.4970330952544637E-2</v>
      </c>
      <c r="BI192" s="2">
        <v>8.4593878877262704E-2</v>
      </c>
      <c r="BJ192" s="2">
        <v>5.7447105462779965E-2</v>
      </c>
      <c r="BK192" s="2">
        <v>8.5153852345557474E-2</v>
      </c>
      <c r="BL192" s="2">
        <v>7.4158058913035174E-2</v>
      </c>
      <c r="BM192" s="2">
        <v>7.5718189192107169E-2</v>
      </c>
      <c r="BN192" s="2">
        <v>7.3955559365675619E-2</v>
      </c>
    </row>
    <row r="193" spans="1:66" x14ac:dyDescent="0.25">
      <c r="A193" s="8">
        <v>4185</v>
      </c>
      <c r="B193" s="8" t="s">
        <v>803</v>
      </c>
      <c r="C193" s="5">
        <v>6000</v>
      </c>
      <c r="D193" s="5">
        <f>+$C193*BC193</f>
        <v>535.08939569245342</v>
      </c>
      <c r="E193" s="5">
        <f>+$C193*BD193</f>
        <v>639.9166730067119</v>
      </c>
      <c r="F193" s="5">
        <f>+$C193*BE193</f>
        <v>566.3309450912858</v>
      </c>
      <c r="G193" s="5">
        <f>+$C193*BF193</f>
        <v>428.97389921130292</v>
      </c>
      <c r="H193" s="5">
        <f>+$C193*BG193</f>
        <v>622.11430863220573</v>
      </c>
      <c r="I193" s="5">
        <f>+$C193*BH193</f>
        <v>509.82198571526783</v>
      </c>
      <c r="J193" s="5">
        <f>+$C193*BI193</f>
        <v>507.56327326357621</v>
      </c>
      <c r="K193" s="5">
        <f>+$C193*BJ193</f>
        <v>344.68263277667978</v>
      </c>
      <c r="L193" s="5">
        <f>+$C193*BK193</f>
        <v>510.92311407334483</v>
      </c>
      <c r="M193" s="5">
        <f>+$C193*BL193</f>
        <v>444.94835347821106</v>
      </c>
      <c r="N193" s="5">
        <f>+$C193*BM193</f>
        <v>454.30913515264302</v>
      </c>
      <c r="O193" s="5">
        <f>+$C193*BN193</f>
        <v>443.73335619405373</v>
      </c>
      <c r="P193" s="5">
        <v>0</v>
      </c>
      <c r="Q193" s="5">
        <f>+$P193*BC193</f>
        <v>0</v>
      </c>
      <c r="R193" s="5">
        <f>+$P193*BD193</f>
        <v>0</v>
      </c>
      <c r="S193" s="5">
        <f>+$P193*BE193</f>
        <v>0</v>
      </c>
      <c r="T193" s="5">
        <f>+$P193*BF193</f>
        <v>0</v>
      </c>
      <c r="U193" s="5">
        <f>+$P193*BG193</f>
        <v>0</v>
      </c>
      <c r="V193" s="5">
        <f>+$P193*BH193</f>
        <v>0</v>
      </c>
      <c r="W193" s="5">
        <f>+$P193*BI193</f>
        <v>0</v>
      </c>
      <c r="X193" s="5">
        <f>+$P193*BJ193</f>
        <v>0</v>
      </c>
      <c r="Y193" s="5">
        <f>+$P193*BK193</f>
        <v>0</v>
      </c>
      <c r="Z193" s="5">
        <f>+$P193*BL193</f>
        <v>0</v>
      </c>
      <c r="AA193" s="5">
        <f>+$P193*BM193</f>
        <v>0</v>
      </c>
      <c r="AB193" s="5">
        <f>+$P193*BN193</f>
        <v>0</v>
      </c>
      <c r="AC193" s="5">
        <v>0</v>
      </c>
      <c r="AD193" s="5">
        <f>+$AC193*BC193</f>
        <v>0</v>
      </c>
      <c r="AE193" s="5">
        <f>+$AC193*BD193</f>
        <v>0</v>
      </c>
      <c r="AF193" s="5">
        <f>+$AC193*BE193</f>
        <v>0</v>
      </c>
      <c r="AG193" s="5">
        <f>+$AC193*BF193</f>
        <v>0</v>
      </c>
      <c r="AH193" s="5">
        <f>+$AC193*BG193</f>
        <v>0</v>
      </c>
      <c r="AI193" s="5">
        <f>+$AC193*BH193</f>
        <v>0</v>
      </c>
      <c r="AJ193" s="5">
        <f>+$AC193*BI193</f>
        <v>0</v>
      </c>
      <c r="AK193" s="5">
        <f>+$AC193*BJ193</f>
        <v>0</v>
      </c>
      <c r="AL193" s="5">
        <f>+$AC193*BK193</f>
        <v>0</v>
      </c>
      <c r="AM193" s="5">
        <f>+$AC193*BL193</f>
        <v>0</v>
      </c>
      <c r="AN193" s="5">
        <f>+$AC193*BM193</f>
        <v>0</v>
      </c>
      <c r="AO193" s="5">
        <f>+$AC193*BN193</f>
        <v>0</v>
      </c>
      <c r="AP193" s="5">
        <f>+AC193+P193+C193</f>
        <v>6000</v>
      </c>
      <c r="AQ193" s="1">
        <v>535.08939569245342</v>
      </c>
      <c r="AR193" s="1">
        <v>639.9166730067119</v>
      </c>
      <c r="AS193" s="1">
        <v>566.3309450912858</v>
      </c>
      <c r="AT193" s="1">
        <v>428.97389921130292</v>
      </c>
      <c r="AU193" s="1">
        <v>622.11430863220573</v>
      </c>
      <c r="AV193" s="1">
        <v>509.82198571526783</v>
      </c>
      <c r="AW193" s="1">
        <v>507.56327326357621</v>
      </c>
      <c r="AX193" s="1">
        <v>344.68263277667978</v>
      </c>
      <c r="AY193" s="1">
        <v>510.92311407334483</v>
      </c>
      <c r="AZ193" s="1">
        <v>444.94835347821106</v>
      </c>
      <c r="BA193" s="1">
        <v>454.30913515264302</v>
      </c>
      <c r="BB193" s="1">
        <v>443.73335619405373</v>
      </c>
      <c r="BC193" s="2">
        <v>8.9181565948742242E-2</v>
      </c>
      <c r="BD193" s="2">
        <v>0.10665277883445198</v>
      </c>
      <c r="BE193" s="2">
        <v>9.438849084854764E-2</v>
      </c>
      <c r="BF193" s="2">
        <v>7.149564986855049E-2</v>
      </c>
      <c r="BG193" s="2">
        <v>0.10368571810536763</v>
      </c>
      <c r="BH193" s="2">
        <v>8.4970330952544637E-2</v>
      </c>
      <c r="BI193" s="2">
        <v>8.4593878877262704E-2</v>
      </c>
      <c r="BJ193" s="2">
        <v>5.7447105462779965E-2</v>
      </c>
      <c r="BK193" s="2">
        <v>8.5153852345557474E-2</v>
      </c>
      <c r="BL193" s="2">
        <v>7.4158058913035174E-2</v>
      </c>
      <c r="BM193" s="2">
        <v>7.5718189192107169E-2</v>
      </c>
      <c r="BN193" s="2">
        <v>7.3955559365675619E-2</v>
      </c>
    </row>
    <row r="194" spans="1:66" x14ac:dyDescent="0.25">
      <c r="A194" s="8">
        <v>4198</v>
      </c>
      <c r="B194" s="8" t="s">
        <v>802</v>
      </c>
      <c r="C194" s="5">
        <v>6000</v>
      </c>
      <c r="D194" s="5">
        <f>+$C194*BC194</f>
        <v>535.08939569245342</v>
      </c>
      <c r="E194" s="5">
        <f>+$C194*BD194</f>
        <v>639.9166730067119</v>
      </c>
      <c r="F194" s="5">
        <f>+$C194*BE194</f>
        <v>566.3309450912858</v>
      </c>
      <c r="G194" s="5">
        <f>+$C194*BF194</f>
        <v>428.97389921130292</v>
      </c>
      <c r="H194" s="5">
        <f>+$C194*BG194</f>
        <v>622.11430863220573</v>
      </c>
      <c r="I194" s="5">
        <f>+$C194*BH194</f>
        <v>509.82198571526783</v>
      </c>
      <c r="J194" s="5">
        <f>+$C194*BI194</f>
        <v>507.56327326357621</v>
      </c>
      <c r="K194" s="5">
        <f>+$C194*BJ194</f>
        <v>344.68263277667978</v>
      </c>
      <c r="L194" s="5">
        <f>+$C194*BK194</f>
        <v>510.92311407334483</v>
      </c>
      <c r="M194" s="5">
        <f>+$C194*BL194</f>
        <v>444.94835347821106</v>
      </c>
      <c r="N194" s="5">
        <f>+$C194*BM194</f>
        <v>454.30913515264302</v>
      </c>
      <c r="O194" s="5">
        <f>+$C194*BN194</f>
        <v>443.73335619405373</v>
      </c>
      <c r="P194" s="5">
        <v>0</v>
      </c>
      <c r="Q194" s="5">
        <f>+$P194*BC194</f>
        <v>0</v>
      </c>
      <c r="R194" s="5">
        <f>+$P194*BD194</f>
        <v>0</v>
      </c>
      <c r="S194" s="5">
        <f>+$P194*BE194</f>
        <v>0</v>
      </c>
      <c r="T194" s="5">
        <f>+$P194*BF194</f>
        <v>0</v>
      </c>
      <c r="U194" s="5">
        <f>+$P194*BG194</f>
        <v>0</v>
      </c>
      <c r="V194" s="5">
        <f>+$P194*BH194</f>
        <v>0</v>
      </c>
      <c r="W194" s="5">
        <f>+$P194*BI194</f>
        <v>0</v>
      </c>
      <c r="X194" s="5">
        <f>+$P194*BJ194</f>
        <v>0</v>
      </c>
      <c r="Y194" s="5">
        <f>+$P194*BK194</f>
        <v>0</v>
      </c>
      <c r="Z194" s="5">
        <f>+$P194*BL194</f>
        <v>0</v>
      </c>
      <c r="AA194" s="5">
        <f>+$P194*BM194</f>
        <v>0</v>
      </c>
      <c r="AB194" s="5">
        <f>+$P194*BN194</f>
        <v>0</v>
      </c>
      <c r="AC194" s="5">
        <v>0</v>
      </c>
      <c r="AD194" s="5">
        <f>+$AC194*BC194</f>
        <v>0</v>
      </c>
      <c r="AE194" s="5">
        <f>+$AC194*BD194</f>
        <v>0</v>
      </c>
      <c r="AF194" s="5">
        <f>+$AC194*BE194</f>
        <v>0</v>
      </c>
      <c r="AG194" s="5">
        <f>+$AC194*BF194</f>
        <v>0</v>
      </c>
      <c r="AH194" s="5">
        <f>+$AC194*BG194</f>
        <v>0</v>
      </c>
      <c r="AI194" s="5">
        <f>+$AC194*BH194</f>
        <v>0</v>
      </c>
      <c r="AJ194" s="5">
        <f>+$AC194*BI194</f>
        <v>0</v>
      </c>
      <c r="AK194" s="5">
        <f>+$AC194*BJ194</f>
        <v>0</v>
      </c>
      <c r="AL194" s="5">
        <f>+$AC194*BK194</f>
        <v>0</v>
      </c>
      <c r="AM194" s="5">
        <f>+$AC194*BL194</f>
        <v>0</v>
      </c>
      <c r="AN194" s="5">
        <f>+$AC194*BM194</f>
        <v>0</v>
      </c>
      <c r="AO194" s="5">
        <f>+$AC194*BN194</f>
        <v>0</v>
      </c>
      <c r="AP194" s="5">
        <f>+AC194+P194+C194</f>
        <v>6000</v>
      </c>
      <c r="AQ194" s="1">
        <v>535.08939569245342</v>
      </c>
      <c r="AR194" s="1">
        <v>639.9166730067119</v>
      </c>
      <c r="AS194" s="1">
        <v>566.3309450912858</v>
      </c>
      <c r="AT194" s="1">
        <v>428.97389921130292</v>
      </c>
      <c r="AU194" s="1">
        <v>622.11430863220573</v>
      </c>
      <c r="AV194" s="1">
        <v>509.82198571526783</v>
      </c>
      <c r="AW194" s="1">
        <v>507.56327326357621</v>
      </c>
      <c r="AX194" s="1">
        <v>344.68263277667978</v>
      </c>
      <c r="AY194" s="1">
        <v>510.92311407334483</v>
      </c>
      <c r="AZ194" s="1">
        <v>444.94835347821106</v>
      </c>
      <c r="BA194" s="1">
        <v>454.30913515264302</v>
      </c>
      <c r="BB194" s="1">
        <v>443.73335619405373</v>
      </c>
      <c r="BC194" s="2">
        <v>8.9181565948742242E-2</v>
      </c>
      <c r="BD194" s="2">
        <v>0.10665277883445198</v>
      </c>
      <c r="BE194" s="2">
        <v>9.438849084854764E-2</v>
      </c>
      <c r="BF194" s="2">
        <v>7.149564986855049E-2</v>
      </c>
      <c r="BG194" s="2">
        <v>0.10368571810536763</v>
      </c>
      <c r="BH194" s="2">
        <v>8.4970330952544637E-2</v>
      </c>
      <c r="BI194" s="2">
        <v>8.4593878877262704E-2</v>
      </c>
      <c r="BJ194" s="2">
        <v>5.7447105462779965E-2</v>
      </c>
      <c r="BK194" s="2">
        <v>8.5153852345557474E-2</v>
      </c>
      <c r="BL194" s="2">
        <v>7.4158058913035174E-2</v>
      </c>
      <c r="BM194" s="2">
        <v>7.5718189192107169E-2</v>
      </c>
      <c r="BN194" s="2">
        <v>7.3955559365675619E-2</v>
      </c>
    </row>
    <row r="195" spans="1:66" x14ac:dyDescent="0.25">
      <c r="A195" s="8">
        <v>4319</v>
      </c>
      <c r="B195" s="8" t="s">
        <v>801</v>
      </c>
      <c r="C195" s="5">
        <v>0</v>
      </c>
      <c r="D195" s="5">
        <f>+$C195*BC195</f>
        <v>0</v>
      </c>
      <c r="E195" s="5">
        <f>+$C195*BD195</f>
        <v>0</v>
      </c>
      <c r="F195" s="5">
        <f>+$C195*BE195</f>
        <v>0</v>
      </c>
      <c r="G195" s="5">
        <f>+$C195*BF195</f>
        <v>0</v>
      </c>
      <c r="H195" s="5">
        <f>+$C195*BG195</f>
        <v>0</v>
      </c>
      <c r="I195" s="5">
        <f>+$C195*BH195</f>
        <v>0</v>
      </c>
      <c r="J195" s="5">
        <f>+$C195*BI195</f>
        <v>0</v>
      </c>
      <c r="K195" s="5">
        <f>+$C195*BJ195</f>
        <v>0</v>
      </c>
      <c r="L195" s="5">
        <f>+$C195*BK195</f>
        <v>0</v>
      </c>
      <c r="M195" s="5">
        <f>+$C195*BL195</f>
        <v>0</v>
      </c>
      <c r="N195" s="5">
        <f>+$C195*BM195</f>
        <v>0</v>
      </c>
      <c r="O195" s="5">
        <f>+$C195*BN195</f>
        <v>0</v>
      </c>
      <c r="P195" s="5">
        <v>0</v>
      </c>
      <c r="Q195" s="5">
        <f>+$P195*BC195</f>
        <v>0</v>
      </c>
      <c r="R195" s="5">
        <f>+$P195*BD195</f>
        <v>0</v>
      </c>
      <c r="S195" s="5">
        <f>+$P195*BE195</f>
        <v>0</v>
      </c>
      <c r="T195" s="5">
        <f>+$P195*BF195</f>
        <v>0</v>
      </c>
      <c r="U195" s="5">
        <f>+$P195*BG195</f>
        <v>0</v>
      </c>
      <c r="V195" s="5">
        <f>+$P195*BH195</f>
        <v>0</v>
      </c>
      <c r="W195" s="5">
        <f>+$P195*BI195</f>
        <v>0</v>
      </c>
      <c r="X195" s="5">
        <f>+$P195*BJ195</f>
        <v>0</v>
      </c>
      <c r="Y195" s="5">
        <f>+$P195*BK195</f>
        <v>0</v>
      </c>
      <c r="Z195" s="5">
        <f>+$P195*BL195</f>
        <v>0</v>
      </c>
      <c r="AA195" s="5">
        <f>+$P195*BM195</f>
        <v>0</v>
      </c>
      <c r="AB195" s="5">
        <f>+$P195*BN195</f>
        <v>0</v>
      </c>
      <c r="AC195" s="5">
        <v>0</v>
      </c>
      <c r="AD195" s="5">
        <f>+$AC195*BC195</f>
        <v>0</v>
      </c>
      <c r="AE195" s="5">
        <f>+$AC195*BD195</f>
        <v>0</v>
      </c>
      <c r="AF195" s="5">
        <f>+$AC195*BE195</f>
        <v>0</v>
      </c>
      <c r="AG195" s="5">
        <f>+$AC195*BF195</f>
        <v>0</v>
      </c>
      <c r="AH195" s="5">
        <f>+$AC195*BG195</f>
        <v>0</v>
      </c>
      <c r="AI195" s="5">
        <f>+$AC195*BH195</f>
        <v>0</v>
      </c>
      <c r="AJ195" s="5">
        <f>+$AC195*BI195</f>
        <v>0</v>
      </c>
      <c r="AK195" s="5">
        <f>+$AC195*BJ195</f>
        <v>0</v>
      </c>
      <c r="AL195" s="5">
        <f>+$AC195*BK195</f>
        <v>0</v>
      </c>
      <c r="AM195" s="5">
        <f>+$AC195*BL195</f>
        <v>0</v>
      </c>
      <c r="AN195" s="5">
        <f>+$AC195*BM195</f>
        <v>0</v>
      </c>
      <c r="AO195" s="5">
        <f>+$AC195*BN195</f>
        <v>0</v>
      </c>
      <c r="AP195" s="5">
        <f>+AC195+P195+C195</f>
        <v>0</v>
      </c>
      <c r="AQ195" s="1">
        <v>535.08939569245342</v>
      </c>
      <c r="AR195" s="1">
        <v>639.9166730067119</v>
      </c>
      <c r="AS195" s="1">
        <v>566.3309450912858</v>
      </c>
      <c r="AT195" s="1">
        <v>428.97389921130292</v>
      </c>
      <c r="AU195" s="1">
        <v>622.11430863220573</v>
      </c>
      <c r="AV195" s="1">
        <v>509.82198571526783</v>
      </c>
      <c r="AW195" s="1">
        <v>507.56327326357621</v>
      </c>
      <c r="AX195" s="1">
        <v>344.68263277667978</v>
      </c>
      <c r="AY195" s="1">
        <v>510.92311407334483</v>
      </c>
      <c r="AZ195" s="1">
        <v>444.94835347821106</v>
      </c>
      <c r="BA195" s="1">
        <v>454.30913515264302</v>
      </c>
      <c r="BB195" s="1">
        <v>443.73335619405373</v>
      </c>
      <c r="BC195" s="2">
        <v>8.9181565948742242E-2</v>
      </c>
      <c r="BD195" s="2">
        <v>0.10665277883445198</v>
      </c>
      <c r="BE195" s="2">
        <v>9.438849084854764E-2</v>
      </c>
      <c r="BF195" s="2">
        <v>7.149564986855049E-2</v>
      </c>
      <c r="BG195" s="2">
        <v>0.10368571810536763</v>
      </c>
      <c r="BH195" s="2">
        <v>8.4970330952544637E-2</v>
      </c>
      <c r="BI195" s="2">
        <v>8.4593878877262704E-2</v>
      </c>
      <c r="BJ195" s="2">
        <v>5.7447105462779965E-2</v>
      </c>
      <c r="BK195" s="2">
        <v>8.5153852345557474E-2</v>
      </c>
      <c r="BL195" s="2">
        <v>7.4158058913035174E-2</v>
      </c>
      <c r="BM195" s="2">
        <v>7.5718189192107169E-2</v>
      </c>
      <c r="BN195" s="2">
        <v>7.3955559365675619E-2</v>
      </c>
    </row>
    <row r="196" spans="1:66" x14ac:dyDescent="0.25">
      <c r="A196" s="8">
        <v>5074</v>
      </c>
      <c r="B196" s="8" t="s">
        <v>800</v>
      </c>
      <c r="C196" s="5">
        <v>0</v>
      </c>
      <c r="D196" s="5">
        <f>+$C196*BC196</f>
        <v>0</v>
      </c>
      <c r="E196" s="5">
        <f>+$C196*BD196</f>
        <v>0</v>
      </c>
      <c r="F196" s="5">
        <f>+$C196*BE196</f>
        <v>0</v>
      </c>
      <c r="G196" s="5">
        <f>+$C196*BF196</f>
        <v>0</v>
      </c>
      <c r="H196" s="5">
        <f>+$C196*BG196</f>
        <v>0</v>
      </c>
      <c r="I196" s="5">
        <f>+$C196*BH196</f>
        <v>0</v>
      </c>
      <c r="J196" s="5">
        <f>+$C196*BI196</f>
        <v>0</v>
      </c>
      <c r="K196" s="5">
        <f>+$C196*BJ196</f>
        <v>0</v>
      </c>
      <c r="L196" s="5">
        <f>+$C196*BK196</f>
        <v>0</v>
      </c>
      <c r="M196" s="5">
        <f>+$C196*BL196</f>
        <v>0</v>
      </c>
      <c r="N196" s="5">
        <f>+$C196*BM196</f>
        <v>0</v>
      </c>
      <c r="O196" s="5">
        <f>+$C196*BN196</f>
        <v>0</v>
      </c>
      <c r="P196" s="5">
        <v>5000</v>
      </c>
      <c r="Q196" s="5">
        <f>+$P196*BC196</f>
        <v>445.9078297437112</v>
      </c>
      <c r="R196" s="5">
        <f>+$P196*BD196</f>
        <v>533.26389417225994</v>
      </c>
      <c r="S196" s="5">
        <f>+$P196*BE196</f>
        <v>471.94245424273822</v>
      </c>
      <c r="T196" s="5">
        <f>+$P196*BF196</f>
        <v>357.47824934275246</v>
      </c>
      <c r="U196" s="5">
        <f>+$P196*BG196</f>
        <v>518.42859052683809</v>
      </c>
      <c r="V196" s="5">
        <f>+$P196*BH196</f>
        <v>424.85165476272317</v>
      </c>
      <c r="W196" s="5">
        <f>+$P196*BI196</f>
        <v>422.96939438631352</v>
      </c>
      <c r="X196" s="5">
        <f>+$P196*BJ196</f>
        <v>287.23552731389981</v>
      </c>
      <c r="Y196" s="5">
        <f>+$P196*BK196</f>
        <v>425.76926172778735</v>
      </c>
      <c r="Z196" s="5">
        <f>+$P196*BL196</f>
        <v>370.79029456517588</v>
      </c>
      <c r="AA196" s="5">
        <f>+$P196*BM196</f>
        <v>378.59094596053586</v>
      </c>
      <c r="AB196" s="5">
        <f>+$P196*BN196</f>
        <v>369.77779682837809</v>
      </c>
      <c r="AC196" s="5">
        <v>0</v>
      </c>
      <c r="AD196" s="5">
        <f>+$AC196*BC196</f>
        <v>0</v>
      </c>
      <c r="AE196" s="5">
        <f>+$AC196*BD196</f>
        <v>0</v>
      </c>
      <c r="AF196" s="5">
        <f>+$AC196*BE196</f>
        <v>0</v>
      </c>
      <c r="AG196" s="5">
        <f>+$AC196*BF196</f>
        <v>0</v>
      </c>
      <c r="AH196" s="5">
        <f>+$AC196*BG196</f>
        <v>0</v>
      </c>
      <c r="AI196" s="5">
        <f>+$AC196*BH196</f>
        <v>0</v>
      </c>
      <c r="AJ196" s="5">
        <f>+$AC196*BI196</f>
        <v>0</v>
      </c>
      <c r="AK196" s="5">
        <f>+$AC196*BJ196</f>
        <v>0</v>
      </c>
      <c r="AL196" s="5">
        <f>+$AC196*BK196</f>
        <v>0</v>
      </c>
      <c r="AM196" s="5">
        <f>+$AC196*BL196</f>
        <v>0</v>
      </c>
      <c r="AN196" s="5">
        <f>+$AC196*BM196</f>
        <v>0</v>
      </c>
      <c r="AO196" s="5">
        <f>+$AC196*BN196</f>
        <v>0</v>
      </c>
      <c r="AP196" s="5">
        <f>+AC196+P196+C196</f>
        <v>5000</v>
      </c>
      <c r="AQ196" s="1">
        <v>535.08939569245342</v>
      </c>
      <c r="AR196" s="1">
        <v>639.9166730067119</v>
      </c>
      <c r="AS196" s="1">
        <v>566.3309450912858</v>
      </c>
      <c r="AT196" s="1">
        <v>428.97389921130292</v>
      </c>
      <c r="AU196" s="1">
        <v>622.11430863220573</v>
      </c>
      <c r="AV196" s="1">
        <v>509.82198571526783</v>
      </c>
      <c r="AW196" s="1">
        <v>507.56327326357621</v>
      </c>
      <c r="AX196" s="1">
        <v>344.68263277667978</v>
      </c>
      <c r="AY196" s="1">
        <v>510.92311407334483</v>
      </c>
      <c r="AZ196" s="1">
        <v>444.94835347821106</v>
      </c>
      <c r="BA196" s="1">
        <v>454.30913515264302</v>
      </c>
      <c r="BB196" s="1">
        <v>443.73335619405373</v>
      </c>
      <c r="BC196" s="2">
        <v>8.9181565948742242E-2</v>
      </c>
      <c r="BD196" s="2">
        <v>0.10665277883445198</v>
      </c>
      <c r="BE196" s="2">
        <v>9.438849084854764E-2</v>
      </c>
      <c r="BF196" s="2">
        <v>7.149564986855049E-2</v>
      </c>
      <c r="BG196" s="2">
        <v>0.10368571810536763</v>
      </c>
      <c r="BH196" s="2">
        <v>8.4970330952544637E-2</v>
      </c>
      <c r="BI196" s="2">
        <v>8.4593878877262704E-2</v>
      </c>
      <c r="BJ196" s="2">
        <v>5.7447105462779965E-2</v>
      </c>
      <c r="BK196" s="2">
        <v>8.5153852345557474E-2</v>
      </c>
      <c r="BL196" s="2">
        <v>7.4158058913035174E-2</v>
      </c>
      <c r="BM196" s="2">
        <v>7.5718189192107169E-2</v>
      </c>
      <c r="BN196" s="2">
        <v>7.3955559365675619E-2</v>
      </c>
    </row>
    <row r="197" spans="1:66" x14ac:dyDescent="0.25">
      <c r="A197" s="8">
        <v>5169</v>
      </c>
      <c r="B197" s="8" t="s">
        <v>799</v>
      </c>
      <c r="C197" s="5">
        <v>6000</v>
      </c>
      <c r="D197" s="5">
        <f>+$C197*BC197</f>
        <v>535.08939569245342</v>
      </c>
      <c r="E197" s="5">
        <f>+$C197*BD197</f>
        <v>639.9166730067119</v>
      </c>
      <c r="F197" s="5">
        <f>+$C197*BE197</f>
        <v>566.3309450912858</v>
      </c>
      <c r="G197" s="5">
        <f>+$C197*BF197</f>
        <v>428.97389921130292</v>
      </c>
      <c r="H197" s="5">
        <f>+$C197*BG197</f>
        <v>622.11430863220573</v>
      </c>
      <c r="I197" s="5">
        <f>+$C197*BH197</f>
        <v>509.82198571526783</v>
      </c>
      <c r="J197" s="5">
        <f>+$C197*BI197</f>
        <v>507.56327326357621</v>
      </c>
      <c r="K197" s="5">
        <f>+$C197*BJ197</f>
        <v>344.68263277667978</v>
      </c>
      <c r="L197" s="5">
        <f>+$C197*BK197</f>
        <v>510.92311407334483</v>
      </c>
      <c r="M197" s="5">
        <f>+$C197*BL197</f>
        <v>444.94835347821106</v>
      </c>
      <c r="N197" s="5">
        <f>+$C197*BM197</f>
        <v>454.30913515264302</v>
      </c>
      <c r="O197" s="5">
        <f>+$C197*BN197</f>
        <v>443.73335619405373</v>
      </c>
      <c r="P197" s="5">
        <v>0</v>
      </c>
      <c r="Q197" s="5">
        <f>+$P197*BC197</f>
        <v>0</v>
      </c>
      <c r="R197" s="5">
        <f>+$P197*BD197</f>
        <v>0</v>
      </c>
      <c r="S197" s="5">
        <f>+$P197*BE197</f>
        <v>0</v>
      </c>
      <c r="T197" s="5">
        <f>+$P197*BF197</f>
        <v>0</v>
      </c>
      <c r="U197" s="5">
        <f>+$P197*BG197</f>
        <v>0</v>
      </c>
      <c r="V197" s="5">
        <f>+$P197*BH197</f>
        <v>0</v>
      </c>
      <c r="W197" s="5">
        <f>+$P197*BI197</f>
        <v>0</v>
      </c>
      <c r="X197" s="5">
        <f>+$P197*BJ197</f>
        <v>0</v>
      </c>
      <c r="Y197" s="5">
        <f>+$P197*BK197</f>
        <v>0</v>
      </c>
      <c r="Z197" s="5">
        <f>+$P197*BL197</f>
        <v>0</v>
      </c>
      <c r="AA197" s="5">
        <f>+$P197*BM197</f>
        <v>0</v>
      </c>
      <c r="AB197" s="5">
        <f>+$P197*BN197</f>
        <v>0</v>
      </c>
      <c r="AC197" s="5">
        <v>0</v>
      </c>
      <c r="AD197" s="5">
        <f>+$AC197*BC197</f>
        <v>0</v>
      </c>
      <c r="AE197" s="5">
        <f>+$AC197*BD197</f>
        <v>0</v>
      </c>
      <c r="AF197" s="5">
        <f>+$AC197*BE197</f>
        <v>0</v>
      </c>
      <c r="AG197" s="5">
        <f>+$AC197*BF197</f>
        <v>0</v>
      </c>
      <c r="AH197" s="5">
        <f>+$AC197*BG197</f>
        <v>0</v>
      </c>
      <c r="AI197" s="5">
        <f>+$AC197*BH197</f>
        <v>0</v>
      </c>
      <c r="AJ197" s="5">
        <f>+$AC197*BI197</f>
        <v>0</v>
      </c>
      <c r="AK197" s="5">
        <f>+$AC197*BJ197</f>
        <v>0</v>
      </c>
      <c r="AL197" s="5">
        <f>+$AC197*BK197</f>
        <v>0</v>
      </c>
      <c r="AM197" s="5">
        <f>+$AC197*BL197</f>
        <v>0</v>
      </c>
      <c r="AN197" s="5">
        <f>+$AC197*BM197</f>
        <v>0</v>
      </c>
      <c r="AO197" s="5">
        <f>+$AC197*BN197</f>
        <v>0</v>
      </c>
      <c r="AP197" s="5">
        <f>+AC197+P197+C197</f>
        <v>6000</v>
      </c>
      <c r="AQ197" s="1">
        <v>535.08939569245342</v>
      </c>
      <c r="AR197" s="1">
        <v>639.9166730067119</v>
      </c>
      <c r="AS197" s="1">
        <v>566.3309450912858</v>
      </c>
      <c r="AT197" s="1">
        <v>428.97389921130292</v>
      </c>
      <c r="AU197" s="1">
        <v>622.11430863220573</v>
      </c>
      <c r="AV197" s="1">
        <v>509.82198571526783</v>
      </c>
      <c r="AW197" s="1">
        <v>507.56327326357621</v>
      </c>
      <c r="AX197" s="1">
        <v>344.68263277667978</v>
      </c>
      <c r="AY197" s="1">
        <v>510.92311407334483</v>
      </c>
      <c r="AZ197" s="1">
        <v>444.94835347821106</v>
      </c>
      <c r="BA197" s="1">
        <v>454.30913515264302</v>
      </c>
      <c r="BB197" s="1">
        <v>443.73335619405373</v>
      </c>
      <c r="BC197" s="2">
        <v>8.9181565948742242E-2</v>
      </c>
      <c r="BD197" s="2">
        <v>0.10665277883445198</v>
      </c>
      <c r="BE197" s="2">
        <v>9.438849084854764E-2</v>
      </c>
      <c r="BF197" s="2">
        <v>7.149564986855049E-2</v>
      </c>
      <c r="BG197" s="2">
        <v>0.10368571810536763</v>
      </c>
      <c r="BH197" s="2">
        <v>8.4970330952544637E-2</v>
      </c>
      <c r="BI197" s="2">
        <v>8.4593878877262704E-2</v>
      </c>
      <c r="BJ197" s="2">
        <v>5.7447105462779965E-2</v>
      </c>
      <c r="BK197" s="2">
        <v>8.5153852345557474E-2</v>
      </c>
      <c r="BL197" s="2">
        <v>7.4158058913035174E-2</v>
      </c>
      <c r="BM197" s="2">
        <v>7.5718189192107169E-2</v>
      </c>
      <c r="BN197" s="2">
        <v>7.3955559365675619E-2</v>
      </c>
    </row>
    <row r="198" spans="1:66" x14ac:dyDescent="0.25">
      <c r="A198" s="8">
        <v>5342</v>
      </c>
      <c r="B198" s="8" t="s">
        <v>798</v>
      </c>
      <c r="C198" s="5">
        <v>0</v>
      </c>
      <c r="D198" s="5">
        <f>+$C198*BC198</f>
        <v>0</v>
      </c>
      <c r="E198" s="5">
        <f>+$C198*BD198</f>
        <v>0</v>
      </c>
      <c r="F198" s="5">
        <f>+$C198*BE198</f>
        <v>0</v>
      </c>
      <c r="G198" s="5">
        <f>+$C198*BF198</f>
        <v>0</v>
      </c>
      <c r="H198" s="5">
        <f>+$C198*BG198</f>
        <v>0</v>
      </c>
      <c r="I198" s="5">
        <f>+$C198*BH198</f>
        <v>0</v>
      </c>
      <c r="J198" s="5">
        <f>+$C198*BI198</f>
        <v>0</v>
      </c>
      <c r="K198" s="5">
        <f>+$C198*BJ198</f>
        <v>0</v>
      </c>
      <c r="L198" s="5">
        <f>+$C198*BK198</f>
        <v>0</v>
      </c>
      <c r="M198" s="5">
        <f>+$C198*BL198</f>
        <v>0</v>
      </c>
      <c r="N198" s="5">
        <f>+$C198*BM198</f>
        <v>0</v>
      </c>
      <c r="O198" s="5">
        <f>+$C198*BN198</f>
        <v>0</v>
      </c>
      <c r="P198" s="5">
        <v>0</v>
      </c>
      <c r="Q198" s="5">
        <f>+$P198*BC198</f>
        <v>0</v>
      </c>
      <c r="R198" s="5">
        <f>+$P198*BD198</f>
        <v>0</v>
      </c>
      <c r="S198" s="5">
        <f>+$P198*BE198</f>
        <v>0</v>
      </c>
      <c r="T198" s="5">
        <f>+$P198*BF198</f>
        <v>0</v>
      </c>
      <c r="U198" s="5">
        <f>+$P198*BG198</f>
        <v>0</v>
      </c>
      <c r="V198" s="5">
        <f>+$P198*BH198</f>
        <v>0</v>
      </c>
      <c r="W198" s="5">
        <f>+$P198*BI198</f>
        <v>0</v>
      </c>
      <c r="X198" s="5">
        <f>+$P198*BJ198</f>
        <v>0</v>
      </c>
      <c r="Y198" s="5">
        <f>+$P198*BK198</f>
        <v>0</v>
      </c>
      <c r="Z198" s="5">
        <f>+$P198*BL198</f>
        <v>0</v>
      </c>
      <c r="AA198" s="5">
        <f>+$P198*BM198</f>
        <v>0</v>
      </c>
      <c r="AB198" s="5">
        <f>+$P198*BN198</f>
        <v>0</v>
      </c>
      <c r="AC198" s="5">
        <v>0</v>
      </c>
      <c r="AD198" s="5">
        <f>+$AC198*BC198</f>
        <v>0</v>
      </c>
      <c r="AE198" s="5">
        <f>+$AC198*BD198</f>
        <v>0</v>
      </c>
      <c r="AF198" s="5">
        <f>+$AC198*BE198</f>
        <v>0</v>
      </c>
      <c r="AG198" s="5">
        <f>+$AC198*BF198</f>
        <v>0</v>
      </c>
      <c r="AH198" s="5">
        <f>+$AC198*BG198</f>
        <v>0</v>
      </c>
      <c r="AI198" s="5">
        <f>+$AC198*BH198</f>
        <v>0</v>
      </c>
      <c r="AJ198" s="5">
        <f>+$AC198*BI198</f>
        <v>0</v>
      </c>
      <c r="AK198" s="5">
        <f>+$AC198*BJ198</f>
        <v>0</v>
      </c>
      <c r="AL198" s="5">
        <f>+$AC198*BK198</f>
        <v>0</v>
      </c>
      <c r="AM198" s="5">
        <f>+$AC198*BL198</f>
        <v>0</v>
      </c>
      <c r="AN198" s="5">
        <f>+$AC198*BM198</f>
        <v>0</v>
      </c>
      <c r="AO198" s="5">
        <f>+$AC198*BN198</f>
        <v>0</v>
      </c>
      <c r="AP198" s="5">
        <f>+AC198+P198+C198</f>
        <v>0</v>
      </c>
      <c r="AQ198" s="1">
        <v>535.08939569245342</v>
      </c>
      <c r="AR198" s="1">
        <v>639.9166730067119</v>
      </c>
      <c r="AS198" s="1">
        <v>566.3309450912858</v>
      </c>
      <c r="AT198" s="1">
        <v>428.97389921130292</v>
      </c>
      <c r="AU198" s="1">
        <v>622.11430863220573</v>
      </c>
      <c r="AV198" s="1">
        <v>509.82198571526783</v>
      </c>
      <c r="AW198" s="1">
        <v>507.56327326357621</v>
      </c>
      <c r="AX198" s="1">
        <v>344.68263277667978</v>
      </c>
      <c r="AY198" s="1">
        <v>510.92311407334483</v>
      </c>
      <c r="AZ198" s="1">
        <v>444.94835347821106</v>
      </c>
      <c r="BA198" s="1">
        <v>454.30913515264302</v>
      </c>
      <c r="BB198" s="1">
        <v>443.73335619405373</v>
      </c>
      <c r="BC198" s="2">
        <v>8.9181565948742242E-2</v>
      </c>
      <c r="BD198" s="2">
        <v>0.10665277883445198</v>
      </c>
      <c r="BE198" s="2">
        <v>9.438849084854764E-2</v>
      </c>
      <c r="BF198" s="2">
        <v>7.149564986855049E-2</v>
      </c>
      <c r="BG198" s="2">
        <v>0.10368571810536763</v>
      </c>
      <c r="BH198" s="2">
        <v>8.4970330952544637E-2</v>
      </c>
      <c r="BI198" s="2">
        <v>8.4593878877262704E-2</v>
      </c>
      <c r="BJ198" s="2">
        <v>5.7447105462779965E-2</v>
      </c>
      <c r="BK198" s="2">
        <v>8.5153852345557474E-2</v>
      </c>
      <c r="BL198" s="2">
        <v>7.4158058913035174E-2</v>
      </c>
      <c r="BM198" s="2">
        <v>7.5718189192107169E-2</v>
      </c>
      <c r="BN198" s="2">
        <v>7.3955559365675619E-2</v>
      </c>
    </row>
    <row r="199" spans="1:66" x14ac:dyDescent="0.25">
      <c r="A199" s="8">
        <v>5428</v>
      </c>
      <c r="B199" s="8" t="s">
        <v>797</v>
      </c>
      <c r="C199" s="5">
        <v>0</v>
      </c>
      <c r="D199" s="5">
        <f>+$C199*BC199</f>
        <v>0</v>
      </c>
      <c r="E199" s="5">
        <f>+$C199*BD199</f>
        <v>0</v>
      </c>
      <c r="F199" s="5">
        <f>+$C199*BE199</f>
        <v>0</v>
      </c>
      <c r="G199" s="5">
        <f>+$C199*BF199</f>
        <v>0</v>
      </c>
      <c r="H199" s="5">
        <f>+$C199*BG199</f>
        <v>0</v>
      </c>
      <c r="I199" s="5">
        <f>+$C199*BH199</f>
        <v>0</v>
      </c>
      <c r="J199" s="5">
        <f>+$C199*BI199</f>
        <v>0</v>
      </c>
      <c r="K199" s="5">
        <f>+$C199*BJ199</f>
        <v>0</v>
      </c>
      <c r="L199" s="5">
        <f>+$C199*BK199</f>
        <v>0</v>
      </c>
      <c r="M199" s="5">
        <f>+$C199*BL199</f>
        <v>0</v>
      </c>
      <c r="N199" s="5">
        <f>+$C199*BM199</f>
        <v>0</v>
      </c>
      <c r="O199" s="5">
        <f>+$C199*BN199</f>
        <v>0</v>
      </c>
      <c r="P199" s="5">
        <v>6000</v>
      </c>
      <c r="Q199" s="5">
        <f>+$P199*BC199</f>
        <v>535.08939569245342</v>
      </c>
      <c r="R199" s="5">
        <f>+$P199*BD199</f>
        <v>639.9166730067119</v>
      </c>
      <c r="S199" s="5">
        <f>+$P199*BE199</f>
        <v>566.3309450912858</v>
      </c>
      <c r="T199" s="5">
        <f>+$P199*BF199</f>
        <v>428.97389921130292</v>
      </c>
      <c r="U199" s="5">
        <f>+$P199*BG199</f>
        <v>622.11430863220573</v>
      </c>
      <c r="V199" s="5">
        <f>+$P199*BH199</f>
        <v>509.82198571526783</v>
      </c>
      <c r="W199" s="5">
        <f>+$P199*BI199</f>
        <v>507.56327326357621</v>
      </c>
      <c r="X199" s="5">
        <f>+$P199*BJ199</f>
        <v>344.68263277667978</v>
      </c>
      <c r="Y199" s="5">
        <f>+$P199*BK199</f>
        <v>510.92311407334483</v>
      </c>
      <c r="Z199" s="5">
        <f>+$P199*BL199</f>
        <v>444.94835347821106</v>
      </c>
      <c r="AA199" s="5">
        <f>+$P199*BM199</f>
        <v>454.30913515264302</v>
      </c>
      <c r="AB199" s="5">
        <f>+$P199*BN199</f>
        <v>443.73335619405373</v>
      </c>
      <c r="AC199" s="5">
        <v>0</v>
      </c>
      <c r="AD199" s="5">
        <f>+$AC199*BC199</f>
        <v>0</v>
      </c>
      <c r="AE199" s="5">
        <f>+$AC199*BD199</f>
        <v>0</v>
      </c>
      <c r="AF199" s="5">
        <f>+$AC199*BE199</f>
        <v>0</v>
      </c>
      <c r="AG199" s="5">
        <f>+$AC199*BF199</f>
        <v>0</v>
      </c>
      <c r="AH199" s="5">
        <f>+$AC199*BG199</f>
        <v>0</v>
      </c>
      <c r="AI199" s="5">
        <f>+$AC199*BH199</f>
        <v>0</v>
      </c>
      <c r="AJ199" s="5">
        <f>+$AC199*BI199</f>
        <v>0</v>
      </c>
      <c r="AK199" s="5">
        <f>+$AC199*BJ199</f>
        <v>0</v>
      </c>
      <c r="AL199" s="5">
        <f>+$AC199*BK199</f>
        <v>0</v>
      </c>
      <c r="AM199" s="5">
        <f>+$AC199*BL199</f>
        <v>0</v>
      </c>
      <c r="AN199" s="5">
        <f>+$AC199*BM199</f>
        <v>0</v>
      </c>
      <c r="AO199" s="5">
        <f>+$AC199*BN199</f>
        <v>0</v>
      </c>
      <c r="AP199" s="5">
        <f>+AC199+P199+C199</f>
        <v>6000</v>
      </c>
      <c r="AQ199" s="1">
        <v>535.08939569245342</v>
      </c>
      <c r="AR199" s="1">
        <v>639.9166730067119</v>
      </c>
      <c r="AS199" s="1">
        <v>566.3309450912858</v>
      </c>
      <c r="AT199" s="1">
        <v>428.97389921130292</v>
      </c>
      <c r="AU199" s="1">
        <v>622.11430863220573</v>
      </c>
      <c r="AV199" s="1">
        <v>509.82198571526783</v>
      </c>
      <c r="AW199" s="1">
        <v>507.56327326357621</v>
      </c>
      <c r="AX199" s="1">
        <v>344.68263277667978</v>
      </c>
      <c r="AY199" s="1">
        <v>510.92311407334483</v>
      </c>
      <c r="AZ199" s="1">
        <v>444.94835347821106</v>
      </c>
      <c r="BA199" s="1">
        <v>454.30913515264302</v>
      </c>
      <c r="BB199" s="1">
        <v>443.73335619405373</v>
      </c>
      <c r="BC199" s="2">
        <v>8.9181565948742242E-2</v>
      </c>
      <c r="BD199" s="2">
        <v>0.10665277883445198</v>
      </c>
      <c r="BE199" s="2">
        <v>9.438849084854764E-2</v>
      </c>
      <c r="BF199" s="2">
        <v>7.149564986855049E-2</v>
      </c>
      <c r="BG199" s="2">
        <v>0.10368571810536763</v>
      </c>
      <c r="BH199" s="2">
        <v>8.4970330952544637E-2</v>
      </c>
      <c r="BI199" s="2">
        <v>8.4593878877262704E-2</v>
      </c>
      <c r="BJ199" s="2">
        <v>5.7447105462779965E-2</v>
      </c>
      <c r="BK199" s="2">
        <v>8.5153852345557474E-2</v>
      </c>
      <c r="BL199" s="2">
        <v>7.4158058913035174E-2</v>
      </c>
      <c r="BM199" s="2">
        <v>7.5718189192107169E-2</v>
      </c>
      <c r="BN199" s="2">
        <v>7.3955559365675619E-2</v>
      </c>
    </row>
    <row r="200" spans="1:66" x14ac:dyDescent="0.25">
      <c r="A200" s="8">
        <v>6501</v>
      </c>
      <c r="B200" s="8" t="s">
        <v>796</v>
      </c>
      <c r="C200" s="5">
        <v>0</v>
      </c>
      <c r="D200" s="5">
        <f>+$C200*BC200</f>
        <v>0</v>
      </c>
      <c r="E200" s="5">
        <f>+$C200*BD200</f>
        <v>0</v>
      </c>
      <c r="F200" s="5">
        <f>+$C200*BE200</f>
        <v>0</v>
      </c>
      <c r="G200" s="5">
        <f>+$C200*BF200</f>
        <v>0</v>
      </c>
      <c r="H200" s="5">
        <f>+$C200*BG200</f>
        <v>0</v>
      </c>
      <c r="I200" s="5">
        <f>+$C200*BH200</f>
        <v>0</v>
      </c>
      <c r="J200" s="5">
        <f>+$C200*BI200</f>
        <v>0</v>
      </c>
      <c r="K200" s="5">
        <f>+$C200*BJ200</f>
        <v>0</v>
      </c>
      <c r="L200" s="5">
        <f>+$C200*BK200</f>
        <v>0</v>
      </c>
      <c r="M200" s="5">
        <f>+$C200*BL200</f>
        <v>0</v>
      </c>
      <c r="N200" s="5">
        <f>+$C200*BM200</f>
        <v>0</v>
      </c>
      <c r="O200" s="5">
        <f>+$C200*BN200</f>
        <v>0</v>
      </c>
      <c r="P200" s="5">
        <v>0</v>
      </c>
      <c r="Q200" s="5">
        <f>+$P200*BC200</f>
        <v>0</v>
      </c>
      <c r="R200" s="5">
        <f>+$P200*BD200</f>
        <v>0</v>
      </c>
      <c r="S200" s="5">
        <f>+$P200*BE200</f>
        <v>0</v>
      </c>
      <c r="T200" s="5">
        <f>+$P200*BF200</f>
        <v>0</v>
      </c>
      <c r="U200" s="5">
        <f>+$P200*BG200</f>
        <v>0</v>
      </c>
      <c r="V200" s="5">
        <f>+$P200*BH200</f>
        <v>0</v>
      </c>
      <c r="W200" s="5">
        <f>+$P200*BI200</f>
        <v>0</v>
      </c>
      <c r="X200" s="5">
        <f>+$P200*BJ200</f>
        <v>0</v>
      </c>
      <c r="Y200" s="5">
        <f>+$P200*BK200</f>
        <v>0</v>
      </c>
      <c r="Z200" s="5">
        <f>+$P200*BL200</f>
        <v>0</v>
      </c>
      <c r="AA200" s="5">
        <f>+$P200*BM200</f>
        <v>0</v>
      </c>
      <c r="AB200" s="5">
        <f>+$P200*BN200</f>
        <v>0</v>
      </c>
      <c r="AC200" s="5">
        <v>500</v>
      </c>
      <c r="AD200" s="5">
        <f>+$AC200*BC200</f>
        <v>44.590782974371123</v>
      </c>
      <c r="AE200" s="5">
        <f>+$AC200*BD200</f>
        <v>53.32638941722599</v>
      </c>
      <c r="AF200" s="5">
        <f>+$AC200*BE200</f>
        <v>47.194245424273824</v>
      </c>
      <c r="AG200" s="5">
        <f>+$AC200*BF200</f>
        <v>35.747824934275243</v>
      </c>
      <c r="AH200" s="5">
        <f>+$AC200*BG200</f>
        <v>51.842859052683814</v>
      </c>
      <c r="AI200" s="5">
        <f>+$AC200*BH200</f>
        <v>42.485165476272321</v>
      </c>
      <c r="AJ200" s="5">
        <f>+$AC200*BI200</f>
        <v>42.296939438631355</v>
      </c>
      <c r="AK200" s="5">
        <f>+$AC200*BJ200</f>
        <v>28.723552731389983</v>
      </c>
      <c r="AL200" s="5">
        <f>+$AC200*BK200</f>
        <v>42.576926172778734</v>
      </c>
      <c r="AM200" s="5">
        <f>+$AC200*BL200</f>
        <v>37.079029456517588</v>
      </c>
      <c r="AN200" s="5">
        <f>+$AC200*BM200</f>
        <v>37.859094596053588</v>
      </c>
      <c r="AO200" s="5">
        <f>+$AC200*BN200</f>
        <v>36.977779682837813</v>
      </c>
      <c r="AP200" s="5">
        <f>+AC200+P200+C200</f>
        <v>500</v>
      </c>
      <c r="AQ200" s="1">
        <v>535.08939569245342</v>
      </c>
      <c r="AR200" s="1">
        <v>639.9166730067119</v>
      </c>
      <c r="AS200" s="1">
        <v>566.3309450912858</v>
      </c>
      <c r="AT200" s="1">
        <v>428.97389921130292</v>
      </c>
      <c r="AU200" s="1">
        <v>622.11430863220573</v>
      </c>
      <c r="AV200" s="1">
        <v>509.82198571526783</v>
      </c>
      <c r="AW200" s="1">
        <v>507.56327326357621</v>
      </c>
      <c r="AX200" s="1">
        <v>344.68263277667978</v>
      </c>
      <c r="AY200" s="1">
        <v>510.92311407334483</v>
      </c>
      <c r="AZ200" s="1">
        <v>444.94835347821106</v>
      </c>
      <c r="BA200" s="1">
        <v>454.30913515264302</v>
      </c>
      <c r="BB200" s="1">
        <v>443.73335619405373</v>
      </c>
      <c r="BC200" s="2">
        <v>8.9181565948742242E-2</v>
      </c>
      <c r="BD200" s="2">
        <v>0.10665277883445198</v>
      </c>
      <c r="BE200" s="2">
        <v>9.438849084854764E-2</v>
      </c>
      <c r="BF200" s="2">
        <v>7.149564986855049E-2</v>
      </c>
      <c r="BG200" s="2">
        <v>0.10368571810536763</v>
      </c>
      <c r="BH200" s="2">
        <v>8.4970330952544637E-2</v>
      </c>
      <c r="BI200" s="2">
        <v>8.4593878877262704E-2</v>
      </c>
      <c r="BJ200" s="2">
        <v>5.7447105462779965E-2</v>
      </c>
      <c r="BK200" s="2">
        <v>8.5153852345557474E-2</v>
      </c>
      <c r="BL200" s="2">
        <v>7.4158058913035174E-2</v>
      </c>
      <c r="BM200" s="2">
        <v>7.5718189192107169E-2</v>
      </c>
      <c r="BN200" s="2">
        <v>7.3955559365675619E-2</v>
      </c>
    </row>
    <row r="201" spans="1:66" x14ac:dyDescent="0.25">
      <c r="A201" s="8">
        <v>6519</v>
      </c>
      <c r="B201" s="8" t="s">
        <v>795</v>
      </c>
      <c r="C201" s="5">
        <v>0</v>
      </c>
      <c r="D201" s="5">
        <f>+$C201*BC201</f>
        <v>0</v>
      </c>
      <c r="E201" s="5">
        <f>+$C201*BD201</f>
        <v>0</v>
      </c>
      <c r="F201" s="5">
        <f>+$C201*BE201</f>
        <v>0</v>
      </c>
      <c r="G201" s="5">
        <f>+$C201*BF201</f>
        <v>0</v>
      </c>
      <c r="H201" s="5">
        <f>+$C201*BG201</f>
        <v>0</v>
      </c>
      <c r="I201" s="5">
        <f>+$C201*BH201</f>
        <v>0</v>
      </c>
      <c r="J201" s="5">
        <f>+$C201*BI201</f>
        <v>0</v>
      </c>
      <c r="K201" s="5">
        <f>+$C201*BJ201</f>
        <v>0</v>
      </c>
      <c r="L201" s="5">
        <f>+$C201*BK201</f>
        <v>0</v>
      </c>
      <c r="M201" s="5">
        <f>+$C201*BL201</f>
        <v>0</v>
      </c>
      <c r="N201" s="5">
        <f>+$C201*BM201</f>
        <v>0</v>
      </c>
      <c r="O201" s="5">
        <f>+$C201*BN201</f>
        <v>0</v>
      </c>
      <c r="P201" s="5">
        <v>0</v>
      </c>
      <c r="Q201" s="5">
        <f>+$P201*BC201</f>
        <v>0</v>
      </c>
      <c r="R201" s="5">
        <f>+$P201*BD201</f>
        <v>0</v>
      </c>
      <c r="S201" s="5">
        <f>+$P201*BE201</f>
        <v>0</v>
      </c>
      <c r="T201" s="5">
        <f>+$P201*BF201</f>
        <v>0</v>
      </c>
      <c r="U201" s="5">
        <f>+$P201*BG201</f>
        <v>0</v>
      </c>
      <c r="V201" s="5">
        <f>+$P201*BH201</f>
        <v>0</v>
      </c>
      <c r="W201" s="5">
        <f>+$P201*BI201</f>
        <v>0</v>
      </c>
      <c r="X201" s="5">
        <f>+$P201*BJ201</f>
        <v>0</v>
      </c>
      <c r="Y201" s="5">
        <f>+$P201*BK201</f>
        <v>0</v>
      </c>
      <c r="Z201" s="5">
        <f>+$P201*BL201</f>
        <v>0</v>
      </c>
      <c r="AA201" s="5">
        <f>+$P201*BM201</f>
        <v>0</v>
      </c>
      <c r="AB201" s="5">
        <f>+$P201*BN201</f>
        <v>0</v>
      </c>
      <c r="AC201" s="5">
        <v>0</v>
      </c>
      <c r="AD201" s="5">
        <f>+$AC201*BC201</f>
        <v>0</v>
      </c>
      <c r="AE201" s="5">
        <f>+$AC201*BD201</f>
        <v>0</v>
      </c>
      <c r="AF201" s="5">
        <f>+$AC201*BE201</f>
        <v>0</v>
      </c>
      <c r="AG201" s="5">
        <f>+$AC201*BF201</f>
        <v>0</v>
      </c>
      <c r="AH201" s="5">
        <f>+$AC201*BG201</f>
        <v>0</v>
      </c>
      <c r="AI201" s="5">
        <f>+$AC201*BH201</f>
        <v>0</v>
      </c>
      <c r="AJ201" s="5">
        <f>+$AC201*BI201</f>
        <v>0</v>
      </c>
      <c r="AK201" s="5">
        <f>+$AC201*BJ201</f>
        <v>0</v>
      </c>
      <c r="AL201" s="5">
        <f>+$AC201*BK201</f>
        <v>0</v>
      </c>
      <c r="AM201" s="5">
        <f>+$AC201*BL201</f>
        <v>0</v>
      </c>
      <c r="AN201" s="5">
        <f>+$AC201*BM201</f>
        <v>0</v>
      </c>
      <c r="AO201" s="5">
        <f>+$AC201*BN201</f>
        <v>0</v>
      </c>
      <c r="AP201" s="5">
        <f>+AC201+P201+C201</f>
        <v>0</v>
      </c>
      <c r="AQ201" s="1">
        <v>535.08939569245342</v>
      </c>
      <c r="AR201" s="1">
        <v>639.9166730067119</v>
      </c>
      <c r="AS201" s="1">
        <v>566.3309450912858</v>
      </c>
      <c r="AT201" s="1">
        <v>428.97389921130292</v>
      </c>
      <c r="AU201" s="1">
        <v>622.11430863220573</v>
      </c>
      <c r="AV201" s="1">
        <v>509.82198571526783</v>
      </c>
      <c r="AW201" s="1">
        <v>507.56327326357621</v>
      </c>
      <c r="AX201" s="1">
        <v>344.68263277667978</v>
      </c>
      <c r="AY201" s="1">
        <v>510.92311407334483</v>
      </c>
      <c r="AZ201" s="1">
        <v>444.94835347821106</v>
      </c>
      <c r="BA201" s="1">
        <v>454.30913515264302</v>
      </c>
      <c r="BB201" s="1">
        <v>443.73335619405373</v>
      </c>
      <c r="BC201" s="2">
        <v>8.9181565948742242E-2</v>
      </c>
      <c r="BD201" s="2">
        <v>0.10665277883445198</v>
      </c>
      <c r="BE201" s="2">
        <v>9.438849084854764E-2</v>
      </c>
      <c r="BF201" s="2">
        <v>7.149564986855049E-2</v>
      </c>
      <c r="BG201" s="2">
        <v>0.10368571810536763</v>
      </c>
      <c r="BH201" s="2">
        <v>8.4970330952544637E-2</v>
      </c>
      <c r="BI201" s="2">
        <v>8.4593878877262704E-2</v>
      </c>
      <c r="BJ201" s="2">
        <v>5.7447105462779965E-2</v>
      </c>
      <c r="BK201" s="2">
        <v>8.5153852345557474E-2</v>
      </c>
      <c r="BL201" s="2">
        <v>7.4158058913035174E-2</v>
      </c>
      <c r="BM201" s="2">
        <v>7.5718189192107169E-2</v>
      </c>
      <c r="BN201" s="2">
        <v>7.3955559365675619E-2</v>
      </c>
    </row>
    <row r="202" spans="1:66" x14ac:dyDescent="0.25">
      <c r="A202" s="8">
        <v>6543</v>
      </c>
      <c r="B202" s="8" t="s">
        <v>794</v>
      </c>
      <c r="C202" s="5">
        <v>0</v>
      </c>
      <c r="D202" s="5">
        <f>+$C202*BC202</f>
        <v>0</v>
      </c>
      <c r="E202" s="5">
        <f>+$C202*BD202</f>
        <v>0</v>
      </c>
      <c r="F202" s="5">
        <f>+$C202*BE202</f>
        <v>0</v>
      </c>
      <c r="G202" s="5">
        <f>+$C202*BF202</f>
        <v>0</v>
      </c>
      <c r="H202" s="5">
        <f>+$C202*BG202</f>
        <v>0</v>
      </c>
      <c r="I202" s="5">
        <f>+$C202*BH202</f>
        <v>0</v>
      </c>
      <c r="J202" s="5">
        <f>+$C202*BI202</f>
        <v>0</v>
      </c>
      <c r="K202" s="5">
        <f>+$C202*BJ202</f>
        <v>0</v>
      </c>
      <c r="L202" s="5">
        <f>+$C202*BK202</f>
        <v>0</v>
      </c>
      <c r="M202" s="5">
        <f>+$C202*BL202</f>
        <v>0</v>
      </c>
      <c r="N202" s="5">
        <f>+$C202*BM202</f>
        <v>0</v>
      </c>
      <c r="O202" s="5">
        <f>+$C202*BN202</f>
        <v>0</v>
      </c>
      <c r="P202" s="5">
        <v>0</v>
      </c>
      <c r="Q202" s="5">
        <f>+$P202*BC202</f>
        <v>0</v>
      </c>
      <c r="R202" s="5">
        <f>+$P202*BD202</f>
        <v>0</v>
      </c>
      <c r="S202" s="5">
        <f>+$P202*BE202</f>
        <v>0</v>
      </c>
      <c r="T202" s="5">
        <f>+$P202*BF202</f>
        <v>0</v>
      </c>
      <c r="U202" s="5">
        <f>+$P202*BG202</f>
        <v>0</v>
      </c>
      <c r="V202" s="5">
        <f>+$P202*BH202</f>
        <v>0</v>
      </c>
      <c r="W202" s="5">
        <f>+$P202*BI202</f>
        <v>0</v>
      </c>
      <c r="X202" s="5">
        <f>+$P202*BJ202</f>
        <v>0</v>
      </c>
      <c r="Y202" s="5">
        <f>+$P202*BK202</f>
        <v>0</v>
      </c>
      <c r="Z202" s="5">
        <f>+$P202*BL202</f>
        <v>0</v>
      </c>
      <c r="AA202" s="5">
        <f>+$P202*BM202</f>
        <v>0</v>
      </c>
      <c r="AB202" s="5">
        <f>+$P202*BN202</f>
        <v>0</v>
      </c>
      <c r="AC202" s="5">
        <v>5500</v>
      </c>
      <c r="AD202" s="5">
        <f>+$AC202*BC202</f>
        <v>490.49861271808231</v>
      </c>
      <c r="AE202" s="5">
        <f>+$AC202*BD202</f>
        <v>586.59028358948592</v>
      </c>
      <c r="AF202" s="5">
        <f>+$AC202*BE202</f>
        <v>519.13669966701207</v>
      </c>
      <c r="AG202" s="5">
        <f>+$AC202*BF202</f>
        <v>393.22607427702769</v>
      </c>
      <c r="AH202" s="5">
        <f>+$AC202*BG202</f>
        <v>570.27144957952191</v>
      </c>
      <c r="AI202" s="5">
        <f>+$AC202*BH202</f>
        <v>467.33682023899553</v>
      </c>
      <c r="AJ202" s="5">
        <f>+$AC202*BI202</f>
        <v>465.26633382494487</v>
      </c>
      <c r="AK202" s="5">
        <f>+$AC202*BJ202</f>
        <v>315.9590800452898</v>
      </c>
      <c r="AL202" s="5">
        <f>+$AC202*BK202</f>
        <v>468.34618790056612</v>
      </c>
      <c r="AM202" s="5">
        <f>+$AC202*BL202</f>
        <v>407.86932402169344</v>
      </c>
      <c r="AN202" s="5">
        <f>+$AC202*BM202</f>
        <v>416.45004055658944</v>
      </c>
      <c r="AO202" s="5">
        <f>+$AC202*BN202</f>
        <v>406.75557651121591</v>
      </c>
      <c r="AP202" s="5">
        <f>+AC202+P202+C202</f>
        <v>5500</v>
      </c>
      <c r="AQ202" s="1">
        <v>535.08939569245342</v>
      </c>
      <c r="AR202" s="1">
        <v>639.9166730067119</v>
      </c>
      <c r="AS202" s="1">
        <v>566.3309450912858</v>
      </c>
      <c r="AT202" s="1">
        <v>428.97389921130292</v>
      </c>
      <c r="AU202" s="1">
        <v>622.11430863220573</v>
      </c>
      <c r="AV202" s="1">
        <v>509.82198571526783</v>
      </c>
      <c r="AW202" s="1">
        <v>507.56327326357621</v>
      </c>
      <c r="AX202" s="1">
        <v>344.68263277667978</v>
      </c>
      <c r="AY202" s="1">
        <v>510.92311407334483</v>
      </c>
      <c r="AZ202" s="1">
        <v>444.94835347821106</v>
      </c>
      <c r="BA202" s="1">
        <v>454.30913515264302</v>
      </c>
      <c r="BB202" s="1">
        <v>443.73335619405373</v>
      </c>
      <c r="BC202" s="2">
        <v>8.9181565948742242E-2</v>
      </c>
      <c r="BD202" s="2">
        <v>0.10665277883445198</v>
      </c>
      <c r="BE202" s="2">
        <v>9.438849084854764E-2</v>
      </c>
      <c r="BF202" s="2">
        <v>7.149564986855049E-2</v>
      </c>
      <c r="BG202" s="2">
        <v>0.10368571810536763</v>
      </c>
      <c r="BH202" s="2">
        <v>8.4970330952544637E-2</v>
      </c>
      <c r="BI202" s="2">
        <v>8.4593878877262704E-2</v>
      </c>
      <c r="BJ202" s="2">
        <v>5.7447105462779965E-2</v>
      </c>
      <c r="BK202" s="2">
        <v>8.5153852345557474E-2</v>
      </c>
      <c r="BL202" s="2">
        <v>7.4158058913035174E-2</v>
      </c>
      <c r="BM202" s="2">
        <v>7.5718189192107169E-2</v>
      </c>
      <c r="BN202" s="2">
        <v>7.3955559365675619E-2</v>
      </c>
    </row>
    <row r="203" spans="1:66" x14ac:dyDescent="0.25">
      <c r="A203" s="8">
        <v>16068</v>
      </c>
      <c r="B203" s="8" t="s">
        <v>793</v>
      </c>
      <c r="C203" s="5">
        <v>0</v>
      </c>
      <c r="D203" s="5">
        <f>+$C203*BC203</f>
        <v>0</v>
      </c>
      <c r="E203" s="5">
        <f>+$C203*BD203</f>
        <v>0</v>
      </c>
      <c r="F203" s="5">
        <f>+$C203*BE203</f>
        <v>0</v>
      </c>
      <c r="G203" s="5">
        <f>+$C203*BF203</f>
        <v>0</v>
      </c>
      <c r="H203" s="5">
        <f>+$C203*BG203</f>
        <v>0</v>
      </c>
      <c r="I203" s="5">
        <f>+$C203*BH203</f>
        <v>0</v>
      </c>
      <c r="J203" s="5">
        <f>+$C203*BI203</f>
        <v>0</v>
      </c>
      <c r="K203" s="5">
        <f>+$C203*BJ203</f>
        <v>0</v>
      </c>
      <c r="L203" s="5">
        <f>+$C203*BK203</f>
        <v>0</v>
      </c>
      <c r="M203" s="5">
        <f>+$C203*BL203</f>
        <v>0</v>
      </c>
      <c r="N203" s="5">
        <f>+$C203*BM203</f>
        <v>0</v>
      </c>
      <c r="O203" s="5">
        <f>+$C203*BN203</f>
        <v>0</v>
      </c>
      <c r="P203" s="5">
        <v>0</v>
      </c>
      <c r="Q203" s="5">
        <f>+$P203*BC203</f>
        <v>0</v>
      </c>
      <c r="R203" s="5">
        <f>+$P203*BD203</f>
        <v>0</v>
      </c>
      <c r="S203" s="5">
        <f>+$P203*BE203</f>
        <v>0</v>
      </c>
      <c r="T203" s="5">
        <f>+$P203*BF203</f>
        <v>0</v>
      </c>
      <c r="U203" s="5">
        <f>+$P203*BG203</f>
        <v>0</v>
      </c>
      <c r="V203" s="5">
        <f>+$P203*BH203</f>
        <v>0</v>
      </c>
      <c r="W203" s="5">
        <f>+$P203*BI203</f>
        <v>0</v>
      </c>
      <c r="X203" s="5">
        <f>+$P203*BJ203</f>
        <v>0</v>
      </c>
      <c r="Y203" s="5">
        <f>+$P203*BK203</f>
        <v>0</v>
      </c>
      <c r="Z203" s="5">
        <f>+$P203*BL203</f>
        <v>0</v>
      </c>
      <c r="AA203" s="5">
        <f>+$P203*BM203</f>
        <v>0</v>
      </c>
      <c r="AB203" s="5">
        <f>+$P203*BN203</f>
        <v>0</v>
      </c>
      <c r="AC203" s="5">
        <v>6000</v>
      </c>
      <c r="AD203" s="5">
        <f>+$AC203*BC203</f>
        <v>535.08939569245342</v>
      </c>
      <c r="AE203" s="5">
        <f>+$AC203*BD203</f>
        <v>639.9166730067119</v>
      </c>
      <c r="AF203" s="5">
        <f>+$AC203*BE203</f>
        <v>566.3309450912858</v>
      </c>
      <c r="AG203" s="5">
        <f>+$AC203*BF203</f>
        <v>428.97389921130292</v>
      </c>
      <c r="AH203" s="5">
        <f>+$AC203*BG203</f>
        <v>622.11430863220573</v>
      </c>
      <c r="AI203" s="5">
        <f>+$AC203*BH203</f>
        <v>509.82198571526783</v>
      </c>
      <c r="AJ203" s="5">
        <f>+$AC203*BI203</f>
        <v>507.56327326357621</v>
      </c>
      <c r="AK203" s="5">
        <f>+$AC203*BJ203</f>
        <v>344.68263277667978</v>
      </c>
      <c r="AL203" s="5">
        <f>+$AC203*BK203</f>
        <v>510.92311407334483</v>
      </c>
      <c r="AM203" s="5">
        <f>+$AC203*BL203</f>
        <v>444.94835347821106</v>
      </c>
      <c r="AN203" s="5">
        <f>+$AC203*BM203</f>
        <v>454.30913515264302</v>
      </c>
      <c r="AO203" s="5">
        <f>+$AC203*BN203</f>
        <v>443.73335619405373</v>
      </c>
      <c r="AP203" s="5">
        <f>+AC203+P203+C203</f>
        <v>6000</v>
      </c>
      <c r="AQ203" s="1">
        <v>536.26659236297678</v>
      </c>
      <c r="AR203" s="1">
        <v>641.3244896873266</v>
      </c>
      <c r="AS203" s="1">
        <v>567.57687317048669</v>
      </c>
      <c r="AT203" s="1">
        <v>429.91764178956777</v>
      </c>
      <c r="AU203" s="1">
        <v>623.48296011119658</v>
      </c>
      <c r="AV203" s="1">
        <v>510.94359408384139</v>
      </c>
      <c r="AW203" s="1">
        <v>508.67991246475606</v>
      </c>
      <c r="AX203" s="1">
        <v>345.44093456878846</v>
      </c>
      <c r="AY203" s="1">
        <v>512.04714492430617</v>
      </c>
      <c r="AZ203" s="1">
        <v>445.92723985586309</v>
      </c>
      <c r="BA203" s="1">
        <v>455.3086152499788</v>
      </c>
      <c r="BB203" s="1">
        <v>444.70956957768061</v>
      </c>
      <c r="BC203" s="2">
        <v>8.9181565948742242E-2</v>
      </c>
      <c r="BD203" s="2">
        <v>0.10665277883445198</v>
      </c>
      <c r="BE203" s="2">
        <v>9.438849084854764E-2</v>
      </c>
      <c r="BF203" s="2">
        <v>7.149564986855049E-2</v>
      </c>
      <c r="BG203" s="2">
        <v>0.10368571810536763</v>
      </c>
      <c r="BH203" s="2">
        <v>8.4970330952544637E-2</v>
      </c>
      <c r="BI203" s="2">
        <v>8.4593878877262704E-2</v>
      </c>
      <c r="BJ203" s="2">
        <v>5.7447105462779965E-2</v>
      </c>
      <c r="BK203" s="2">
        <v>8.5153852345557474E-2</v>
      </c>
      <c r="BL203" s="2">
        <v>7.4158058913035174E-2</v>
      </c>
      <c r="BM203" s="2">
        <v>7.5718189192107169E-2</v>
      </c>
      <c r="BN203" s="2">
        <v>7.3955559365675619E-2</v>
      </c>
    </row>
    <row r="204" spans="1:66" x14ac:dyDescent="0.25">
      <c r="A204" s="8">
        <v>27401</v>
      </c>
      <c r="B204" s="8" t="s">
        <v>792</v>
      </c>
      <c r="C204" s="5">
        <v>0</v>
      </c>
      <c r="D204" s="5">
        <f>+$C204*BC204</f>
        <v>0</v>
      </c>
      <c r="E204" s="5">
        <f>+$C204*BD204</f>
        <v>0</v>
      </c>
      <c r="F204" s="5">
        <f>+$C204*BE204</f>
        <v>0</v>
      </c>
      <c r="G204" s="5">
        <f>+$C204*BF204</f>
        <v>0</v>
      </c>
      <c r="H204" s="5">
        <f>+$C204*BG204</f>
        <v>0</v>
      </c>
      <c r="I204" s="5">
        <f>+$C204*BH204</f>
        <v>0</v>
      </c>
      <c r="J204" s="5">
        <f>+$C204*BI204</f>
        <v>0</v>
      </c>
      <c r="K204" s="5">
        <f>+$C204*BJ204</f>
        <v>0</v>
      </c>
      <c r="L204" s="5">
        <f>+$C204*BK204</f>
        <v>0</v>
      </c>
      <c r="M204" s="5">
        <f>+$C204*BL204</f>
        <v>0</v>
      </c>
      <c r="N204" s="5">
        <f>+$C204*BM204</f>
        <v>0</v>
      </c>
      <c r="O204" s="5">
        <f>+$C204*BN204</f>
        <v>0</v>
      </c>
      <c r="P204" s="5">
        <v>1500</v>
      </c>
      <c r="Q204" s="5">
        <f>+$P204*BC204</f>
        <v>133.77234892311336</v>
      </c>
      <c r="R204" s="5">
        <f>+$P204*BD204</f>
        <v>159.97916825167798</v>
      </c>
      <c r="S204" s="5">
        <f>+$P204*BE204</f>
        <v>141.58273627282145</v>
      </c>
      <c r="T204" s="5">
        <f>+$P204*BF204</f>
        <v>107.24347480282573</v>
      </c>
      <c r="U204" s="5">
        <f>+$P204*BG204</f>
        <v>155.52857715805143</v>
      </c>
      <c r="V204" s="5">
        <f>+$P204*BH204</f>
        <v>127.45549642881696</v>
      </c>
      <c r="W204" s="5">
        <f>+$P204*BI204</f>
        <v>126.89081831589405</v>
      </c>
      <c r="X204" s="5">
        <f>+$P204*BJ204</f>
        <v>86.170658194169945</v>
      </c>
      <c r="Y204" s="5">
        <f>+$P204*BK204</f>
        <v>127.73077851833621</v>
      </c>
      <c r="Z204" s="5">
        <f>+$P204*BL204</f>
        <v>111.23708836955277</v>
      </c>
      <c r="AA204" s="5">
        <f>+$P204*BM204</f>
        <v>113.57728378816076</v>
      </c>
      <c r="AB204" s="5">
        <f>+$P204*BN204</f>
        <v>110.93333904851343</v>
      </c>
      <c r="AC204" s="5">
        <v>0</v>
      </c>
      <c r="AD204" s="5">
        <f>+$AC204*BC204</f>
        <v>0</v>
      </c>
      <c r="AE204" s="5">
        <f>+$AC204*BD204</f>
        <v>0</v>
      </c>
      <c r="AF204" s="5">
        <f>+$AC204*BE204</f>
        <v>0</v>
      </c>
      <c r="AG204" s="5">
        <f>+$AC204*BF204</f>
        <v>0</v>
      </c>
      <c r="AH204" s="5">
        <f>+$AC204*BG204</f>
        <v>0</v>
      </c>
      <c r="AI204" s="5">
        <f>+$AC204*BH204</f>
        <v>0</v>
      </c>
      <c r="AJ204" s="5">
        <f>+$AC204*BI204</f>
        <v>0</v>
      </c>
      <c r="AK204" s="5">
        <f>+$AC204*BJ204</f>
        <v>0</v>
      </c>
      <c r="AL204" s="5">
        <f>+$AC204*BK204</f>
        <v>0</v>
      </c>
      <c r="AM204" s="5">
        <f>+$AC204*BL204</f>
        <v>0</v>
      </c>
      <c r="AN204" s="5">
        <f>+$AC204*BM204</f>
        <v>0</v>
      </c>
      <c r="AO204" s="5">
        <f>+$AC204*BN204</f>
        <v>0</v>
      </c>
      <c r="AP204" s="5">
        <f>+AC204+P204+C204</f>
        <v>1500</v>
      </c>
      <c r="AQ204" s="1">
        <v>536.46279180806403</v>
      </c>
      <c r="AR204" s="1">
        <v>641.55912580076244</v>
      </c>
      <c r="AS204" s="1">
        <v>567.78452785035347</v>
      </c>
      <c r="AT204" s="1">
        <v>430.07493221927859</v>
      </c>
      <c r="AU204" s="1">
        <v>623.71106869102834</v>
      </c>
      <c r="AV204" s="1">
        <v>511.13052881193698</v>
      </c>
      <c r="AW204" s="1">
        <v>508.86601899828605</v>
      </c>
      <c r="AX204" s="1">
        <v>345.5673182008066</v>
      </c>
      <c r="AY204" s="1">
        <v>512.2344833994664</v>
      </c>
      <c r="AZ204" s="1">
        <v>446.09038758547177</v>
      </c>
      <c r="BA204" s="1">
        <v>455.47519526620141</v>
      </c>
      <c r="BB204" s="1">
        <v>444.87227180828506</v>
      </c>
      <c r="BC204" s="2">
        <v>8.9181565948742242E-2</v>
      </c>
      <c r="BD204" s="2">
        <v>0.10665277883445198</v>
      </c>
      <c r="BE204" s="2">
        <v>9.438849084854764E-2</v>
      </c>
      <c r="BF204" s="2">
        <v>7.149564986855049E-2</v>
      </c>
      <c r="BG204" s="2">
        <v>0.10368571810536763</v>
      </c>
      <c r="BH204" s="2">
        <v>8.4970330952544637E-2</v>
      </c>
      <c r="BI204" s="2">
        <v>8.4593878877262704E-2</v>
      </c>
      <c r="BJ204" s="2">
        <v>5.7447105462779965E-2</v>
      </c>
      <c r="BK204" s="2">
        <v>8.5153852345557474E-2</v>
      </c>
      <c r="BL204" s="2">
        <v>7.4158058913035174E-2</v>
      </c>
      <c r="BM204" s="2">
        <v>7.5718189192107169E-2</v>
      </c>
      <c r="BN204" s="2">
        <v>7.3955559365675619E-2</v>
      </c>
    </row>
    <row r="205" spans="1:66" x14ac:dyDescent="0.25">
      <c r="A205" s="8">
        <v>29336</v>
      </c>
      <c r="B205" s="8" t="s">
        <v>791</v>
      </c>
      <c r="C205" s="5">
        <v>15000</v>
      </c>
      <c r="D205" s="5">
        <f>+$C205*BC205</f>
        <v>1337.7234892311337</v>
      </c>
      <c r="E205" s="5">
        <f>+$C205*BD205</f>
        <v>1599.7916825167797</v>
      </c>
      <c r="F205" s="5">
        <f>+$C205*BE205</f>
        <v>1415.8273627282147</v>
      </c>
      <c r="G205" s="5">
        <f>+$C205*BF205</f>
        <v>1072.4347480282574</v>
      </c>
      <c r="H205" s="5">
        <f>+$C205*BG205</f>
        <v>1555.2857715805144</v>
      </c>
      <c r="I205" s="5">
        <f>+$C205*BH205</f>
        <v>1274.5549642881695</v>
      </c>
      <c r="J205" s="5">
        <f>+$C205*BI205</f>
        <v>1268.9081831589406</v>
      </c>
      <c r="K205" s="5">
        <f>+$C205*BJ205</f>
        <v>861.70658194169948</v>
      </c>
      <c r="L205" s="5">
        <f>+$C205*BK205</f>
        <v>1277.3077851833621</v>
      </c>
      <c r="M205" s="5">
        <f>+$C205*BL205</f>
        <v>1112.3708836955277</v>
      </c>
      <c r="N205" s="5">
        <f>+$C205*BM205</f>
        <v>1135.7728378816075</v>
      </c>
      <c r="O205" s="5">
        <f>+$C205*BN205</f>
        <v>1109.3333904851343</v>
      </c>
      <c r="P205" s="5">
        <v>0</v>
      </c>
      <c r="Q205" s="5">
        <f>+$P205*BC205</f>
        <v>0</v>
      </c>
      <c r="R205" s="5">
        <f>+$P205*BD205</f>
        <v>0</v>
      </c>
      <c r="S205" s="5">
        <f>+$P205*BE205</f>
        <v>0</v>
      </c>
      <c r="T205" s="5">
        <f>+$P205*BF205</f>
        <v>0</v>
      </c>
      <c r="U205" s="5">
        <f>+$P205*BG205</f>
        <v>0</v>
      </c>
      <c r="V205" s="5">
        <f>+$P205*BH205</f>
        <v>0</v>
      </c>
      <c r="W205" s="5">
        <f>+$P205*BI205</f>
        <v>0</v>
      </c>
      <c r="X205" s="5">
        <f>+$P205*BJ205</f>
        <v>0</v>
      </c>
      <c r="Y205" s="5">
        <f>+$P205*BK205</f>
        <v>0</v>
      </c>
      <c r="Z205" s="5">
        <f>+$P205*BL205</f>
        <v>0</v>
      </c>
      <c r="AA205" s="5">
        <f>+$P205*BM205</f>
        <v>0</v>
      </c>
      <c r="AB205" s="5">
        <f>+$P205*BN205</f>
        <v>0</v>
      </c>
      <c r="AC205" s="5">
        <v>0</v>
      </c>
      <c r="AD205" s="5">
        <f>+$AC205*BC205</f>
        <v>0</v>
      </c>
      <c r="AE205" s="5">
        <f>+$AC205*BD205</f>
        <v>0</v>
      </c>
      <c r="AF205" s="5">
        <f>+$AC205*BE205</f>
        <v>0</v>
      </c>
      <c r="AG205" s="5">
        <f>+$AC205*BF205</f>
        <v>0</v>
      </c>
      <c r="AH205" s="5">
        <f>+$AC205*BG205</f>
        <v>0</v>
      </c>
      <c r="AI205" s="5">
        <f>+$AC205*BH205</f>
        <v>0</v>
      </c>
      <c r="AJ205" s="5">
        <f>+$AC205*BI205</f>
        <v>0</v>
      </c>
      <c r="AK205" s="5">
        <f>+$AC205*BJ205</f>
        <v>0</v>
      </c>
      <c r="AL205" s="5">
        <f>+$AC205*BK205</f>
        <v>0</v>
      </c>
      <c r="AM205" s="5">
        <f>+$AC205*BL205</f>
        <v>0</v>
      </c>
      <c r="AN205" s="5">
        <f>+$AC205*BM205</f>
        <v>0</v>
      </c>
      <c r="AO205" s="5">
        <f>+$AC205*BN205</f>
        <v>0</v>
      </c>
      <c r="AP205" s="5">
        <f>+AC205+P205+C205</f>
        <v>15000</v>
      </c>
      <c r="AQ205" s="1">
        <v>535.08939569245342</v>
      </c>
      <c r="AR205" s="1">
        <v>639.9166730067119</v>
      </c>
      <c r="AS205" s="1">
        <v>566.3309450912858</v>
      </c>
      <c r="AT205" s="1">
        <v>428.97389921130292</v>
      </c>
      <c r="AU205" s="1">
        <v>622.11430863220573</v>
      </c>
      <c r="AV205" s="1">
        <v>509.82198571526783</v>
      </c>
      <c r="AW205" s="1">
        <v>507.56327326357621</v>
      </c>
      <c r="AX205" s="1">
        <v>344.68263277667978</v>
      </c>
      <c r="AY205" s="1">
        <v>510.92311407334483</v>
      </c>
      <c r="AZ205" s="1">
        <v>444.94835347821106</v>
      </c>
      <c r="BA205" s="1">
        <v>454.30913515264302</v>
      </c>
      <c r="BB205" s="1">
        <v>443.73335619405373</v>
      </c>
      <c r="BC205" s="2">
        <v>8.9181565948742242E-2</v>
      </c>
      <c r="BD205" s="2">
        <v>0.10665277883445198</v>
      </c>
      <c r="BE205" s="2">
        <v>9.438849084854764E-2</v>
      </c>
      <c r="BF205" s="2">
        <v>7.149564986855049E-2</v>
      </c>
      <c r="BG205" s="2">
        <v>0.10368571810536763</v>
      </c>
      <c r="BH205" s="2">
        <v>8.4970330952544637E-2</v>
      </c>
      <c r="BI205" s="2">
        <v>8.4593878877262704E-2</v>
      </c>
      <c r="BJ205" s="2">
        <v>5.7447105462779965E-2</v>
      </c>
      <c r="BK205" s="2">
        <v>8.5153852345557474E-2</v>
      </c>
      <c r="BL205" s="2">
        <v>7.4158058913035174E-2</v>
      </c>
      <c r="BM205" s="2">
        <v>7.5718189192107169E-2</v>
      </c>
      <c r="BN205" s="2">
        <v>7.3955559365675619E-2</v>
      </c>
    </row>
    <row r="206" spans="1:66" x14ac:dyDescent="0.25">
      <c r="A206" s="8">
        <v>34022</v>
      </c>
      <c r="B206" s="8" t="s">
        <v>790</v>
      </c>
      <c r="C206" s="5">
        <v>10000</v>
      </c>
      <c r="D206" s="5">
        <f>+$C206*BC206</f>
        <v>891.81565948742241</v>
      </c>
      <c r="E206" s="5">
        <f>+$C206*BD206</f>
        <v>1066.5277883445199</v>
      </c>
      <c r="F206" s="5">
        <f>+$C206*BE206</f>
        <v>943.88490848547644</v>
      </c>
      <c r="G206" s="5">
        <f>+$C206*BF206</f>
        <v>714.95649868550493</v>
      </c>
      <c r="H206" s="5">
        <f>+$C206*BG206</f>
        <v>1036.8571810536762</v>
      </c>
      <c r="I206" s="5">
        <f>+$C206*BH206</f>
        <v>849.70330952544634</v>
      </c>
      <c r="J206" s="5">
        <f>+$C206*BI206</f>
        <v>845.93878877262705</v>
      </c>
      <c r="K206" s="5">
        <f>+$C206*BJ206</f>
        <v>574.47105462779962</v>
      </c>
      <c r="L206" s="5">
        <f>+$C206*BK206</f>
        <v>851.5385234555747</v>
      </c>
      <c r="M206" s="5">
        <f>+$C206*BL206</f>
        <v>741.58058913035177</v>
      </c>
      <c r="N206" s="5">
        <f>+$C206*BM206</f>
        <v>757.18189192107172</v>
      </c>
      <c r="O206" s="5">
        <f>+$C206*BN206</f>
        <v>739.55559365675617</v>
      </c>
      <c r="P206" s="5">
        <v>0</v>
      </c>
      <c r="Q206" s="5">
        <f>+$P206*BC206</f>
        <v>0</v>
      </c>
      <c r="R206" s="5">
        <f>+$P206*BD206</f>
        <v>0</v>
      </c>
      <c r="S206" s="5">
        <f>+$P206*BE206</f>
        <v>0</v>
      </c>
      <c r="T206" s="5">
        <f>+$P206*BF206</f>
        <v>0</v>
      </c>
      <c r="U206" s="5">
        <f>+$P206*BG206</f>
        <v>0</v>
      </c>
      <c r="V206" s="5">
        <f>+$P206*BH206</f>
        <v>0</v>
      </c>
      <c r="W206" s="5">
        <f>+$P206*BI206</f>
        <v>0</v>
      </c>
      <c r="X206" s="5">
        <f>+$P206*BJ206</f>
        <v>0</v>
      </c>
      <c r="Y206" s="5">
        <f>+$P206*BK206</f>
        <v>0</v>
      </c>
      <c r="Z206" s="5">
        <f>+$P206*BL206</f>
        <v>0</v>
      </c>
      <c r="AA206" s="5">
        <f>+$P206*BM206</f>
        <v>0</v>
      </c>
      <c r="AB206" s="5">
        <f>+$P206*BN206</f>
        <v>0</v>
      </c>
      <c r="AC206" s="5">
        <v>0</v>
      </c>
      <c r="AD206" s="5">
        <f>+$AC206*BC206</f>
        <v>0</v>
      </c>
      <c r="AE206" s="5">
        <f>+$AC206*BD206</f>
        <v>0</v>
      </c>
      <c r="AF206" s="5">
        <f>+$AC206*BE206</f>
        <v>0</v>
      </c>
      <c r="AG206" s="5">
        <f>+$AC206*BF206</f>
        <v>0</v>
      </c>
      <c r="AH206" s="5">
        <f>+$AC206*BG206</f>
        <v>0</v>
      </c>
      <c r="AI206" s="5">
        <f>+$AC206*BH206</f>
        <v>0</v>
      </c>
      <c r="AJ206" s="5">
        <f>+$AC206*BI206</f>
        <v>0</v>
      </c>
      <c r="AK206" s="5">
        <f>+$AC206*BJ206</f>
        <v>0</v>
      </c>
      <c r="AL206" s="5">
        <f>+$AC206*BK206</f>
        <v>0</v>
      </c>
      <c r="AM206" s="5">
        <f>+$AC206*BL206</f>
        <v>0</v>
      </c>
      <c r="AN206" s="5">
        <f>+$AC206*BM206</f>
        <v>0</v>
      </c>
      <c r="AO206" s="5">
        <f>+$AC206*BN206</f>
        <v>0</v>
      </c>
      <c r="AP206" s="5">
        <f>+AC206+P206+C206</f>
        <v>10000</v>
      </c>
      <c r="AQ206" s="1">
        <v>535.08939569245342</v>
      </c>
      <c r="AR206" s="1">
        <v>639.9166730067119</v>
      </c>
      <c r="AS206" s="1">
        <v>566.3309450912858</v>
      </c>
      <c r="AT206" s="1">
        <v>428.97389921130292</v>
      </c>
      <c r="AU206" s="1">
        <v>622.11430863220573</v>
      </c>
      <c r="AV206" s="1">
        <v>509.82198571526783</v>
      </c>
      <c r="AW206" s="1">
        <v>507.56327326357621</v>
      </c>
      <c r="AX206" s="1">
        <v>344.68263277667978</v>
      </c>
      <c r="AY206" s="1">
        <v>510.92311407334483</v>
      </c>
      <c r="AZ206" s="1">
        <v>444.94835347821106</v>
      </c>
      <c r="BA206" s="1">
        <v>454.30913515264302</v>
      </c>
      <c r="BB206" s="1">
        <v>443.73335619405373</v>
      </c>
      <c r="BC206" s="2">
        <v>8.9181565948742242E-2</v>
      </c>
      <c r="BD206" s="2">
        <v>0.10665277883445198</v>
      </c>
      <c r="BE206" s="2">
        <v>9.438849084854764E-2</v>
      </c>
      <c r="BF206" s="2">
        <v>7.149564986855049E-2</v>
      </c>
      <c r="BG206" s="2">
        <v>0.10368571810536763</v>
      </c>
      <c r="BH206" s="2">
        <v>8.4970330952544637E-2</v>
      </c>
      <c r="BI206" s="2">
        <v>8.4593878877262704E-2</v>
      </c>
      <c r="BJ206" s="2">
        <v>5.7447105462779965E-2</v>
      </c>
      <c r="BK206" s="2">
        <v>8.5153852345557474E-2</v>
      </c>
      <c r="BL206" s="2">
        <v>7.4158058913035174E-2</v>
      </c>
      <c r="BM206" s="2">
        <v>7.5718189192107169E-2</v>
      </c>
      <c r="BN206" s="2">
        <v>7.3955559365675619E-2</v>
      </c>
    </row>
    <row r="207" spans="1:66" x14ac:dyDescent="0.25">
      <c r="A207" s="8">
        <v>1875</v>
      </c>
      <c r="B207" s="8" t="s">
        <v>789</v>
      </c>
      <c r="C207" s="5">
        <v>0</v>
      </c>
      <c r="D207" s="5">
        <f>+$C207*BC207</f>
        <v>0</v>
      </c>
      <c r="E207" s="5">
        <f>+$C207*BD207</f>
        <v>0</v>
      </c>
      <c r="F207" s="5">
        <f>+$C207*BE207</f>
        <v>0</v>
      </c>
      <c r="G207" s="5">
        <f>+$C207*BF207</f>
        <v>0</v>
      </c>
      <c r="H207" s="5">
        <f>+$C207*BG207</f>
        <v>0</v>
      </c>
      <c r="I207" s="5">
        <f>+$C207*BH207</f>
        <v>0</v>
      </c>
      <c r="J207" s="5">
        <f>+$C207*BI207</f>
        <v>0</v>
      </c>
      <c r="K207" s="5">
        <f>+$C207*BJ207</f>
        <v>0</v>
      </c>
      <c r="L207" s="5">
        <f>+$C207*BK207</f>
        <v>0</v>
      </c>
      <c r="M207" s="5">
        <f>+$C207*BL207</f>
        <v>0</v>
      </c>
      <c r="N207" s="5">
        <f>+$C207*BM207</f>
        <v>0</v>
      </c>
      <c r="O207" s="5">
        <f>+$C207*BN207</f>
        <v>0</v>
      </c>
      <c r="P207" s="5">
        <v>5000</v>
      </c>
      <c r="Q207" s="5">
        <f>+$P207*BC207</f>
        <v>445.9078297437112</v>
      </c>
      <c r="R207" s="5">
        <f>+$P207*BD207</f>
        <v>533.26389417225994</v>
      </c>
      <c r="S207" s="5">
        <f>+$P207*BE207</f>
        <v>471.94245424273822</v>
      </c>
      <c r="T207" s="5">
        <f>+$P207*BF207</f>
        <v>357.47824934275246</v>
      </c>
      <c r="U207" s="5">
        <f>+$P207*BG207</f>
        <v>518.42859052683809</v>
      </c>
      <c r="V207" s="5">
        <f>+$P207*BH207</f>
        <v>424.85165476272317</v>
      </c>
      <c r="W207" s="5">
        <f>+$P207*BI207</f>
        <v>422.96939438631352</v>
      </c>
      <c r="X207" s="5">
        <f>+$P207*BJ207</f>
        <v>287.23552731389981</v>
      </c>
      <c r="Y207" s="5">
        <f>+$P207*BK207</f>
        <v>425.76926172778735</v>
      </c>
      <c r="Z207" s="5">
        <f>+$P207*BL207</f>
        <v>370.79029456517588</v>
      </c>
      <c r="AA207" s="5">
        <f>+$P207*BM207</f>
        <v>378.59094596053586</v>
      </c>
      <c r="AB207" s="5">
        <f>+$P207*BN207</f>
        <v>369.77779682837809</v>
      </c>
      <c r="AC207" s="5">
        <v>0</v>
      </c>
      <c r="AD207" s="5">
        <f>+$AC207*BC207</f>
        <v>0</v>
      </c>
      <c r="AE207" s="5">
        <f>+$AC207*BD207</f>
        <v>0</v>
      </c>
      <c r="AF207" s="5">
        <f>+$AC207*BE207</f>
        <v>0</v>
      </c>
      <c r="AG207" s="5">
        <f>+$AC207*BF207</f>
        <v>0</v>
      </c>
      <c r="AH207" s="5">
        <f>+$AC207*BG207</f>
        <v>0</v>
      </c>
      <c r="AI207" s="5">
        <f>+$AC207*BH207</f>
        <v>0</v>
      </c>
      <c r="AJ207" s="5">
        <f>+$AC207*BI207</f>
        <v>0</v>
      </c>
      <c r="AK207" s="5">
        <f>+$AC207*BJ207</f>
        <v>0</v>
      </c>
      <c r="AL207" s="5">
        <f>+$AC207*BK207</f>
        <v>0</v>
      </c>
      <c r="AM207" s="5">
        <f>+$AC207*BL207</f>
        <v>0</v>
      </c>
      <c r="AN207" s="5">
        <f>+$AC207*BM207</f>
        <v>0</v>
      </c>
      <c r="AO207" s="5">
        <f>+$AC207*BN207</f>
        <v>0</v>
      </c>
      <c r="AP207" s="5">
        <f>+AC207+P207+C207</f>
        <v>5000</v>
      </c>
      <c r="AQ207" s="1">
        <v>535.08939569245342</v>
      </c>
      <c r="AR207" s="1">
        <v>639.9166730067119</v>
      </c>
      <c r="AS207" s="1">
        <v>566.3309450912858</v>
      </c>
      <c r="AT207" s="1">
        <v>428.97389921130292</v>
      </c>
      <c r="AU207" s="1">
        <v>622.11430863220573</v>
      </c>
      <c r="AV207" s="1">
        <v>509.82198571526783</v>
      </c>
      <c r="AW207" s="1">
        <v>507.56327326357621</v>
      </c>
      <c r="AX207" s="1">
        <v>344.68263277667978</v>
      </c>
      <c r="AY207" s="1">
        <v>510.92311407334483</v>
      </c>
      <c r="AZ207" s="1">
        <v>444.94835347821106</v>
      </c>
      <c r="BA207" s="1">
        <v>454.30913515264302</v>
      </c>
      <c r="BB207" s="1">
        <v>443.73335619405373</v>
      </c>
      <c r="BC207" s="2">
        <v>8.9181565948742242E-2</v>
      </c>
      <c r="BD207" s="2">
        <v>0.10665277883445198</v>
      </c>
      <c r="BE207" s="2">
        <v>9.438849084854764E-2</v>
      </c>
      <c r="BF207" s="2">
        <v>7.149564986855049E-2</v>
      </c>
      <c r="BG207" s="2">
        <v>0.10368571810536763</v>
      </c>
      <c r="BH207" s="2">
        <v>8.4970330952544637E-2</v>
      </c>
      <c r="BI207" s="2">
        <v>8.4593878877262704E-2</v>
      </c>
      <c r="BJ207" s="2">
        <v>5.7447105462779965E-2</v>
      </c>
      <c r="BK207" s="2">
        <v>8.5153852345557474E-2</v>
      </c>
      <c r="BL207" s="2">
        <v>7.4158058913035174E-2</v>
      </c>
      <c r="BM207" s="2">
        <v>7.5718189192107169E-2</v>
      </c>
      <c r="BN207" s="2">
        <v>7.3955559365675619E-2</v>
      </c>
    </row>
    <row r="208" spans="1:66" x14ac:dyDescent="0.25">
      <c r="A208" s="8">
        <v>17315</v>
      </c>
      <c r="B208" s="8" t="s">
        <v>788</v>
      </c>
      <c r="C208" s="5">
        <v>5500</v>
      </c>
      <c r="D208" s="5">
        <f>+$C208*BC208</f>
        <v>490.49861271808231</v>
      </c>
      <c r="E208" s="5">
        <f>+$C208*BD208</f>
        <v>586.59028358948592</v>
      </c>
      <c r="F208" s="5">
        <f>+$C208*BE208</f>
        <v>519.13669966701207</v>
      </c>
      <c r="G208" s="5">
        <f>+$C208*BF208</f>
        <v>393.22607427702769</v>
      </c>
      <c r="H208" s="5">
        <f>+$C208*BG208</f>
        <v>570.27144957952191</v>
      </c>
      <c r="I208" s="5">
        <f>+$C208*BH208</f>
        <v>467.33682023899553</v>
      </c>
      <c r="J208" s="5">
        <f>+$C208*BI208</f>
        <v>465.26633382494487</v>
      </c>
      <c r="K208" s="5">
        <f>+$C208*BJ208</f>
        <v>315.9590800452898</v>
      </c>
      <c r="L208" s="5">
        <f>+$C208*BK208</f>
        <v>468.34618790056612</v>
      </c>
      <c r="M208" s="5">
        <f>+$C208*BL208</f>
        <v>407.86932402169344</v>
      </c>
      <c r="N208" s="5">
        <f>+$C208*BM208</f>
        <v>416.45004055658944</v>
      </c>
      <c r="O208" s="5">
        <f>+$C208*BN208</f>
        <v>406.75557651121591</v>
      </c>
      <c r="P208" s="5">
        <v>0</v>
      </c>
      <c r="Q208" s="5">
        <f>+$P208*BC208</f>
        <v>0</v>
      </c>
      <c r="R208" s="5">
        <f>+$P208*BD208</f>
        <v>0</v>
      </c>
      <c r="S208" s="5">
        <f>+$P208*BE208</f>
        <v>0</v>
      </c>
      <c r="T208" s="5">
        <f>+$P208*BF208</f>
        <v>0</v>
      </c>
      <c r="U208" s="5">
        <f>+$P208*BG208</f>
        <v>0</v>
      </c>
      <c r="V208" s="5">
        <f>+$P208*BH208</f>
        <v>0</v>
      </c>
      <c r="W208" s="5">
        <f>+$P208*BI208</f>
        <v>0</v>
      </c>
      <c r="X208" s="5">
        <f>+$P208*BJ208</f>
        <v>0</v>
      </c>
      <c r="Y208" s="5">
        <f>+$P208*BK208</f>
        <v>0</v>
      </c>
      <c r="Z208" s="5">
        <f>+$P208*BL208</f>
        <v>0</v>
      </c>
      <c r="AA208" s="5">
        <f>+$P208*BM208</f>
        <v>0</v>
      </c>
      <c r="AB208" s="5">
        <f>+$P208*BN208</f>
        <v>0</v>
      </c>
      <c r="AC208" s="5">
        <v>0</v>
      </c>
      <c r="AD208" s="5">
        <f>+$AC208*BC208</f>
        <v>0</v>
      </c>
      <c r="AE208" s="5">
        <f>+$AC208*BD208</f>
        <v>0</v>
      </c>
      <c r="AF208" s="5">
        <f>+$AC208*BE208</f>
        <v>0</v>
      </c>
      <c r="AG208" s="5">
        <f>+$AC208*BF208</f>
        <v>0</v>
      </c>
      <c r="AH208" s="5">
        <f>+$AC208*BG208</f>
        <v>0</v>
      </c>
      <c r="AI208" s="5">
        <f>+$AC208*BH208</f>
        <v>0</v>
      </c>
      <c r="AJ208" s="5">
        <f>+$AC208*BI208</f>
        <v>0</v>
      </c>
      <c r="AK208" s="5">
        <f>+$AC208*BJ208</f>
        <v>0</v>
      </c>
      <c r="AL208" s="5">
        <f>+$AC208*BK208</f>
        <v>0</v>
      </c>
      <c r="AM208" s="5">
        <f>+$AC208*BL208</f>
        <v>0</v>
      </c>
      <c r="AN208" s="5">
        <f>+$AC208*BM208</f>
        <v>0</v>
      </c>
      <c r="AO208" s="5">
        <f>+$AC208*BN208</f>
        <v>0</v>
      </c>
      <c r="AP208" s="5">
        <f>+AC208+P208+C208</f>
        <v>5500</v>
      </c>
      <c r="AQ208" s="1">
        <v>490.49861271808231</v>
      </c>
      <c r="AR208" s="1">
        <v>586.59028358948592</v>
      </c>
      <c r="AS208" s="1">
        <v>519.13669966701207</v>
      </c>
      <c r="AT208" s="1">
        <v>393.22607427702769</v>
      </c>
      <c r="AU208" s="1">
        <v>570.27144957952191</v>
      </c>
      <c r="AV208" s="1">
        <v>467.33682023899553</v>
      </c>
      <c r="AW208" s="1">
        <v>465.26633382494487</v>
      </c>
      <c r="AX208" s="1">
        <v>315.9590800452898</v>
      </c>
      <c r="AY208" s="1">
        <v>468.34618790056612</v>
      </c>
      <c r="AZ208" s="1">
        <v>407.86932402169344</v>
      </c>
      <c r="BA208" s="1">
        <v>416.45004055658944</v>
      </c>
      <c r="BB208" s="1">
        <v>406.75557651121591</v>
      </c>
      <c r="BC208" s="2">
        <v>8.9181565948742242E-2</v>
      </c>
      <c r="BD208" s="2">
        <v>0.10665277883445198</v>
      </c>
      <c r="BE208" s="2">
        <v>9.438849084854764E-2</v>
      </c>
      <c r="BF208" s="2">
        <v>7.149564986855049E-2</v>
      </c>
      <c r="BG208" s="2">
        <v>0.10368571810536763</v>
      </c>
      <c r="BH208" s="2">
        <v>8.4970330952544637E-2</v>
      </c>
      <c r="BI208" s="2">
        <v>8.4593878877262704E-2</v>
      </c>
      <c r="BJ208" s="2">
        <v>5.7447105462779965E-2</v>
      </c>
      <c r="BK208" s="2">
        <v>8.5153852345557474E-2</v>
      </c>
      <c r="BL208" s="2">
        <v>7.4158058913035174E-2</v>
      </c>
      <c r="BM208" s="2">
        <v>7.5718189192107169E-2</v>
      </c>
      <c r="BN208" s="2">
        <v>7.3955559365675619E-2</v>
      </c>
    </row>
    <row r="209" spans="1:66" x14ac:dyDescent="0.25">
      <c r="A209" s="8">
        <v>2315</v>
      </c>
      <c r="B209" s="8" t="s">
        <v>787</v>
      </c>
      <c r="C209" s="5">
        <v>4000</v>
      </c>
      <c r="D209" s="5">
        <f>+$C209*BC209</f>
        <v>356.72626379496899</v>
      </c>
      <c r="E209" s="5">
        <f>+$C209*BD209</f>
        <v>426.61111533780792</v>
      </c>
      <c r="F209" s="5">
        <f>+$C209*BE209</f>
        <v>377.55396339419059</v>
      </c>
      <c r="G209" s="5">
        <f>+$C209*BF209</f>
        <v>285.98259947420195</v>
      </c>
      <c r="H209" s="5">
        <f>+$C209*BG209</f>
        <v>414.74287242147051</v>
      </c>
      <c r="I209" s="5">
        <f>+$C209*BH209</f>
        <v>339.88132381017857</v>
      </c>
      <c r="J209" s="5">
        <f>+$C209*BI209</f>
        <v>338.37551550905084</v>
      </c>
      <c r="K209" s="5">
        <f>+$C209*BJ209</f>
        <v>229.78842185111986</v>
      </c>
      <c r="L209" s="5">
        <f>+$C209*BK209</f>
        <v>340.61540938222987</v>
      </c>
      <c r="M209" s="5">
        <f>+$C209*BL209</f>
        <v>296.63223565214071</v>
      </c>
      <c r="N209" s="5">
        <f>+$C209*BM209</f>
        <v>302.8727567684287</v>
      </c>
      <c r="O209" s="5">
        <f>+$C209*BN209</f>
        <v>295.8222374627025</v>
      </c>
      <c r="P209" s="5">
        <v>1000</v>
      </c>
      <c r="Q209" s="5">
        <f>+$P209*BC209</f>
        <v>89.181565948742247</v>
      </c>
      <c r="R209" s="5">
        <f>+$P209*BD209</f>
        <v>106.65277883445198</v>
      </c>
      <c r="S209" s="5">
        <f>+$P209*BE209</f>
        <v>94.388490848547647</v>
      </c>
      <c r="T209" s="5">
        <f>+$P209*BF209</f>
        <v>71.495649868550487</v>
      </c>
      <c r="U209" s="5">
        <f>+$P209*BG209</f>
        <v>103.68571810536763</v>
      </c>
      <c r="V209" s="5">
        <f>+$P209*BH209</f>
        <v>84.970330952544643</v>
      </c>
      <c r="W209" s="5">
        <f>+$P209*BI209</f>
        <v>84.593878877262711</v>
      </c>
      <c r="X209" s="5">
        <f>+$P209*BJ209</f>
        <v>57.447105462779966</v>
      </c>
      <c r="Y209" s="5">
        <f>+$P209*BK209</f>
        <v>85.153852345557468</v>
      </c>
      <c r="Z209" s="5">
        <f>+$P209*BL209</f>
        <v>74.158058913035177</v>
      </c>
      <c r="AA209" s="5">
        <f>+$P209*BM209</f>
        <v>75.718189192107175</v>
      </c>
      <c r="AB209" s="5">
        <f>+$P209*BN209</f>
        <v>73.955559365675626</v>
      </c>
      <c r="AC209" s="5">
        <v>800</v>
      </c>
      <c r="AD209" s="5">
        <f>+$AC209*BC209</f>
        <v>71.345252758993794</v>
      </c>
      <c r="AE209" s="5">
        <f>+$AC209*BD209</f>
        <v>85.32222306756158</v>
      </c>
      <c r="AF209" s="5">
        <f>+$AC209*BE209</f>
        <v>75.510792678838115</v>
      </c>
      <c r="AG209" s="5">
        <f>+$AC209*BF209</f>
        <v>57.196519894840392</v>
      </c>
      <c r="AH209" s="5">
        <f>+$AC209*BG209</f>
        <v>82.948574484294099</v>
      </c>
      <c r="AI209" s="5">
        <f>+$AC209*BH209</f>
        <v>67.976264762035711</v>
      </c>
      <c r="AJ209" s="5">
        <f>+$AC209*BI209</f>
        <v>67.675103101810166</v>
      </c>
      <c r="AK209" s="5">
        <f>+$AC209*BJ209</f>
        <v>45.957684370223973</v>
      </c>
      <c r="AL209" s="5">
        <f>+$AC209*BK209</f>
        <v>68.12308187644598</v>
      </c>
      <c r="AM209" s="5">
        <f>+$AC209*BL209</f>
        <v>59.326447130428136</v>
      </c>
      <c r="AN209" s="5">
        <f>+$AC209*BM209</f>
        <v>60.574551353685735</v>
      </c>
      <c r="AO209" s="5">
        <f>+$AC209*BN209</f>
        <v>59.164447492540496</v>
      </c>
      <c r="AP209" s="5">
        <f>+AC209+P209+C209</f>
        <v>5800</v>
      </c>
      <c r="AQ209" s="1">
        <v>490.49861271808231</v>
      </c>
      <c r="AR209" s="1">
        <v>586.59028358948592</v>
      </c>
      <c r="AS209" s="1">
        <v>519.13669966701207</v>
      </c>
      <c r="AT209" s="1">
        <v>393.22607427702769</v>
      </c>
      <c r="AU209" s="1">
        <v>570.27144957952191</v>
      </c>
      <c r="AV209" s="1">
        <v>467.33682023899553</v>
      </c>
      <c r="AW209" s="1">
        <v>465.26633382494487</v>
      </c>
      <c r="AX209" s="1">
        <v>315.9590800452898</v>
      </c>
      <c r="AY209" s="1">
        <v>468.34618790056612</v>
      </c>
      <c r="AZ209" s="1">
        <v>407.86932402169344</v>
      </c>
      <c r="BA209" s="1">
        <v>416.45004055658944</v>
      </c>
      <c r="BB209" s="1">
        <v>406.75557651121591</v>
      </c>
      <c r="BC209" s="2">
        <v>8.9181565948742242E-2</v>
      </c>
      <c r="BD209" s="2">
        <v>0.10665277883445198</v>
      </c>
      <c r="BE209" s="2">
        <v>9.438849084854764E-2</v>
      </c>
      <c r="BF209" s="2">
        <v>7.149564986855049E-2</v>
      </c>
      <c r="BG209" s="2">
        <v>0.10368571810536763</v>
      </c>
      <c r="BH209" s="2">
        <v>8.4970330952544637E-2</v>
      </c>
      <c r="BI209" s="2">
        <v>8.4593878877262704E-2</v>
      </c>
      <c r="BJ209" s="2">
        <v>5.7447105462779965E-2</v>
      </c>
      <c r="BK209" s="2">
        <v>8.5153852345557474E-2</v>
      </c>
      <c r="BL209" s="2">
        <v>7.4158058913035174E-2</v>
      </c>
      <c r="BM209" s="2">
        <v>7.5718189192107169E-2</v>
      </c>
      <c r="BN209" s="2">
        <v>7.3955559365675619E-2</v>
      </c>
    </row>
    <row r="210" spans="1:66" x14ac:dyDescent="0.25">
      <c r="A210" s="8">
        <v>4176</v>
      </c>
      <c r="B210" s="8" t="s">
        <v>786</v>
      </c>
      <c r="C210" s="5">
        <v>0</v>
      </c>
      <c r="D210" s="5">
        <f>+$C210*BC210</f>
        <v>0</v>
      </c>
      <c r="E210" s="5">
        <f>+$C210*BD210</f>
        <v>0</v>
      </c>
      <c r="F210" s="5">
        <f>+$C210*BE210</f>
        <v>0</v>
      </c>
      <c r="G210" s="5">
        <f>+$C210*BF210</f>
        <v>0</v>
      </c>
      <c r="H210" s="5">
        <f>+$C210*BG210</f>
        <v>0</v>
      </c>
      <c r="I210" s="5">
        <f>+$C210*BH210</f>
        <v>0</v>
      </c>
      <c r="J210" s="5">
        <f>+$C210*BI210</f>
        <v>0</v>
      </c>
      <c r="K210" s="5">
        <f>+$C210*BJ210</f>
        <v>0</v>
      </c>
      <c r="L210" s="5">
        <f>+$C210*BK210</f>
        <v>0</v>
      </c>
      <c r="M210" s="5">
        <f>+$C210*BL210</f>
        <v>0</v>
      </c>
      <c r="N210" s="5">
        <f>+$C210*BM210</f>
        <v>0</v>
      </c>
      <c r="O210" s="5">
        <f>+$C210*BN210</f>
        <v>0</v>
      </c>
      <c r="P210" s="5">
        <v>4000</v>
      </c>
      <c r="Q210" s="5">
        <f>+$P210*BC210</f>
        <v>356.72626379496899</v>
      </c>
      <c r="R210" s="5">
        <f>+$P210*BD210</f>
        <v>426.61111533780792</v>
      </c>
      <c r="S210" s="5">
        <f>+$P210*BE210</f>
        <v>377.55396339419059</v>
      </c>
      <c r="T210" s="5">
        <f>+$P210*BF210</f>
        <v>285.98259947420195</v>
      </c>
      <c r="U210" s="5">
        <f>+$P210*BG210</f>
        <v>414.74287242147051</v>
      </c>
      <c r="V210" s="5">
        <f>+$P210*BH210</f>
        <v>339.88132381017857</v>
      </c>
      <c r="W210" s="5">
        <f>+$P210*BI210</f>
        <v>338.37551550905084</v>
      </c>
      <c r="X210" s="5">
        <f>+$P210*BJ210</f>
        <v>229.78842185111986</v>
      </c>
      <c r="Y210" s="5">
        <f>+$P210*BK210</f>
        <v>340.61540938222987</v>
      </c>
      <c r="Z210" s="5">
        <f>+$P210*BL210</f>
        <v>296.63223565214071</v>
      </c>
      <c r="AA210" s="5">
        <f>+$P210*BM210</f>
        <v>302.8727567684287</v>
      </c>
      <c r="AB210" s="5">
        <f>+$P210*BN210</f>
        <v>295.8222374627025</v>
      </c>
      <c r="AC210" s="5">
        <v>0</v>
      </c>
      <c r="AD210" s="5">
        <f>+$AC210*BC210</f>
        <v>0</v>
      </c>
      <c r="AE210" s="5">
        <f>+$AC210*BD210</f>
        <v>0</v>
      </c>
      <c r="AF210" s="5">
        <f>+$AC210*BE210</f>
        <v>0</v>
      </c>
      <c r="AG210" s="5">
        <f>+$AC210*BF210</f>
        <v>0</v>
      </c>
      <c r="AH210" s="5">
        <f>+$AC210*BG210</f>
        <v>0</v>
      </c>
      <c r="AI210" s="5">
        <f>+$AC210*BH210</f>
        <v>0</v>
      </c>
      <c r="AJ210" s="5">
        <f>+$AC210*BI210</f>
        <v>0</v>
      </c>
      <c r="AK210" s="5">
        <f>+$AC210*BJ210</f>
        <v>0</v>
      </c>
      <c r="AL210" s="5">
        <f>+$AC210*BK210</f>
        <v>0</v>
      </c>
      <c r="AM210" s="5">
        <f>+$AC210*BL210</f>
        <v>0</v>
      </c>
      <c r="AN210" s="5">
        <f>+$AC210*BM210</f>
        <v>0</v>
      </c>
      <c r="AO210" s="5">
        <f>+$AC210*BN210</f>
        <v>0</v>
      </c>
      <c r="AP210" s="5">
        <f>+AC210+P210+C210</f>
        <v>4000</v>
      </c>
      <c r="AQ210" s="1">
        <v>576.95122274879304</v>
      </c>
      <c r="AR210" s="1">
        <v>689.97948739160358</v>
      </c>
      <c r="AS210" s="1">
        <v>610.63690269559402</v>
      </c>
      <c r="AT210" s="1">
        <v>462.53395725960053</v>
      </c>
      <c r="AU210" s="1">
        <v>670.78438471086531</v>
      </c>
      <c r="AV210" s="1">
        <v>549.7070590643923</v>
      </c>
      <c r="AW210" s="1">
        <v>547.27164000856328</v>
      </c>
      <c r="AX210" s="1">
        <v>371.6483040809087</v>
      </c>
      <c r="AY210" s="1">
        <v>550.89433236434945</v>
      </c>
      <c r="AZ210" s="1">
        <v>479.75814633198974</v>
      </c>
      <c r="BA210" s="1">
        <v>489.85125315941809</v>
      </c>
      <c r="BB210" s="1">
        <v>478.44809576030184</v>
      </c>
      <c r="BC210" s="2">
        <v>8.9181565948742242E-2</v>
      </c>
      <c r="BD210" s="2">
        <v>0.10665277883445198</v>
      </c>
      <c r="BE210" s="2">
        <v>9.438849084854764E-2</v>
      </c>
      <c r="BF210" s="2">
        <v>7.149564986855049E-2</v>
      </c>
      <c r="BG210" s="2">
        <v>0.10368571810536763</v>
      </c>
      <c r="BH210" s="2">
        <v>8.4970330952544637E-2</v>
      </c>
      <c r="BI210" s="2">
        <v>8.4593878877262704E-2</v>
      </c>
      <c r="BJ210" s="2">
        <v>5.7447105462779965E-2</v>
      </c>
      <c r="BK210" s="2">
        <v>8.5153852345557474E-2</v>
      </c>
      <c r="BL210" s="2">
        <v>7.4158058913035174E-2</v>
      </c>
      <c r="BM210" s="2">
        <v>7.5718189192107169E-2</v>
      </c>
      <c r="BN210" s="2">
        <v>7.3955559365675619E-2</v>
      </c>
    </row>
    <row r="211" spans="1:66" x14ac:dyDescent="0.25">
      <c r="A211" s="8">
        <v>2016</v>
      </c>
      <c r="B211" s="8" t="s">
        <v>785</v>
      </c>
      <c r="C211" s="5">
        <v>0</v>
      </c>
      <c r="D211" s="5">
        <f>+$C211*BC211</f>
        <v>0</v>
      </c>
      <c r="E211" s="5">
        <f>+$C211*BD211</f>
        <v>0</v>
      </c>
      <c r="F211" s="5">
        <f>+$C211*BE211</f>
        <v>0</v>
      </c>
      <c r="G211" s="5">
        <f>+$C211*BF211</f>
        <v>0</v>
      </c>
      <c r="H211" s="5">
        <f>+$C211*BG211</f>
        <v>0</v>
      </c>
      <c r="I211" s="5">
        <f>+$C211*BH211</f>
        <v>0</v>
      </c>
      <c r="J211" s="5">
        <f>+$C211*BI211</f>
        <v>0</v>
      </c>
      <c r="K211" s="5">
        <f>+$C211*BJ211</f>
        <v>0</v>
      </c>
      <c r="L211" s="5">
        <f>+$C211*BK211</f>
        <v>0</v>
      </c>
      <c r="M211" s="5">
        <f>+$C211*BL211</f>
        <v>0</v>
      </c>
      <c r="N211" s="5">
        <f>+$C211*BM211</f>
        <v>0</v>
      </c>
      <c r="O211" s="5">
        <f>+$C211*BN211</f>
        <v>0</v>
      </c>
      <c r="P211" s="5">
        <v>2000</v>
      </c>
      <c r="Q211" s="5">
        <f>+$P211*BC211</f>
        <v>178.36313189748449</v>
      </c>
      <c r="R211" s="5">
        <f>+$P211*BD211</f>
        <v>213.30555766890396</v>
      </c>
      <c r="S211" s="5">
        <f>+$P211*BE211</f>
        <v>188.77698169709529</v>
      </c>
      <c r="T211" s="5">
        <f>+$P211*BF211</f>
        <v>142.99129973710097</v>
      </c>
      <c r="U211" s="5">
        <f>+$P211*BG211</f>
        <v>207.37143621073525</v>
      </c>
      <c r="V211" s="5">
        <f>+$P211*BH211</f>
        <v>169.94066190508929</v>
      </c>
      <c r="W211" s="5">
        <f>+$P211*BI211</f>
        <v>169.18775775452542</v>
      </c>
      <c r="X211" s="5">
        <f>+$P211*BJ211</f>
        <v>114.89421092555993</v>
      </c>
      <c r="Y211" s="5">
        <f>+$P211*BK211</f>
        <v>170.30770469111494</v>
      </c>
      <c r="Z211" s="5">
        <f>+$P211*BL211</f>
        <v>148.31611782607035</v>
      </c>
      <c r="AA211" s="5">
        <f>+$P211*BM211</f>
        <v>151.43637838421435</v>
      </c>
      <c r="AB211" s="5">
        <f>+$P211*BN211</f>
        <v>147.91111873135125</v>
      </c>
      <c r="AC211" s="5">
        <v>0</v>
      </c>
      <c r="AD211" s="5">
        <f>+$AC211*BC211</f>
        <v>0</v>
      </c>
      <c r="AE211" s="5">
        <f>+$AC211*BD211</f>
        <v>0</v>
      </c>
      <c r="AF211" s="5">
        <f>+$AC211*BE211</f>
        <v>0</v>
      </c>
      <c r="AG211" s="5">
        <f>+$AC211*BF211</f>
        <v>0</v>
      </c>
      <c r="AH211" s="5">
        <f>+$AC211*BG211</f>
        <v>0</v>
      </c>
      <c r="AI211" s="5">
        <f>+$AC211*BH211</f>
        <v>0</v>
      </c>
      <c r="AJ211" s="5">
        <f>+$AC211*BI211</f>
        <v>0</v>
      </c>
      <c r="AK211" s="5">
        <f>+$AC211*BJ211</f>
        <v>0</v>
      </c>
      <c r="AL211" s="5">
        <f>+$AC211*BK211</f>
        <v>0</v>
      </c>
      <c r="AM211" s="5">
        <f>+$AC211*BL211</f>
        <v>0</v>
      </c>
      <c r="AN211" s="5">
        <f>+$AC211*BM211</f>
        <v>0</v>
      </c>
      <c r="AO211" s="5">
        <f>+$AC211*BN211</f>
        <v>0</v>
      </c>
      <c r="AP211" s="5">
        <f>+AC211+P211+C211</f>
        <v>2000</v>
      </c>
      <c r="AQ211" s="1">
        <v>455.44900875830331</v>
      </c>
      <c r="AR211" s="1">
        <v>544.67424836864257</v>
      </c>
      <c r="AS211" s="1">
        <v>482.04070132466092</v>
      </c>
      <c r="AT211" s="1">
        <v>365.12728293958918</v>
      </c>
      <c r="AU211" s="1">
        <v>529.52151076405903</v>
      </c>
      <c r="AV211" s="1">
        <v>433.94229059001213</v>
      </c>
      <c r="AW211" s="1">
        <v>432.01975511187635</v>
      </c>
      <c r="AX211" s="1">
        <v>293.38156333894079</v>
      </c>
      <c r="AY211" s="1">
        <v>434.87953177482916</v>
      </c>
      <c r="AZ211" s="1">
        <v>378.72416865604583</v>
      </c>
      <c r="BA211" s="1">
        <v>386.6917321494426</v>
      </c>
      <c r="BB211" s="1">
        <v>377.69000630267425</v>
      </c>
      <c r="BC211" s="2">
        <v>8.9181565948742242E-2</v>
      </c>
      <c r="BD211" s="2">
        <v>0.10665277883445198</v>
      </c>
      <c r="BE211" s="2">
        <v>9.438849084854764E-2</v>
      </c>
      <c r="BF211" s="2">
        <v>7.149564986855049E-2</v>
      </c>
      <c r="BG211" s="2">
        <v>0.10368571810536763</v>
      </c>
      <c r="BH211" s="2">
        <v>8.4970330952544637E-2</v>
      </c>
      <c r="BI211" s="2">
        <v>8.4593878877262704E-2</v>
      </c>
      <c r="BJ211" s="2">
        <v>5.7447105462779965E-2</v>
      </c>
      <c r="BK211" s="2">
        <v>8.5153852345557474E-2</v>
      </c>
      <c r="BL211" s="2">
        <v>7.4158058913035174E-2</v>
      </c>
      <c r="BM211" s="2">
        <v>7.5718189192107169E-2</v>
      </c>
      <c r="BN211" s="2">
        <v>7.3955559365675619E-2</v>
      </c>
    </row>
    <row r="212" spans="1:66" x14ac:dyDescent="0.25">
      <c r="A212" s="8">
        <v>1183</v>
      </c>
      <c r="B212" s="8" t="s">
        <v>784</v>
      </c>
      <c r="C212" s="5">
        <v>0</v>
      </c>
      <c r="D212" s="5">
        <f>+$C212*BC212</f>
        <v>0</v>
      </c>
      <c r="E212" s="5">
        <f>+$C212*BD212</f>
        <v>0</v>
      </c>
      <c r="F212" s="5">
        <f>+$C212*BE212</f>
        <v>0</v>
      </c>
      <c r="G212" s="5">
        <f>+$C212*BF212</f>
        <v>0</v>
      </c>
      <c r="H212" s="5">
        <f>+$C212*BG212</f>
        <v>0</v>
      </c>
      <c r="I212" s="5">
        <f>+$C212*BH212</f>
        <v>0</v>
      </c>
      <c r="J212" s="5">
        <f>+$C212*BI212</f>
        <v>0</v>
      </c>
      <c r="K212" s="5">
        <f>+$C212*BJ212</f>
        <v>0</v>
      </c>
      <c r="L212" s="5">
        <f>+$C212*BK212</f>
        <v>0</v>
      </c>
      <c r="M212" s="5">
        <f>+$C212*BL212</f>
        <v>0</v>
      </c>
      <c r="N212" s="5">
        <f>+$C212*BM212</f>
        <v>0</v>
      </c>
      <c r="O212" s="5">
        <f>+$C212*BN212</f>
        <v>0</v>
      </c>
      <c r="P212" s="5">
        <v>4000</v>
      </c>
      <c r="Q212" s="5">
        <f>+$P212*BC212</f>
        <v>356.72626379496899</v>
      </c>
      <c r="R212" s="5">
        <f>+$P212*BD212</f>
        <v>426.61111533780792</v>
      </c>
      <c r="S212" s="5">
        <f>+$P212*BE212</f>
        <v>377.55396339419059</v>
      </c>
      <c r="T212" s="5">
        <f>+$P212*BF212</f>
        <v>285.98259947420195</v>
      </c>
      <c r="U212" s="5">
        <f>+$P212*BG212</f>
        <v>414.74287242147051</v>
      </c>
      <c r="V212" s="5">
        <f>+$P212*BH212</f>
        <v>339.88132381017857</v>
      </c>
      <c r="W212" s="5">
        <f>+$P212*BI212</f>
        <v>338.37551550905084</v>
      </c>
      <c r="X212" s="5">
        <f>+$P212*BJ212</f>
        <v>229.78842185111986</v>
      </c>
      <c r="Y212" s="5">
        <f>+$P212*BK212</f>
        <v>340.61540938222987</v>
      </c>
      <c r="Z212" s="5">
        <f>+$P212*BL212</f>
        <v>296.63223565214071</v>
      </c>
      <c r="AA212" s="5">
        <f>+$P212*BM212</f>
        <v>302.8727567684287</v>
      </c>
      <c r="AB212" s="5">
        <f>+$P212*BN212</f>
        <v>295.8222374627025</v>
      </c>
      <c r="AC212" s="5">
        <v>0</v>
      </c>
      <c r="AD212" s="5">
        <f>+$AC212*BC212</f>
        <v>0</v>
      </c>
      <c r="AE212" s="5">
        <f>+$AC212*BD212</f>
        <v>0</v>
      </c>
      <c r="AF212" s="5">
        <f>+$AC212*BE212</f>
        <v>0</v>
      </c>
      <c r="AG212" s="5">
        <f>+$AC212*BF212</f>
        <v>0</v>
      </c>
      <c r="AH212" s="5">
        <f>+$AC212*BG212</f>
        <v>0</v>
      </c>
      <c r="AI212" s="5">
        <f>+$AC212*BH212</f>
        <v>0</v>
      </c>
      <c r="AJ212" s="5">
        <f>+$AC212*BI212</f>
        <v>0</v>
      </c>
      <c r="AK212" s="5">
        <f>+$AC212*BJ212</f>
        <v>0</v>
      </c>
      <c r="AL212" s="5">
        <f>+$AC212*BK212</f>
        <v>0</v>
      </c>
      <c r="AM212" s="5">
        <f>+$AC212*BL212</f>
        <v>0</v>
      </c>
      <c r="AN212" s="5">
        <f>+$AC212*BM212</f>
        <v>0</v>
      </c>
      <c r="AO212" s="5">
        <f>+$AC212*BN212</f>
        <v>0</v>
      </c>
      <c r="AP212" s="5">
        <f>+AC212+P212+C212</f>
        <v>4000</v>
      </c>
      <c r="AQ212" s="1">
        <v>454.82598633858544</v>
      </c>
      <c r="AR212" s="1">
        <v>543.92917205570507</v>
      </c>
      <c r="AS212" s="1">
        <v>481.38130332759295</v>
      </c>
      <c r="AT212" s="1">
        <v>364.62781432960747</v>
      </c>
      <c r="AU212" s="1">
        <v>528.79716233737486</v>
      </c>
      <c r="AV212" s="1">
        <v>433.34868785797767</v>
      </c>
      <c r="AW212" s="1">
        <v>431.4287822740398</v>
      </c>
      <c r="AX212" s="1">
        <v>292.98023786017785</v>
      </c>
      <c r="AY212" s="1">
        <v>434.28464696234312</v>
      </c>
      <c r="AZ212" s="1">
        <v>378.20610045647936</v>
      </c>
      <c r="BA212" s="1">
        <v>386.16276487974653</v>
      </c>
      <c r="BB212" s="1">
        <v>377.17335276494566</v>
      </c>
      <c r="BC212" s="2">
        <v>8.9181565948742242E-2</v>
      </c>
      <c r="BD212" s="2">
        <v>0.10665277883445198</v>
      </c>
      <c r="BE212" s="2">
        <v>9.438849084854764E-2</v>
      </c>
      <c r="BF212" s="2">
        <v>7.149564986855049E-2</v>
      </c>
      <c r="BG212" s="2">
        <v>0.10368571810536763</v>
      </c>
      <c r="BH212" s="2">
        <v>8.4970330952544637E-2</v>
      </c>
      <c r="BI212" s="2">
        <v>8.4593878877262704E-2</v>
      </c>
      <c r="BJ212" s="2">
        <v>5.7447105462779965E-2</v>
      </c>
      <c r="BK212" s="2">
        <v>8.5153852345557474E-2</v>
      </c>
      <c r="BL212" s="2">
        <v>7.4158058913035174E-2</v>
      </c>
      <c r="BM212" s="2">
        <v>7.5718189192107169E-2</v>
      </c>
      <c r="BN212" s="2">
        <v>7.3955559365675619E-2</v>
      </c>
    </row>
    <row r="213" spans="1:66" x14ac:dyDescent="0.25">
      <c r="A213" s="8">
        <v>1306</v>
      </c>
      <c r="B213" s="8" t="s">
        <v>783</v>
      </c>
      <c r="C213" s="5">
        <v>0</v>
      </c>
      <c r="D213" s="5">
        <f>+$C213*BC213</f>
        <v>0</v>
      </c>
      <c r="E213" s="5">
        <f>+$C213*BD213</f>
        <v>0</v>
      </c>
      <c r="F213" s="5">
        <f>+$C213*BE213</f>
        <v>0</v>
      </c>
      <c r="G213" s="5">
        <f>+$C213*BF213</f>
        <v>0</v>
      </c>
      <c r="H213" s="5">
        <f>+$C213*BG213</f>
        <v>0</v>
      </c>
      <c r="I213" s="5">
        <f>+$C213*BH213</f>
        <v>0</v>
      </c>
      <c r="J213" s="5">
        <f>+$C213*BI213</f>
        <v>0</v>
      </c>
      <c r="K213" s="5">
        <f>+$C213*BJ213</f>
        <v>0</v>
      </c>
      <c r="L213" s="5">
        <f>+$C213*BK213</f>
        <v>0</v>
      </c>
      <c r="M213" s="5">
        <f>+$C213*BL213</f>
        <v>0</v>
      </c>
      <c r="N213" s="5">
        <f>+$C213*BM213</f>
        <v>0</v>
      </c>
      <c r="O213" s="5">
        <f>+$C213*BN213</f>
        <v>0</v>
      </c>
      <c r="P213" s="5">
        <v>7000</v>
      </c>
      <c r="Q213" s="5">
        <f>+$P213*BC213</f>
        <v>624.27096164119564</v>
      </c>
      <c r="R213" s="5">
        <f>+$P213*BD213</f>
        <v>746.56945184116387</v>
      </c>
      <c r="S213" s="5">
        <f>+$P213*BE213</f>
        <v>660.71943593983349</v>
      </c>
      <c r="T213" s="5">
        <f>+$P213*BF213</f>
        <v>500.46954907985344</v>
      </c>
      <c r="U213" s="5">
        <f>+$P213*BG213</f>
        <v>725.80002673757338</v>
      </c>
      <c r="V213" s="5">
        <f>+$P213*BH213</f>
        <v>594.79231666781243</v>
      </c>
      <c r="W213" s="5">
        <f>+$P213*BI213</f>
        <v>592.15715214083889</v>
      </c>
      <c r="X213" s="5">
        <f>+$P213*BJ213</f>
        <v>402.12973823945975</v>
      </c>
      <c r="Y213" s="5">
        <f>+$P213*BK213</f>
        <v>596.07696641890232</v>
      </c>
      <c r="Z213" s="5">
        <f>+$P213*BL213</f>
        <v>519.10641239124618</v>
      </c>
      <c r="AA213" s="5">
        <f>+$P213*BM213</f>
        <v>530.02732434475013</v>
      </c>
      <c r="AB213" s="5">
        <f>+$P213*BN213</f>
        <v>517.68891555972937</v>
      </c>
      <c r="AC213" s="5">
        <v>0</v>
      </c>
      <c r="AD213" s="5">
        <f>+$AC213*BC213</f>
        <v>0</v>
      </c>
      <c r="AE213" s="5">
        <f>+$AC213*BD213</f>
        <v>0</v>
      </c>
      <c r="AF213" s="5">
        <f>+$AC213*BE213</f>
        <v>0</v>
      </c>
      <c r="AG213" s="5">
        <f>+$AC213*BF213</f>
        <v>0</v>
      </c>
      <c r="AH213" s="5">
        <f>+$AC213*BG213</f>
        <v>0</v>
      </c>
      <c r="AI213" s="5">
        <f>+$AC213*BH213</f>
        <v>0</v>
      </c>
      <c r="AJ213" s="5">
        <f>+$AC213*BI213</f>
        <v>0</v>
      </c>
      <c r="AK213" s="5">
        <f>+$AC213*BJ213</f>
        <v>0</v>
      </c>
      <c r="AL213" s="5">
        <f>+$AC213*BK213</f>
        <v>0</v>
      </c>
      <c r="AM213" s="5">
        <f>+$AC213*BL213</f>
        <v>0</v>
      </c>
      <c r="AN213" s="5">
        <f>+$AC213*BM213</f>
        <v>0</v>
      </c>
      <c r="AO213" s="5">
        <f>+$AC213*BN213</f>
        <v>0</v>
      </c>
      <c r="AP213" s="5">
        <f>+AC213+P213+C213</f>
        <v>7000</v>
      </c>
      <c r="AQ213" s="1">
        <v>445.9078297437112</v>
      </c>
      <c r="AR213" s="1">
        <v>533.26389417225994</v>
      </c>
      <c r="AS213" s="1">
        <v>471.94245424273822</v>
      </c>
      <c r="AT213" s="1">
        <v>357.47824934275246</v>
      </c>
      <c r="AU213" s="1">
        <v>518.42859052683809</v>
      </c>
      <c r="AV213" s="1">
        <v>424.85165476272317</v>
      </c>
      <c r="AW213" s="1">
        <v>422.96939438631352</v>
      </c>
      <c r="AX213" s="1">
        <v>287.23552731389981</v>
      </c>
      <c r="AY213" s="1">
        <v>425.76926172778735</v>
      </c>
      <c r="AZ213" s="1">
        <v>370.79029456517588</v>
      </c>
      <c r="BA213" s="1">
        <v>378.59094596053586</v>
      </c>
      <c r="BB213" s="1">
        <v>369.77779682837809</v>
      </c>
      <c r="BC213" s="2">
        <v>8.9181565948742242E-2</v>
      </c>
      <c r="BD213" s="2">
        <v>0.10665277883445198</v>
      </c>
      <c r="BE213" s="2">
        <v>9.438849084854764E-2</v>
      </c>
      <c r="BF213" s="2">
        <v>7.149564986855049E-2</v>
      </c>
      <c r="BG213" s="2">
        <v>0.10368571810536763</v>
      </c>
      <c r="BH213" s="2">
        <v>8.4970330952544637E-2</v>
      </c>
      <c r="BI213" s="2">
        <v>8.4593878877262704E-2</v>
      </c>
      <c r="BJ213" s="2">
        <v>5.7447105462779965E-2</v>
      </c>
      <c r="BK213" s="2">
        <v>8.5153852345557474E-2</v>
      </c>
      <c r="BL213" s="2">
        <v>7.4158058913035174E-2</v>
      </c>
      <c r="BM213" s="2">
        <v>7.5718189192107169E-2</v>
      </c>
      <c r="BN213" s="2">
        <v>7.3955559365675619E-2</v>
      </c>
    </row>
    <row r="214" spans="1:66" x14ac:dyDescent="0.25">
      <c r="A214" s="8">
        <v>1323</v>
      </c>
      <c r="B214" s="8" t="s">
        <v>782</v>
      </c>
      <c r="C214" s="5">
        <v>0</v>
      </c>
      <c r="D214" s="5">
        <f>+$C214*BC214</f>
        <v>0</v>
      </c>
      <c r="E214" s="5">
        <f>+$C214*BD214</f>
        <v>0</v>
      </c>
      <c r="F214" s="5">
        <f>+$C214*BE214</f>
        <v>0</v>
      </c>
      <c r="G214" s="5">
        <f>+$C214*BF214</f>
        <v>0</v>
      </c>
      <c r="H214" s="5">
        <f>+$C214*BG214</f>
        <v>0</v>
      </c>
      <c r="I214" s="5">
        <f>+$C214*BH214</f>
        <v>0</v>
      </c>
      <c r="J214" s="5">
        <f>+$C214*BI214</f>
        <v>0</v>
      </c>
      <c r="K214" s="5">
        <f>+$C214*BJ214</f>
        <v>0</v>
      </c>
      <c r="L214" s="5">
        <f>+$C214*BK214</f>
        <v>0</v>
      </c>
      <c r="M214" s="5">
        <f>+$C214*BL214</f>
        <v>0</v>
      </c>
      <c r="N214" s="5">
        <f>+$C214*BM214</f>
        <v>0</v>
      </c>
      <c r="O214" s="5">
        <f>+$C214*BN214</f>
        <v>0</v>
      </c>
      <c r="P214" s="5">
        <v>0</v>
      </c>
      <c r="Q214" s="5">
        <f>+$P214*BC214</f>
        <v>0</v>
      </c>
      <c r="R214" s="5">
        <f>+$P214*BD214</f>
        <v>0</v>
      </c>
      <c r="S214" s="5">
        <f>+$P214*BE214</f>
        <v>0</v>
      </c>
      <c r="T214" s="5">
        <f>+$P214*BF214</f>
        <v>0</v>
      </c>
      <c r="U214" s="5">
        <f>+$P214*BG214</f>
        <v>0</v>
      </c>
      <c r="V214" s="5">
        <f>+$P214*BH214</f>
        <v>0</v>
      </c>
      <c r="W214" s="5">
        <f>+$P214*BI214</f>
        <v>0</v>
      </c>
      <c r="X214" s="5">
        <f>+$P214*BJ214</f>
        <v>0</v>
      </c>
      <c r="Y214" s="5">
        <f>+$P214*BK214</f>
        <v>0</v>
      </c>
      <c r="Z214" s="5">
        <f>+$P214*BL214</f>
        <v>0</v>
      </c>
      <c r="AA214" s="5">
        <f>+$P214*BM214</f>
        <v>0</v>
      </c>
      <c r="AB214" s="5">
        <f>+$P214*BN214</f>
        <v>0</v>
      </c>
      <c r="AC214" s="5">
        <v>0</v>
      </c>
      <c r="AD214" s="5">
        <f>+$AC214*BC214</f>
        <v>0</v>
      </c>
      <c r="AE214" s="5">
        <f>+$AC214*BD214</f>
        <v>0</v>
      </c>
      <c r="AF214" s="5">
        <f>+$AC214*BE214</f>
        <v>0</v>
      </c>
      <c r="AG214" s="5">
        <f>+$AC214*BF214</f>
        <v>0</v>
      </c>
      <c r="AH214" s="5">
        <f>+$AC214*BG214</f>
        <v>0</v>
      </c>
      <c r="AI214" s="5">
        <f>+$AC214*BH214</f>
        <v>0</v>
      </c>
      <c r="AJ214" s="5">
        <f>+$AC214*BI214</f>
        <v>0</v>
      </c>
      <c r="AK214" s="5">
        <f>+$AC214*BJ214</f>
        <v>0</v>
      </c>
      <c r="AL214" s="5">
        <f>+$AC214*BK214</f>
        <v>0</v>
      </c>
      <c r="AM214" s="5">
        <f>+$AC214*BL214</f>
        <v>0</v>
      </c>
      <c r="AN214" s="5">
        <f>+$AC214*BM214</f>
        <v>0</v>
      </c>
      <c r="AO214" s="5">
        <f>+$AC214*BN214</f>
        <v>0</v>
      </c>
      <c r="AP214" s="5">
        <f>+AC214+P214+C214</f>
        <v>0</v>
      </c>
      <c r="AQ214" s="1">
        <v>445.9078297437112</v>
      </c>
      <c r="AR214" s="1">
        <v>533.26389417225994</v>
      </c>
      <c r="AS214" s="1">
        <v>471.94245424273822</v>
      </c>
      <c r="AT214" s="1">
        <v>357.47824934275246</v>
      </c>
      <c r="AU214" s="1">
        <v>518.42859052683809</v>
      </c>
      <c r="AV214" s="1">
        <v>424.85165476272317</v>
      </c>
      <c r="AW214" s="1">
        <v>422.96939438631352</v>
      </c>
      <c r="AX214" s="1">
        <v>287.23552731389981</v>
      </c>
      <c r="AY214" s="1">
        <v>425.76926172778735</v>
      </c>
      <c r="AZ214" s="1">
        <v>370.79029456517588</v>
      </c>
      <c r="BA214" s="1">
        <v>378.59094596053586</v>
      </c>
      <c r="BB214" s="1">
        <v>369.77779682837809</v>
      </c>
      <c r="BC214" s="2">
        <v>8.9181565948742242E-2</v>
      </c>
      <c r="BD214" s="2">
        <v>0.10665277883445198</v>
      </c>
      <c r="BE214" s="2">
        <v>9.438849084854764E-2</v>
      </c>
      <c r="BF214" s="2">
        <v>7.149564986855049E-2</v>
      </c>
      <c r="BG214" s="2">
        <v>0.10368571810536763</v>
      </c>
      <c r="BH214" s="2">
        <v>8.4970330952544637E-2</v>
      </c>
      <c r="BI214" s="2">
        <v>8.4593878877262704E-2</v>
      </c>
      <c r="BJ214" s="2">
        <v>5.7447105462779965E-2</v>
      </c>
      <c r="BK214" s="2">
        <v>8.5153852345557474E-2</v>
      </c>
      <c r="BL214" s="2">
        <v>7.4158058913035174E-2</v>
      </c>
      <c r="BM214" s="2">
        <v>7.5718189192107169E-2</v>
      </c>
      <c r="BN214" s="2">
        <v>7.3955559365675619E-2</v>
      </c>
    </row>
    <row r="215" spans="1:66" x14ac:dyDescent="0.25">
      <c r="A215" s="8">
        <v>1427</v>
      </c>
      <c r="B215" s="8" t="s">
        <v>781</v>
      </c>
      <c r="C215" s="5">
        <v>3000</v>
      </c>
      <c r="D215" s="5">
        <f>+$C215*BC215</f>
        <v>267.54469784622671</v>
      </c>
      <c r="E215" s="5">
        <f>+$C215*BD215</f>
        <v>319.95833650335595</v>
      </c>
      <c r="F215" s="5">
        <f>+$C215*BE215</f>
        <v>283.1654725456429</v>
      </c>
      <c r="G215" s="5">
        <f>+$C215*BF215</f>
        <v>214.48694960565146</v>
      </c>
      <c r="H215" s="5">
        <f>+$C215*BG215</f>
        <v>311.05715431610287</v>
      </c>
      <c r="I215" s="5">
        <f>+$C215*BH215</f>
        <v>254.91099285763391</v>
      </c>
      <c r="J215" s="5">
        <f>+$C215*BI215</f>
        <v>253.7816366317881</v>
      </c>
      <c r="K215" s="5">
        <f>+$C215*BJ215</f>
        <v>172.34131638833989</v>
      </c>
      <c r="L215" s="5">
        <f>+$C215*BK215</f>
        <v>255.46155703667242</v>
      </c>
      <c r="M215" s="5">
        <f>+$C215*BL215</f>
        <v>222.47417673910553</v>
      </c>
      <c r="N215" s="5">
        <f>+$C215*BM215</f>
        <v>227.15456757632151</v>
      </c>
      <c r="O215" s="5">
        <f>+$C215*BN215</f>
        <v>221.86667809702686</v>
      </c>
      <c r="P215" s="5">
        <v>0</v>
      </c>
      <c r="Q215" s="5">
        <f>+$P215*BC215</f>
        <v>0</v>
      </c>
      <c r="R215" s="5">
        <f>+$P215*BD215</f>
        <v>0</v>
      </c>
      <c r="S215" s="5">
        <f>+$P215*BE215</f>
        <v>0</v>
      </c>
      <c r="T215" s="5">
        <f>+$P215*BF215</f>
        <v>0</v>
      </c>
      <c r="U215" s="5">
        <f>+$P215*BG215</f>
        <v>0</v>
      </c>
      <c r="V215" s="5">
        <f>+$P215*BH215</f>
        <v>0</v>
      </c>
      <c r="W215" s="5">
        <f>+$P215*BI215</f>
        <v>0</v>
      </c>
      <c r="X215" s="5">
        <f>+$P215*BJ215</f>
        <v>0</v>
      </c>
      <c r="Y215" s="5">
        <f>+$P215*BK215</f>
        <v>0</v>
      </c>
      <c r="Z215" s="5">
        <f>+$P215*BL215</f>
        <v>0</v>
      </c>
      <c r="AA215" s="5">
        <f>+$P215*BM215</f>
        <v>0</v>
      </c>
      <c r="AB215" s="5">
        <f>+$P215*BN215</f>
        <v>0</v>
      </c>
      <c r="AC215" s="5">
        <v>0</v>
      </c>
      <c r="AD215" s="5">
        <f>+$AC215*BC215</f>
        <v>0</v>
      </c>
      <c r="AE215" s="5">
        <f>+$AC215*BD215</f>
        <v>0</v>
      </c>
      <c r="AF215" s="5">
        <f>+$AC215*BE215</f>
        <v>0</v>
      </c>
      <c r="AG215" s="5">
        <f>+$AC215*BF215</f>
        <v>0</v>
      </c>
      <c r="AH215" s="5">
        <f>+$AC215*BG215</f>
        <v>0</v>
      </c>
      <c r="AI215" s="5">
        <f>+$AC215*BH215</f>
        <v>0</v>
      </c>
      <c r="AJ215" s="5">
        <f>+$AC215*BI215</f>
        <v>0</v>
      </c>
      <c r="AK215" s="5">
        <f>+$AC215*BJ215</f>
        <v>0</v>
      </c>
      <c r="AL215" s="5">
        <f>+$AC215*BK215</f>
        <v>0</v>
      </c>
      <c r="AM215" s="5">
        <f>+$AC215*BL215</f>
        <v>0</v>
      </c>
      <c r="AN215" s="5">
        <f>+$AC215*BM215</f>
        <v>0</v>
      </c>
      <c r="AO215" s="5">
        <f>+$AC215*BN215</f>
        <v>0</v>
      </c>
      <c r="AP215" s="5">
        <f>+AC215+P215+C215</f>
        <v>3000</v>
      </c>
      <c r="AQ215" s="1">
        <v>445.9078297437112</v>
      </c>
      <c r="AR215" s="1">
        <v>533.26389417225994</v>
      </c>
      <c r="AS215" s="1">
        <v>471.94245424273822</v>
      </c>
      <c r="AT215" s="1">
        <v>357.47824934275246</v>
      </c>
      <c r="AU215" s="1">
        <v>518.42859052683809</v>
      </c>
      <c r="AV215" s="1">
        <v>424.85165476272317</v>
      </c>
      <c r="AW215" s="1">
        <v>422.96939438631352</v>
      </c>
      <c r="AX215" s="1">
        <v>287.23552731389981</v>
      </c>
      <c r="AY215" s="1">
        <v>425.76926172778735</v>
      </c>
      <c r="AZ215" s="1">
        <v>370.79029456517588</v>
      </c>
      <c r="BA215" s="1">
        <v>378.59094596053586</v>
      </c>
      <c r="BB215" s="1">
        <v>369.77779682837809</v>
      </c>
      <c r="BC215" s="2">
        <v>8.9181565948742242E-2</v>
      </c>
      <c r="BD215" s="2">
        <v>0.10665277883445198</v>
      </c>
      <c r="BE215" s="2">
        <v>9.438849084854764E-2</v>
      </c>
      <c r="BF215" s="2">
        <v>7.149564986855049E-2</v>
      </c>
      <c r="BG215" s="2">
        <v>0.10368571810536763</v>
      </c>
      <c r="BH215" s="2">
        <v>8.4970330952544637E-2</v>
      </c>
      <c r="BI215" s="2">
        <v>8.4593878877262704E-2</v>
      </c>
      <c r="BJ215" s="2">
        <v>5.7447105462779965E-2</v>
      </c>
      <c r="BK215" s="2">
        <v>8.5153852345557474E-2</v>
      </c>
      <c r="BL215" s="2">
        <v>7.4158058913035174E-2</v>
      </c>
      <c r="BM215" s="2">
        <v>7.5718189192107169E-2</v>
      </c>
      <c r="BN215" s="2">
        <v>7.3955559365675619E-2</v>
      </c>
    </row>
    <row r="216" spans="1:66" x14ac:dyDescent="0.25">
      <c r="A216" s="8">
        <v>1522</v>
      </c>
      <c r="B216" s="8" t="s">
        <v>780</v>
      </c>
      <c r="C216" s="5">
        <v>0</v>
      </c>
      <c r="D216" s="5">
        <f>+$C216*BC216</f>
        <v>0</v>
      </c>
      <c r="E216" s="5">
        <f>+$C216*BD216</f>
        <v>0</v>
      </c>
      <c r="F216" s="5">
        <f>+$C216*BE216</f>
        <v>0</v>
      </c>
      <c r="G216" s="5">
        <f>+$C216*BF216</f>
        <v>0</v>
      </c>
      <c r="H216" s="5">
        <f>+$C216*BG216</f>
        <v>0</v>
      </c>
      <c r="I216" s="5">
        <f>+$C216*BH216</f>
        <v>0</v>
      </c>
      <c r="J216" s="5">
        <f>+$C216*BI216</f>
        <v>0</v>
      </c>
      <c r="K216" s="5">
        <f>+$C216*BJ216</f>
        <v>0</v>
      </c>
      <c r="L216" s="5">
        <f>+$C216*BK216</f>
        <v>0</v>
      </c>
      <c r="M216" s="5">
        <f>+$C216*BL216</f>
        <v>0</v>
      </c>
      <c r="N216" s="5">
        <f>+$C216*BM216</f>
        <v>0</v>
      </c>
      <c r="O216" s="5">
        <f>+$C216*BN216</f>
        <v>0</v>
      </c>
      <c r="P216" s="5">
        <v>600</v>
      </c>
      <c r="Q216" s="5">
        <f>+$P216*BC216</f>
        <v>53.508939569245342</v>
      </c>
      <c r="R216" s="5">
        <f>+$P216*BD216</f>
        <v>63.991667300671189</v>
      </c>
      <c r="S216" s="5">
        <f>+$P216*BE216</f>
        <v>56.633094509128583</v>
      </c>
      <c r="T216" s="5">
        <f>+$P216*BF216</f>
        <v>42.897389921130291</v>
      </c>
      <c r="U216" s="5">
        <f>+$P216*BG216</f>
        <v>62.211430863220578</v>
      </c>
      <c r="V216" s="5">
        <f>+$P216*BH216</f>
        <v>50.98219857152678</v>
      </c>
      <c r="W216" s="5">
        <f>+$P216*BI216</f>
        <v>50.756327326357621</v>
      </c>
      <c r="X216" s="5">
        <f>+$P216*BJ216</f>
        <v>34.46826327766798</v>
      </c>
      <c r="Y216" s="5">
        <f>+$P216*BK216</f>
        <v>51.092311407334485</v>
      </c>
      <c r="Z216" s="5">
        <f>+$P216*BL216</f>
        <v>44.494835347821102</v>
      </c>
      <c r="AA216" s="5">
        <f>+$P216*BM216</f>
        <v>45.430913515264301</v>
      </c>
      <c r="AB216" s="5">
        <f>+$P216*BN216</f>
        <v>44.373335619405374</v>
      </c>
      <c r="AC216" s="5">
        <v>0</v>
      </c>
      <c r="AD216" s="5">
        <f>+$AC216*BC216</f>
        <v>0</v>
      </c>
      <c r="AE216" s="5">
        <f>+$AC216*BD216</f>
        <v>0</v>
      </c>
      <c r="AF216" s="5">
        <f>+$AC216*BE216</f>
        <v>0</v>
      </c>
      <c r="AG216" s="5">
        <f>+$AC216*BF216</f>
        <v>0</v>
      </c>
      <c r="AH216" s="5">
        <f>+$AC216*BG216</f>
        <v>0</v>
      </c>
      <c r="AI216" s="5">
        <f>+$AC216*BH216</f>
        <v>0</v>
      </c>
      <c r="AJ216" s="5">
        <f>+$AC216*BI216</f>
        <v>0</v>
      </c>
      <c r="AK216" s="5">
        <f>+$AC216*BJ216</f>
        <v>0</v>
      </c>
      <c r="AL216" s="5">
        <f>+$AC216*BK216</f>
        <v>0</v>
      </c>
      <c r="AM216" s="5">
        <f>+$AC216*BL216</f>
        <v>0</v>
      </c>
      <c r="AN216" s="5">
        <f>+$AC216*BM216</f>
        <v>0</v>
      </c>
      <c r="AO216" s="5">
        <f>+$AC216*BN216</f>
        <v>0</v>
      </c>
      <c r="AP216" s="5">
        <f>+AC216+P216+C216</f>
        <v>600</v>
      </c>
      <c r="AQ216" s="1">
        <v>445.9078297437112</v>
      </c>
      <c r="AR216" s="1">
        <v>533.26389417225994</v>
      </c>
      <c r="AS216" s="1">
        <v>471.94245424273822</v>
      </c>
      <c r="AT216" s="1">
        <v>357.47824934275246</v>
      </c>
      <c r="AU216" s="1">
        <v>518.42859052683809</v>
      </c>
      <c r="AV216" s="1">
        <v>424.85165476272317</v>
      </c>
      <c r="AW216" s="1">
        <v>422.96939438631352</v>
      </c>
      <c r="AX216" s="1">
        <v>287.23552731389981</v>
      </c>
      <c r="AY216" s="1">
        <v>425.76926172778735</v>
      </c>
      <c r="AZ216" s="1">
        <v>370.79029456517588</v>
      </c>
      <c r="BA216" s="1">
        <v>378.59094596053586</v>
      </c>
      <c r="BB216" s="1">
        <v>369.77779682837809</v>
      </c>
      <c r="BC216" s="2">
        <v>8.9181565948742242E-2</v>
      </c>
      <c r="BD216" s="2">
        <v>0.10665277883445198</v>
      </c>
      <c r="BE216" s="2">
        <v>9.438849084854764E-2</v>
      </c>
      <c r="BF216" s="2">
        <v>7.149564986855049E-2</v>
      </c>
      <c r="BG216" s="2">
        <v>0.10368571810536763</v>
      </c>
      <c r="BH216" s="2">
        <v>8.4970330952544637E-2</v>
      </c>
      <c r="BI216" s="2">
        <v>8.4593878877262704E-2</v>
      </c>
      <c r="BJ216" s="2">
        <v>5.7447105462779965E-2</v>
      </c>
      <c r="BK216" s="2">
        <v>8.5153852345557474E-2</v>
      </c>
      <c r="BL216" s="2">
        <v>7.4158058913035174E-2</v>
      </c>
      <c r="BM216" s="2">
        <v>7.5718189192107169E-2</v>
      </c>
      <c r="BN216" s="2">
        <v>7.3955559365675619E-2</v>
      </c>
    </row>
    <row r="217" spans="1:66" x14ac:dyDescent="0.25">
      <c r="A217" s="8">
        <v>2810</v>
      </c>
      <c r="B217" s="8" t="s">
        <v>779</v>
      </c>
      <c r="C217" s="5">
        <v>8000</v>
      </c>
      <c r="D217" s="5">
        <f>+$C217*BC217</f>
        <v>713.45252758993797</v>
      </c>
      <c r="E217" s="5">
        <f>+$C217*BD217</f>
        <v>853.22223067561583</v>
      </c>
      <c r="F217" s="5">
        <f>+$C217*BE217</f>
        <v>755.10792678838118</v>
      </c>
      <c r="G217" s="5">
        <f>+$C217*BF217</f>
        <v>571.96519894840389</v>
      </c>
      <c r="H217" s="5">
        <f>+$C217*BG217</f>
        <v>829.48574484294102</v>
      </c>
      <c r="I217" s="5">
        <f>+$C217*BH217</f>
        <v>679.76264762035714</v>
      </c>
      <c r="J217" s="5">
        <f>+$C217*BI217</f>
        <v>676.75103101810168</v>
      </c>
      <c r="K217" s="5">
        <f>+$C217*BJ217</f>
        <v>459.57684370223973</v>
      </c>
      <c r="L217" s="5">
        <f>+$C217*BK217</f>
        <v>681.23081876445974</v>
      </c>
      <c r="M217" s="5">
        <f>+$C217*BL217</f>
        <v>593.26447130428141</v>
      </c>
      <c r="N217" s="5">
        <f>+$C217*BM217</f>
        <v>605.7455135368574</v>
      </c>
      <c r="O217" s="5">
        <f>+$C217*BN217</f>
        <v>591.64447492540501</v>
      </c>
      <c r="P217" s="5">
        <v>0</v>
      </c>
      <c r="Q217" s="5">
        <f>+$P217*BC217</f>
        <v>0</v>
      </c>
      <c r="R217" s="5">
        <f>+$P217*BD217</f>
        <v>0</v>
      </c>
      <c r="S217" s="5">
        <f>+$P217*BE217</f>
        <v>0</v>
      </c>
      <c r="T217" s="5">
        <f>+$P217*BF217</f>
        <v>0</v>
      </c>
      <c r="U217" s="5">
        <f>+$P217*BG217</f>
        <v>0</v>
      </c>
      <c r="V217" s="5">
        <f>+$P217*BH217</f>
        <v>0</v>
      </c>
      <c r="W217" s="5">
        <f>+$P217*BI217</f>
        <v>0</v>
      </c>
      <c r="X217" s="5">
        <f>+$P217*BJ217</f>
        <v>0</v>
      </c>
      <c r="Y217" s="5">
        <f>+$P217*BK217</f>
        <v>0</v>
      </c>
      <c r="Z217" s="5">
        <f>+$P217*BL217</f>
        <v>0</v>
      </c>
      <c r="AA217" s="5">
        <f>+$P217*BM217</f>
        <v>0</v>
      </c>
      <c r="AB217" s="5">
        <f>+$P217*BN217</f>
        <v>0</v>
      </c>
      <c r="AC217" s="5">
        <v>0</v>
      </c>
      <c r="AD217" s="5">
        <f>+$AC217*BC217</f>
        <v>0</v>
      </c>
      <c r="AE217" s="5">
        <f>+$AC217*BD217</f>
        <v>0</v>
      </c>
      <c r="AF217" s="5">
        <f>+$AC217*BE217</f>
        <v>0</v>
      </c>
      <c r="AG217" s="5">
        <f>+$AC217*BF217</f>
        <v>0</v>
      </c>
      <c r="AH217" s="5">
        <f>+$AC217*BG217</f>
        <v>0</v>
      </c>
      <c r="AI217" s="5">
        <f>+$AC217*BH217</f>
        <v>0</v>
      </c>
      <c r="AJ217" s="5">
        <f>+$AC217*BI217</f>
        <v>0</v>
      </c>
      <c r="AK217" s="5">
        <f>+$AC217*BJ217</f>
        <v>0</v>
      </c>
      <c r="AL217" s="5">
        <f>+$AC217*BK217</f>
        <v>0</v>
      </c>
      <c r="AM217" s="5">
        <f>+$AC217*BL217</f>
        <v>0</v>
      </c>
      <c r="AN217" s="5">
        <f>+$AC217*BM217</f>
        <v>0</v>
      </c>
      <c r="AO217" s="5">
        <f>+$AC217*BN217</f>
        <v>0</v>
      </c>
      <c r="AP217" s="5">
        <f>+AC217+P217+C217</f>
        <v>8000</v>
      </c>
      <c r="AQ217" s="1">
        <v>445.9078297437112</v>
      </c>
      <c r="AR217" s="1">
        <v>533.26389417225994</v>
      </c>
      <c r="AS217" s="1">
        <v>471.94245424273822</v>
      </c>
      <c r="AT217" s="1">
        <v>357.47824934275246</v>
      </c>
      <c r="AU217" s="1">
        <v>518.42859052683809</v>
      </c>
      <c r="AV217" s="1">
        <v>424.85165476272317</v>
      </c>
      <c r="AW217" s="1">
        <v>422.96939438631352</v>
      </c>
      <c r="AX217" s="1">
        <v>287.23552731389981</v>
      </c>
      <c r="AY217" s="1">
        <v>425.76926172778735</v>
      </c>
      <c r="AZ217" s="1">
        <v>370.79029456517588</v>
      </c>
      <c r="BA217" s="1">
        <v>378.59094596053586</v>
      </c>
      <c r="BB217" s="1">
        <v>369.77779682837809</v>
      </c>
      <c r="BC217" s="2">
        <v>8.9181565948742242E-2</v>
      </c>
      <c r="BD217" s="2">
        <v>0.10665277883445198</v>
      </c>
      <c r="BE217" s="2">
        <v>9.438849084854764E-2</v>
      </c>
      <c r="BF217" s="2">
        <v>7.149564986855049E-2</v>
      </c>
      <c r="BG217" s="2">
        <v>0.10368571810536763</v>
      </c>
      <c r="BH217" s="2">
        <v>8.4970330952544637E-2</v>
      </c>
      <c r="BI217" s="2">
        <v>8.4593878877262704E-2</v>
      </c>
      <c r="BJ217" s="2">
        <v>5.7447105462779965E-2</v>
      </c>
      <c r="BK217" s="2">
        <v>8.5153852345557474E-2</v>
      </c>
      <c r="BL217" s="2">
        <v>7.4158058913035174E-2</v>
      </c>
      <c r="BM217" s="2">
        <v>7.5718189192107169E-2</v>
      </c>
      <c r="BN217" s="2">
        <v>7.3955559365675619E-2</v>
      </c>
    </row>
    <row r="218" spans="1:66" x14ac:dyDescent="0.25">
      <c r="A218" s="8">
        <v>2818</v>
      </c>
      <c r="B218" s="8" t="s">
        <v>778</v>
      </c>
      <c r="C218" s="5">
        <v>5000</v>
      </c>
      <c r="D218" s="5">
        <f>+$C218*BC218</f>
        <v>445.9078297437112</v>
      </c>
      <c r="E218" s="5">
        <f>+$C218*BD218</f>
        <v>533.26389417225994</v>
      </c>
      <c r="F218" s="5">
        <f>+$C218*BE218</f>
        <v>471.94245424273822</v>
      </c>
      <c r="G218" s="5">
        <f>+$C218*BF218</f>
        <v>357.47824934275246</v>
      </c>
      <c r="H218" s="5">
        <f>+$C218*BG218</f>
        <v>518.42859052683809</v>
      </c>
      <c r="I218" s="5">
        <f>+$C218*BH218</f>
        <v>424.85165476272317</v>
      </c>
      <c r="J218" s="5">
        <f>+$C218*BI218</f>
        <v>422.96939438631352</v>
      </c>
      <c r="K218" s="5">
        <f>+$C218*BJ218</f>
        <v>287.23552731389981</v>
      </c>
      <c r="L218" s="5">
        <f>+$C218*BK218</f>
        <v>425.76926172778735</v>
      </c>
      <c r="M218" s="5">
        <f>+$C218*BL218</f>
        <v>370.79029456517588</v>
      </c>
      <c r="N218" s="5">
        <f>+$C218*BM218</f>
        <v>378.59094596053586</v>
      </c>
      <c r="O218" s="5">
        <f>+$C218*BN218</f>
        <v>369.77779682837809</v>
      </c>
      <c r="P218" s="5">
        <v>5000</v>
      </c>
      <c r="Q218" s="5">
        <f>+$P218*BC218</f>
        <v>445.9078297437112</v>
      </c>
      <c r="R218" s="5">
        <f>+$P218*BD218</f>
        <v>533.26389417225994</v>
      </c>
      <c r="S218" s="5">
        <f>+$P218*BE218</f>
        <v>471.94245424273822</v>
      </c>
      <c r="T218" s="5">
        <f>+$P218*BF218</f>
        <v>357.47824934275246</v>
      </c>
      <c r="U218" s="5">
        <f>+$P218*BG218</f>
        <v>518.42859052683809</v>
      </c>
      <c r="V218" s="5">
        <f>+$P218*BH218</f>
        <v>424.85165476272317</v>
      </c>
      <c r="W218" s="5">
        <f>+$P218*BI218</f>
        <v>422.96939438631352</v>
      </c>
      <c r="X218" s="5">
        <f>+$P218*BJ218</f>
        <v>287.23552731389981</v>
      </c>
      <c r="Y218" s="5">
        <f>+$P218*BK218</f>
        <v>425.76926172778735</v>
      </c>
      <c r="Z218" s="5">
        <f>+$P218*BL218</f>
        <v>370.79029456517588</v>
      </c>
      <c r="AA218" s="5">
        <f>+$P218*BM218</f>
        <v>378.59094596053586</v>
      </c>
      <c r="AB218" s="5">
        <f>+$P218*BN218</f>
        <v>369.77779682837809</v>
      </c>
      <c r="AC218" s="5">
        <v>0</v>
      </c>
      <c r="AD218" s="5">
        <f>+$AC218*BC218</f>
        <v>0</v>
      </c>
      <c r="AE218" s="5">
        <f>+$AC218*BD218</f>
        <v>0</v>
      </c>
      <c r="AF218" s="5">
        <f>+$AC218*BE218</f>
        <v>0</v>
      </c>
      <c r="AG218" s="5">
        <f>+$AC218*BF218</f>
        <v>0</v>
      </c>
      <c r="AH218" s="5">
        <f>+$AC218*BG218</f>
        <v>0</v>
      </c>
      <c r="AI218" s="5">
        <f>+$AC218*BH218</f>
        <v>0</v>
      </c>
      <c r="AJ218" s="5">
        <f>+$AC218*BI218</f>
        <v>0</v>
      </c>
      <c r="AK218" s="5">
        <f>+$AC218*BJ218</f>
        <v>0</v>
      </c>
      <c r="AL218" s="5">
        <f>+$AC218*BK218</f>
        <v>0</v>
      </c>
      <c r="AM218" s="5">
        <f>+$AC218*BL218</f>
        <v>0</v>
      </c>
      <c r="AN218" s="5">
        <f>+$AC218*BM218</f>
        <v>0</v>
      </c>
      <c r="AO218" s="5">
        <f>+$AC218*BN218</f>
        <v>0</v>
      </c>
      <c r="AP218" s="5">
        <f>+AC218+P218+C218</f>
        <v>10000</v>
      </c>
      <c r="AQ218" s="1">
        <v>445.9078297437112</v>
      </c>
      <c r="AR218" s="1">
        <v>533.26389417225994</v>
      </c>
      <c r="AS218" s="1">
        <v>471.94245424273822</v>
      </c>
      <c r="AT218" s="1">
        <v>357.47824934275246</v>
      </c>
      <c r="AU218" s="1">
        <v>518.42859052683809</v>
      </c>
      <c r="AV218" s="1">
        <v>424.85165476272317</v>
      </c>
      <c r="AW218" s="1">
        <v>422.96939438631352</v>
      </c>
      <c r="AX218" s="1">
        <v>287.23552731389981</v>
      </c>
      <c r="AY218" s="1">
        <v>425.76926172778735</v>
      </c>
      <c r="AZ218" s="1">
        <v>370.79029456517588</v>
      </c>
      <c r="BA218" s="1">
        <v>378.59094596053586</v>
      </c>
      <c r="BB218" s="1">
        <v>369.77779682837809</v>
      </c>
      <c r="BC218" s="2">
        <v>8.9181565948742242E-2</v>
      </c>
      <c r="BD218" s="2">
        <v>0.10665277883445198</v>
      </c>
      <c r="BE218" s="2">
        <v>9.438849084854764E-2</v>
      </c>
      <c r="BF218" s="2">
        <v>7.149564986855049E-2</v>
      </c>
      <c r="BG218" s="2">
        <v>0.10368571810536763</v>
      </c>
      <c r="BH218" s="2">
        <v>8.4970330952544637E-2</v>
      </c>
      <c r="BI218" s="2">
        <v>8.4593878877262704E-2</v>
      </c>
      <c r="BJ218" s="2">
        <v>5.7447105462779965E-2</v>
      </c>
      <c r="BK218" s="2">
        <v>8.5153852345557474E-2</v>
      </c>
      <c r="BL218" s="2">
        <v>7.4158058913035174E-2</v>
      </c>
      <c r="BM218" s="2">
        <v>7.5718189192107169E-2</v>
      </c>
      <c r="BN218" s="2">
        <v>7.3955559365675619E-2</v>
      </c>
    </row>
    <row r="219" spans="1:66" x14ac:dyDescent="0.25">
      <c r="A219" s="8">
        <v>2852</v>
      </c>
      <c r="B219" s="8" t="s">
        <v>777</v>
      </c>
      <c r="C219" s="5">
        <v>0</v>
      </c>
      <c r="D219" s="5">
        <f>+$C219*BC219</f>
        <v>0</v>
      </c>
      <c r="E219" s="5">
        <f>+$C219*BD219</f>
        <v>0</v>
      </c>
      <c r="F219" s="5">
        <f>+$C219*BE219</f>
        <v>0</v>
      </c>
      <c r="G219" s="5">
        <f>+$C219*BF219</f>
        <v>0</v>
      </c>
      <c r="H219" s="5">
        <f>+$C219*BG219</f>
        <v>0</v>
      </c>
      <c r="I219" s="5">
        <f>+$C219*BH219</f>
        <v>0</v>
      </c>
      <c r="J219" s="5">
        <f>+$C219*BI219</f>
        <v>0</v>
      </c>
      <c r="K219" s="5">
        <f>+$C219*BJ219</f>
        <v>0</v>
      </c>
      <c r="L219" s="5">
        <f>+$C219*BK219</f>
        <v>0</v>
      </c>
      <c r="M219" s="5">
        <f>+$C219*BL219</f>
        <v>0</v>
      </c>
      <c r="N219" s="5">
        <f>+$C219*BM219</f>
        <v>0</v>
      </c>
      <c r="O219" s="5">
        <f>+$C219*BN219</f>
        <v>0</v>
      </c>
      <c r="P219" s="5">
        <v>1500</v>
      </c>
      <c r="Q219" s="5">
        <f>+$P219*BC219</f>
        <v>133.77234892311336</v>
      </c>
      <c r="R219" s="5">
        <f>+$P219*BD219</f>
        <v>159.97916825167798</v>
      </c>
      <c r="S219" s="5">
        <f>+$P219*BE219</f>
        <v>141.58273627282145</v>
      </c>
      <c r="T219" s="5">
        <f>+$P219*BF219</f>
        <v>107.24347480282573</v>
      </c>
      <c r="U219" s="5">
        <f>+$P219*BG219</f>
        <v>155.52857715805143</v>
      </c>
      <c r="V219" s="5">
        <f>+$P219*BH219</f>
        <v>127.45549642881696</v>
      </c>
      <c r="W219" s="5">
        <f>+$P219*BI219</f>
        <v>126.89081831589405</v>
      </c>
      <c r="X219" s="5">
        <f>+$P219*BJ219</f>
        <v>86.170658194169945</v>
      </c>
      <c r="Y219" s="5">
        <f>+$P219*BK219</f>
        <v>127.73077851833621</v>
      </c>
      <c r="Z219" s="5">
        <f>+$P219*BL219</f>
        <v>111.23708836955277</v>
      </c>
      <c r="AA219" s="5">
        <f>+$P219*BM219</f>
        <v>113.57728378816076</v>
      </c>
      <c r="AB219" s="5">
        <f>+$P219*BN219</f>
        <v>110.93333904851343</v>
      </c>
      <c r="AC219" s="5">
        <v>0</v>
      </c>
      <c r="AD219" s="5">
        <f>+$AC219*BC219</f>
        <v>0</v>
      </c>
      <c r="AE219" s="5">
        <f>+$AC219*BD219</f>
        <v>0</v>
      </c>
      <c r="AF219" s="5">
        <f>+$AC219*BE219</f>
        <v>0</v>
      </c>
      <c r="AG219" s="5">
        <f>+$AC219*BF219</f>
        <v>0</v>
      </c>
      <c r="AH219" s="5">
        <f>+$AC219*BG219</f>
        <v>0</v>
      </c>
      <c r="AI219" s="5">
        <f>+$AC219*BH219</f>
        <v>0</v>
      </c>
      <c r="AJ219" s="5">
        <f>+$AC219*BI219</f>
        <v>0</v>
      </c>
      <c r="AK219" s="5">
        <f>+$AC219*BJ219</f>
        <v>0</v>
      </c>
      <c r="AL219" s="5">
        <f>+$AC219*BK219</f>
        <v>0</v>
      </c>
      <c r="AM219" s="5">
        <f>+$AC219*BL219</f>
        <v>0</v>
      </c>
      <c r="AN219" s="5">
        <f>+$AC219*BM219</f>
        <v>0</v>
      </c>
      <c r="AO219" s="5">
        <f>+$AC219*BN219</f>
        <v>0</v>
      </c>
      <c r="AP219" s="5">
        <f>+AC219+P219+C219</f>
        <v>1500</v>
      </c>
      <c r="AQ219" s="1">
        <v>445.9078297437112</v>
      </c>
      <c r="AR219" s="1">
        <v>533.26389417225994</v>
      </c>
      <c r="AS219" s="1">
        <v>471.94245424273822</v>
      </c>
      <c r="AT219" s="1">
        <v>357.47824934275246</v>
      </c>
      <c r="AU219" s="1">
        <v>518.42859052683809</v>
      </c>
      <c r="AV219" s="1">
        <v>424.85165476272317</v>
      </c>
      <c r="AW219" s="1">
        <v>422.96939438631352</v>
      </c>
      <c r="AX219" s="1">
        <v>287.23552731389981</v>
      </c>
      <c r="AY219" s="1">
        <v>425.76926172778735</v>
      </c>
      <c r="AZ219" s="1">
        <v>370.79029456517588</v>
      </c>
      <c r="BA219" s="1">
        <v>378.59094596053586</v>
      </c>
      <c r="BB219" s="1">
        <v>369.77779682837809</v>
      </c>
      <c r="BC219" s="2">
        <v>8.9181565948742242E-2</v>
      </c>
      <c r="BD219" s="2">
        <v>0.10665277883445198</v>
      </c>
      <c r="BE219" s="2">
        <v>9.438849084854764E-2</v>
      </c>
      <c r="BF219" s="2">
        <v>7.149564986855049E-2</v>
      </c>
      <c r="BG219" s="2">
        <v>0.10368571810536763</v>
      </c>
      <c r="BH219" s="2">
        <v>8.4970330952544637E-2</v>
      </c>
      <c r="BI219" s="2">
        <v>8.4593878877262704E-2</v>
      </c>
      <c r="BJ219" s="2">
        <v>5.7447105462779965E-2</v>
      </c>
      <c r="BK219" s="2">
        <v>8.5153852345557474E-2</v>
      </c>
      <c r="BL219" s="2">
        <v>7.4158058913035174E-2</v>
      </c>
      <c r="BM219" s="2">
        <v>7.5718189192107169E-2</v>
      </c>
      <c r="BN219" s="2">
        <v>7.3955559365675619E-2</v>
      </c>
    </row>
    <row r="220" spans="1:66" x14ac:dyDescent="0.25">
      <c r="A220" s="8">
        <v>2916</v>
      </c>
      <c r="B220" s="8" t="s">
        <v>776</v>
      </c>
      <c r="C220" s="5">
        <v>0</v>
      </c>
      <c r="D220" s="5">
        <f>+$C220*BC220</f>
        <v>0</v>
      </c>
      <c r="E220" s="5">
        <f>+$C220*BD220</f>
        <v>0</v>
      </c>
      <c r="F220" s="5">
        <f>+$C220*BE220</f>
        <v>0</v>
      </c>
      <c r="G220" s="5">
        <f>+$C220*BF220</f>
        <v>0</v>
      </c>
      <c r="H220" s="5">
        <f>+$C220*BG220</f>
        <v>0</v>
      </c>
      <c r="I220" s="5">
        <f>+$C220*BH220</f>
        <v>0</v>
      </c>
      <c r="J220" s="5">
        <f>+$C220*BI220</f>
        <v>0</v>
      </c>
      <c r="K220" s="5">
        <f>+$C220*BJ220</f>
        <v>0</v>
      </c>
      <c r="L220" s="5">
        <f>+$C220*BK220</f>
        <v>0</v>
      </c>
      <c r="M220" s="5">
        <f>+$C220*BL220</f>
        <v>0</v>
      </c>
      <c r="N220" s="5">
        <f>+$C220*BM220</f>
        <v>0</v>
      </c>
      <c r="O220" s="5">
        <f>+$C220*BN220</f>
        <v>0</v>
      </c>
      <c r="P220" s="5">
        <v>10000</v>
      </c>
      <c r="Q220" s="5">
        <f>+$P220*BC220</f>
        <v>891.81565948742241</v>
      </c>
      <c r="R220" s="5">
        <f>+$P220*BD220</f>
        <v>1066.5277883445199</v>
      </c>
      <c r="S220" s="5">
        <f>+$P220*BE220</f>
        <v>943.88490848547644</v>
      </c>
      <c r="T220" s="5">
        <f>+$P220*BF220</f>
        <v>714.95649868550493</v>
      </c>
      <c r="U220" s="5">
        <f>+$P220*BG220</f>
        <v>1036.8571810536762</v>
      </c>
      <c r="V220" s="5">
        <f>+$P220*BH220</f>
        <v>849.70330952544634</v>
      </c>
      <c r="W220" s="5">
        <f>+$P220*BI220</f>
        <v>845.93878877262705</v>
      </c>
      <c r="X220" s="5">
        <f>+$P220*BJ220</f>
        <v>574.47105462779962</v>
      </c>
      <c r="Y220" s="5">
        <f>+$P220*BK220</f>
        <v>851.5385234555747</v>
      </c>
      <c r="Z220" s="5">
        <f>+$P220*BL220</f>
        <v>741.58058913035177</v>
      </c>
      <c r="AA220" s="5">
        <f>+$P220*BM220</f>
        <v>757.18189192107172</v>
      </c>
      <c r="AB220" s="5">
        <f>+$P220*BN220</f>
        <v>739.55559365675617</v>
      </c>
      <c r="AC220" s="5">
        <v>0</v>
      </c>
      <c r="AD220" s="5">
        <f>+$AC220*BC220</f>
        <v>0</v>
      </c>
      <c r="AE220" s="5">
        <f>+$AC220*BD220</f>
        <v>0</v>
      </c>
      <c r="AF220" s="5">
        <f>+$AC220*BE220</f>
        <v>0</v>
      </c>
      <c r="AG220" s="5">
        <f>+$AC220*BF220</f>
        <v>0</v>
      </c>
      <c r="AH220" s="5">
        <f>+$AC220*BG220</f>
        <v>0</v>
      </c>
      <c r="AI220" s="5">
        <f>+$AC220*BH220</f>
        <v>0</v>
      </c>
      <c r="AJ220" s="5">
        <f>+$AC220*BI220</f>
        <v>0</v>
      </c>
      <c r="AK220" s="5">
        <f>+$AC220*BJ220</f>
        <v>0</v>
      </c>
      <c r="AL220" s="5">
        <f>+$AC220*BK220</f>
        <v>0</v>
      </c>
      <c r="AM220" s="5">
        <f>+$AC220*BL220</f>
        <v>0</v>
      </c>
      <c r="AN220" s="5">
        <f>+$AC220*BM220</f>
        <v>0</v>
      </c>
      <c r="AO220" s="5">
        <f>+$AC220*BN220</f>
        <v>0</v>
      </c>
      <c r="AP220" s="5">
        <f>+AC220+P220+C220</f>
        <v>10000</v>
      </c>
      <c r="AQ220" s="1">
        <v>891.81565948742241</v>
      </c>
      <c r="AR220" s="1">
        <v>1066.5277883445199</v>
      </c>
      <c r="AS220" s="1">
        <v>943.88490848547644</v>
      </c>
      <c r="AT220" s="1">
        <v>714.95649868550493</v>
      </c>
      <c r="AU220" s="1">
        <v>1036.8571810536762</v>
      </c>
      <c r="AV220" s="1">
        <v>849.70330952544634</v>
      </c>
      <c r="AW220" s="1">
        <v>845.93878877262705</v>
      </c>
      <c r="AX220" s="1">
        <v>574.47105462779962</v>
      </c>
      <c r="AY220" s="1">
        <v>851.5385234555747</v>
      </c>
      <c r="AZ220" s="1">
        <v>741.58058913035177</v>
      </c>
      <c r="BA220" s="1">
        <v>757.18189192107172</v>
      </c>
      <c r="BB220" s="1">
        <v>739.55559365675617</v>
      </c>
      <c r="BC220" s="2">
        <v>8.9181565948742242E-2</v>
      </c>
      <c r="BD220" s="2">
        <v>0.10665277883445198</v>
      </c>
      <c r="BE220" s="2">
        <v>9.438849084854764E-2</v>
      </c>
      <c r="BF220" s="2">
        <v>7.149564986855049E-2</v>
      </c>
      <c r="BG220" s="2">
        <v>0.10368571810536763</v>
      </c>
      <c r="BH220" s="2">
        <v>8.4970330952544637E-2</v>
      </c>
      <c r="BI220" s="2">
        <v>8.4593878877262704E-2</v>
      </c>
      <c r="BJ220" s="2">
        <v>5.7447105462779965E-2</v>
      </c>
      <c r="BK220" s="2">
        <v>8.5153852345557474E-2</v>
      </c>
      <c r="BL220" s="2">
        <v>7.4158058913035174E-2</v>
      </c>
      <c r="BM220" s="2">
        <v>7.5718189192107169E-2</v>
      </c>
      <c r="BN220" s="2">
        <v>7.3955559365675619E-2</v>
      </c>
    </row>
    <row r="221" spans="1:66" x14ac:dyDescent="0.25">
      <c r="A221" s="8">
        <v>3543</v>
      </c>
      <c r="B221" s="8" t="s">
        <v>775</v>
      </c>
      <c r="C221" s="5">
        <v>0</v>
      </c>
      <c r="D221" s="5">
        <f>+$C221*BC221</f>
        <v>0</v>
      </c>
      <c r="E221" s="5">
        <f>+$C221*BD221</f>
        <v>0</v>
      </c>
      <c r="F221" s="5">
        <f>+$C221*BE221</f>
        <v>0</v>
      </c>
      <c r="G221" s="5">
        <f>+$C221*BF221</f>
        <v>0</v>
      </c>
      <c r="H221" s="5">
        <f>+$C221*BG221</f>
        <v>0</v>
      </c>
      <c r="I221" s="5">
        <f>+$C221*BH221</f>
        <v>0</v>
      </c>
      <c r="J221" s="5">
        <f>+$C221*BI221</f>
        <v>0</v>
      </c>
      <c r="K221" s="5">
        <f>+$C221*BJ221</f>
        <v>0</v>
      </c>
      <c r="L221" s="5">
        <f>+$C221*BK221</f>
        <v>0</v>
      </c>
      <c r="M221" s="5">
        <f>+$C221*BL221</f>
        <v>0</v>
      </c>
      <c r="N221" s="5">
        <f>+$C221*BM221</f>
        <v>0</v>
      </c>
      <c r="O221" s="5">
        <f>+$C221*BN221</f>
        <v>0</v>
      </c>
      <c r="P221" s="5">
        <v>5000</v>
      </c>
      <c r="Q221" s="5">
        <f>+$P221*BC221</f>
        <v>445.9078297437112</v>
      </c>
      <c r="R221" s="5">
        <f>+$P221*BD221</f>
        <v>533.26389417225994</v>
      </c>
      <c r="S221" s="5">
        <f>+$P221*BE221</f>
        <v>471.94245424273822</v>
      </c>
      <c r="T221" s="5">
        <f>+$P221*BF221</f>
        <v>357.47824934275246</v>
      </c>
      <c r="U221" s="5">
        <f>+$P221*BG221</f>
        <v>518.42859052683809</v>
      </c>
      <c r="V221" s="5">
        <f>+$P221*BH221</f>
        <v>424.85165476272317</v>
      </c>
      <c r="W221" s="5">
        <f>+$P221*BI221</f>
        <v>422.96939438631352</v>
      </c>
      <c r="X221" s="5">
        <f>+$P221*BJ221</f>
        <v>287.23552731389981</v>
      </c>
      <c r="Y221" s="5">
        <f>+$P221*BK221</f>
        <v>425.76926172778735</v>
      </c>
      <c r="Z221" s="5">
        <f>+$P221*BL221</f>
        <v>370.79029456517588</v>
      </c>
      <c r="AA221" s="5">
        <f>+$P221*BM221</f>
        <v>378.59094596053586</v>
      </c>
      <c r="AB221" s="5">
        <f>+$P221*BN221</f>
        <v>369.77779682837809</v>
      </c>
      <c r="AC221" s="5">
        <v>0</v>
      </c>
      <c r="AD221" s="5">
        <f>+$AC221*BC221</f>
        <v>0</v>
      </c>
      <c r="AE221" s="5">
        <f>+$AC221*BD221</f>
        <v>0</v>
      </c>
      <c r="AF221" s="5">
        <f>+$AC221*BE221</f>
        <v>0</v>
      </c>
      <c r="AG221" s="5">
        <f>+$AC221*BF221</f>
        <v>0</v>
      </c>
      <c r="AH221" s="5">
        <f>+$AC221*BG221</f>
        <v>0</v>
      </c>
      <c r="AI221" s="5">
        <f>+$AC221*BH221</f>
        <v>0</v>
      </c>
      <c r="AJ221" s="5">
        <f>+$AC221*BI221</f>
        <v>0</v>
      </c>
      <c r="AK221" s="5">
        <f>+$AC221*BJ221</f>
        <v>0</v>
      </c>
      <c r="AL221" s="5">
        <f>+$AC221*BK221</f>
        <v>0</v>
      </c>
      <c r="AM221" s="5">
        <f>+$AC221*BL221</f>
        <v>0</v>
      </c>
      <c r="AN221" s="5">
        <f>+$AC221*BM221</f>
        <v>0</v>
      </c>
      <c r="AO221" s="5">
        <f>+$AC221*BN221</f>
        <v>0</v>
      </c>
      <c r="AP221" s="5">
        <f>+AC221+P221+C221</f>
        <v>5000</v>
      </c>
      <c r="AQ221" s="1">
        <v>445.9078297437112</v>
      </c>
      <c r="AR221" s="1">
        <v>533.26389417225994</v>
      </c>
      <c r="AS221" s="1">
        <v>471.94245424273822</v>
      </c>
      <c r="AT221" s="1">
        <v>357.47824934275246</v>
      </c>
      <c r="AU221" s="1">
        <v>518.42859052683809</v>
      </c>
      <c r="AV221" s="1">
        <v>424.85165476272317</v>
      </c>
      <c r="AW221" s="1">
        <v>422.96939438631352</v>
      </c>
      <c r="AX221" s="1">
        <v>287.23552731389981</v>
      </c>
      <c r="AY221" s="1">
        <v>425.76926172778735</v>
      </c>
      <c r="AZ221" s="1">
        <v>370.79029456517588</v>
      </c>
      <c r="BA221" s="1">
        <v>378.59094596053586</v>
      </c>
      <c r="BB221" s="1">
        <v>369.77779682837809</v>
      </c>
      <c r="BC221" s="2">
        <v>8.9181565948742242E-2</v>
      </c>
      <c r="BD221" s="2">
        <v>0.10665277883445198</v>
      </c>
      <c r="BE221" s="2">
        <v>9.438849084854764E-2</v>
      </c>
      <c r="BF221" s="2">
        <v>7.149564986855049E-2</v>
      </c>
      <c r="BG221" s="2">
        <v>0.10368571810536763</v>
      </c>
      <c r="BH221" s="2">
        <v>8.4970330952544637E-2</v>
      </c>
      <c r="BI221" s="2">
        <v>8.4593878877262704E-2</v>
      </c>
      <c r="BJ221" s="2">
        <v>5.7447105462779965E-2</v>
      </c>
      <c r="BK221" s="2">
        <v>8.5153852345557474E-2</v>
      </c>
      <c r="BL221" s="2">
        <v>7.4158058913035174E-2</v>
      </c>
      <c r="BM221" s="2">
        <v>7.5718189192107169E-2</v>
      </c>
      <c r="BN221" s="2">
        <v>7.3955559365675619E-2</v>
      </c>
    </row>
    <row r="222" spans="1:66" x14ac:dyDescent="0.25">
      <c r="A222" s="8">
        <v>3665</v>
      </c>
      <c r="B222" s="8" t="s">
        <v>774</v>
      </c>
      <c r="C222" s="5">
        <v>0</v>
      </c>
      <c r="D222" s="5">
        <f>+$C222*BC222</f>
        <v>0</v>
      </c>
      <c r="E222" s="5">
        <f>+$C222*BD222</f>
        <v>0</v>
      </c>
      <c r="F222" s="5">
        <f>+$C222*BE222</f>
        <v>0</v>
      </c>
      <c r="G222" s="5">
        <f>+$C222*BF222</f>
        <v>0</v>
      </c>
      <c r="H222" s="5">
        <f>+$C222*BG222</f>
        <v>0</v>
      </c>
      <c r="I222" s="5">
        <f>+$C222*BH222</f>
        <v>0</v>
      </c>
      <c r="J222" s="5">
        <f>+$C222*BI222</f>
        <v>0</v>
      </c>
      <c r="K222" s="5">
        <f>+$C222*BJ222</f>
        <v>0</v>
      </c>
      <c r="L222" s="5">
        <f>+$C222*BK222</f>
        <v>0</v>
      </c>
      <c r="M222" s="5">
        <f>+$C222*BL222</f>
        <v>0</v>
      </c>
      <c r="N222" s="5">
        <f>+$C222*BM222</f>
        <v>0</v>
      </c>
      <c r="O222" s="5">
        <f>+$C222*BN222</f>
        <v>0</v>
      </c>
      <c r="P222" s="5">
        <v>3000</v>
      </c>
      <c r="Q222" s="5">
        <f>+$P222*BC222</f>
        <v>267.54469784622671</v>
      </c>
      <c r="R222" s="5">
        <f>+$P222*BD222</f>
        <v>319.95833650335595</v>
      </c>
      <c r="S222" s="5">
        <f>+$P222*BE222</f>
        <v>283.1654725456429</v>
      </c>
      <c r="T222" s="5">
        <f>+$P222*BF222</f>
        <v>214.48694960565146</v>
      </c>
      <c r="U222" s="5">
        <f>+$P222*BG222</f>
        <v>311.05715431610287</v>
      </c>
      <c r="V222" s="5">
        <f>+$P222*BH222</f>
        <v>254.91099285763391</v>
      </c>
      <c r="W222" s="5">
        <f>+$P222*BI222</f>
        <v>253.7816366317881</v>
      </c>
      <c r="X222" s="5">
        <f>+$P222*BJ222</f>
        <v>172.34131638833989</v>
      </c>
      <c r="Y222" s="5">
        <f>+$P222*BK222</f>
        <v>255.46155703667242</v>
      </c>
      <c r="Z222" s="5">
        <f>+$P222*BL222</f>
        <v>222.47417673910553</v>
      </c>
      <c r="AA222" s="5">
        <f>+$P222*BM222</f>
        <v>227.15456757632151</v>
      </c>
      <c r="AB222" s="5">
        <f>+$P222*BN222</f>
        <v>221.86667809702686</v>
      </c>
      <c r="AC222" s="5">
        <v>0</v>
      </c>
      <c r="AD222" s="5">
        <f>+$AC222*BC222</f>
        <v>0</v>
      </c>
      <c r="AE222" s="5">
        <f>+$AC222*BD222</f>
        <v>0</v>
      </c>
      <c r="AF222" s="5">
        <f>+$AC222*BE222</f>
        <v>0</v>
      </c>
      <c r="AG222" s="5">
        <f>+$AC222*BF222</f>
        <v>0</v>
      </c>
      <c r="AH222" s="5">
        <f>+$AC222*BG222</f>
        <v>0</v>
      </c>
      <c r="AI222" s="5">
        <f>+$AC222*BH222</f>
        <v>0</v>
      </c>
      <c r="AJ222" s="5">
        <f>+$AC222*BI222</f>
        <v>0</v>
      </c>
      <c r="AK222" s="5">
        <f>+$AC222*BJ222</f>
        <v>0</v>
      </c>
      <c r="AL222" s="5">
        <f>+$AC222*BK222</f>
        <v>0</v>
      </c>
      <c r="AM222" s="5">
        <f>+$AC222*BL222</f>
        <v>0</v>
      </c>
      <c r="AN222" s="5">
        <f>+$AC222*BM222</f>
        <v>0</v>
      </c>
      <c r="AO222" s="5">
        <f>+$AC222*BN222</f>
        <v>0</v>
      </c>
      <c r="AP222" s="5">
        <f>+AC222+P222+C222</f>
        <v>3000</v>
      </c>
      <c r="AQ222" s="1">
        <v>713.45252758993797</v>
      </c>
      <c r="AR222" s="1">
        <v>853.22223067561583</v>
      </c>
      <c r="AS222" s="1">
        <v>755.10792678838118</v>
      </c>
      <c r="AT222" s="1">
        <v>571.96519894840389</v>
      </c>
      <c r="AU222" s="1">
        <v>829.48574484294102</v>
      </c>
      <c r="AV222" s="1">
        <v>679.76264762035714</v>
      </c>
      <c r="AW222" s="1">
        <v>676.75103101810168</v>
      </c>
      <c r="AX222" s="1">
        <v>459.57684370223973</v>
      </c>
      <c r="AY222" s="1">
        <v>681.23081876445974</v>
      </c>
      <c r="AZ222" s="1">
        <v>593.26447130428141</v>
      </c>
      <c r="BA222" s="1">
        <v>605.7455135368574</v>
      </c>
      <c r="BB222" s="1">
        <v>591.64447492540501</v>
      </c>
      <c r="BC222" s="2">
        <v>8.9181565948742242E-2</v>
      </c>
      <c r="BD222" s="2">
        <v>0.10665277883445198</v>
      </c>
      <c r="BE222" s="2">
        <v>9.438849084854764E-2</v>
      </c>
      <c r="BF222" s="2">
        <v>7.149564986855049E-2</v>
      </c>
      <c r="BG222" s="2">
        <v>0.10368571810536763</v>
      </c>
      <c r="BH222" s="2">
        <v>8.4970330952544637E-2</v>
      </c>
      <c r="BI222" s="2">
        <v>8.4593878877262704E-2</v>
      </c>
      <c r="BJ222" s="2">
        <v>5.7447105462779965E-2</v>
      </c>
      <c r="BK222" s="2">
        <v>8.5153852345557474E-2</v>
      </c>
      <c r="BL222" s="2">
        <v>7.4158058913035174E-2</v>
      </c>
      <c r="BM222" s="2">
        <v>7.5718189192107169E-2</v>
      </c>
      <c r="BN222" s="2">
        <v>7.3955559365675619E-2</v>
      </c>
    </row>
    <row r="223" spans="1:66" x14ac:dyDescent="0.25">
      <c r="A223" s="8">
        <v>3703</v>
      </c>
      <c r="B223" s="8" t="s">
        <v>773</v>
      </c>
      <c r="C223" s="5">
        <v>0</v>
      </c>
      <c r="D223" s="5">
        <f>+$C223*BC223</f>
        <v>0</v>
      </c>
      <c r="E223" s="5">
        <f>+$C223*BD223</f>
        <v>0</v>
      </c>
      <c r="F223" s="5">
        <f>+$C223*BE223</f>
        <v>0</v>
      </c>
      <c r="G223" s="5">
        <f>+$C223*BF223</f>
        <v>0</v>
      </c>
      <c r="H223" s="5">
        <f>+$C223*BG223</f>
        <v>0</v>
      </c>
      <c r="I223" s="5">
        <f>+$C223*BH223</f>
        <v>0</v>
      </c>
      <c r="J223" s="5">
        <f>+$C223*BI223</f>
        <v>0</v>
      </c>
      <c r="K223" s="5">
        <f>+$C223*BJ223</f>
        <v>0</v>
      </c>
      <c r="L223" s="5">
        <f>+$C223*BK223</f>
        <v>0</v>
      </c>
      <c r="M223" s="5">
        <f>+$C223*BL223</f>
        <v>0</v>
      </c>
      <c r="N223" s="5">
        <f>+$C223*BM223</f>
        <v>0</v>
      </c>
      <c r="O223" s="5">
        <f>+$C223*BN223</f>
        <v>0</v>
      </c>
      <c r="P223" s="5">
        <v>1500</v>
      </c>
      <c r="Q223" s="5">
        <f>+$P223*BC223</f>
        <v>133.77234892311336</v>
      </c>
      <c r="R223" s="5">
        <f>+$P223*BD223</f>
        <v>159.97916825167798</v>
      </c>
      <c r="S223" s="5">
        <f>+$P223*BE223</f>
        <v>141.58273627282145</v>
      </c>
      <c r="T223" s="5">
        <f>+$P223*BF223</f>
        <v>107.24347480282573</v>
      </c>
      <c r="U223" s="5">
        <f>+$P223*BG223</f>
        <v>155.52857715805143</v>
      </c>
      <c r="V223" s="5">
        <f>+$P223*BH223</f>
        <v>127.45549642881696</v>
      </c>
      <c r="W223" s="5">
        <f>+$P223*BI223</f>
        <v>126.89081831589405</v>
      </c>
      <c r="X223" s="5">
        <f>+$P223*BJ223</f>
        <v>86.170658194169945</v>
      </c>
      <c r="Y223" s="5">
        <f>+$P223*BK223</f>
        <v>127.73077851833621</v>
      </c>
      <c r="Z223" s="5">
        <f>+$P223*BL223</f>
        <v>111.23708836955277</v>
      </c>
      <c r="AA223" s="5">
        <f>+$P223*BM223</f>
        <v>113.57728378816076</v>
      </c>
      <c r="AB223" s="5">
        <f>+$P223*BN223</f>
        <v>110.93333904851343</v>
      </c>
      <c r="AC223" s="5">
        <v>0</v>
      </c>
      <c r="AD223" s="5">
        <f>+$AC223*BC223</f>
        <v>0</v>
      </c>
      <c r="AE223" s="5">
        <f>+$AC223*BD223</f>
        <v>0</v>
      </c>
      <c r="AF223" s="5">
        <f>+$AC223*BE223</f>
        <v>0</v>
      </c>
      <c r="AG223" s="5">
        <f>+$AC223*BF223</f>
        <v>0</v>
      </c>
      <c r="AH223" s="5">
        <f>+$AC223*BG223</f>
        <v>0</v>
      </c>
      <c r="AI223" s="5">
        <f>+$AC223*BH223</f>
        <v>0</v>
      </c>
      <c r="AJ223" s="5">
        <f>+$AC223*BI223</f>
        <v>0</v>
      </c>
      <c r="AK223" s="5">
        <f>+$AC223*BJ223</f>
        <v>0</v>
      </c>
      <c r="AL223" s="5">
        <f>+$AC223*BK223</f>
        <v>0</v>
      </c>
      <c r="AM223" s="5">
        <f>+$AC223*BL223</f>
        <v>0</v>
      </c>
      <c r="AN223" s="5">
        <f>+$AC223*BM223</f>
        <v>0</v>
      </c>
      <c r="AO223" s="5">
        <f>+$AC223*BN223</f>
        <v>0</v>
      </c>
      <c r="AP223" s="5">
        <f>+AC223+P223+C223</f>
        <v>1500</v>
      </c>
      <c r="AQ223" s="1">
        <v>445.9078297437112</v>
      </c>
      <c r="AR223" s="1">
        <v>533.26389417225994</v>
      </c>
      <c r="AS223" s="1">
        <v>471.94245424273822</v>
      </c>
      <c r="AT223" s="1">
        <v>357.47824934275246</v>
      </c>
      <c r="AU223" s="1">
        <v>518.42859052683809</v>
      </c>
      <c r="AV223" s="1">
        <v>424.85165476272317</v>
      </c>
      <c r="AW223" s="1">
        <v>422.96939438631352</v>
      </c>
      <c r="AX223" s="1">
        <v>287.23552731389981</v>
      </c>
      <c r="AY223" s="1">
        <v>425.76926172778735</v>
      </c>
      <c r="AZ223" s="1">
        <v>370.79029456517588</v>
      </c>
      <c r="BA223" s="1">
        <v>378.59094596053586</v>
      </c>
      <c r="BB223" s="1">
        <v>369.77779682837809</v>
      </c>
      <c r="BC223" s="2">
        <v>8.9181565948742242E-2</v>
      </c>
      <c r="BD223" s="2">
        <v>0.10665277883445198</v>
      </c>
      <c r="BE223" s="2">
        <v>9.438849084854764E-2</v>
      </c>
      <c r="BF223" s="2">
        <v>7.149564986855049E-2</v>
      </c>
      <c r="BG223" s="2">
        <v>0.10368571810536763</v>
      </c>
      <c r="BH223" s="2">
        <v>8.4970330952544637E-2</v>
      </c>
      <c r="BI223" s="2">
        <v>8.4593878877262704E-2</v>
      </c>
      <c r="BJ223" s="2">
        <v>5.7447105462779965E-2</v>
      </c>
      <c r="BK223" s="2">
        <v>8.5153852345557474E-2</v>
      </c>
      <c r="BL223" s="2">
        <v>7.4158058913035174E-2</v>
      </c>
      <c r="BM223" s="2">
        <v>7.5718189192107169E-2</v>
      </c>
      <c r="BN223" s="2">
        <v>7.3955559365675619E-2</v>
      </c>
    </row>
    <row r="224" spans="1:66" x14ac:dyDescent="0.25">
      <c r="A224" s="8">
        <v>4202</v>
      </c>
      <c r="B224" s="8" t="s">
        <v>772</v>
      </c>
      <c r="C224" s="5">
        <v>5000</v>
      </c>
      <c r="D224" s="5">
        <f>+$C224*BC224</f>
        <v>445.9078297437112</v>
      </c>
      <c r="E224" s="5">
        <f>+$C224*BD224</f>
        <v>533.26389417225994</v>
      </c>
      <c r="F224" s="5">
        <f>+$C224*BE224</f>
        <v>471.94245424273822</v>
      </c>
      <c r="G224" s="5">
        <f>+$C224*BF224</f>
        <v>357.47824934275246</v>
      </c>
      <c r="H224" s="5">
        <f>+$C224*BG224</f>
        <v>518.42859052683809</v>
      </c>
      <c r="I224" s="5">
        <f>+$C224*BH224</f>
        <v>424.85165476272317</v>
      </c>
      <c r="J224" s="5">
        <f>+$C224*BI224</f>
        <v>422.96939438631352</v>
      </c>
      <c r="K224" s="5">
        <f>+$C224*BJ224</f>
        <v>287.23552731389981</v>
      </c>
      <c r="L224" s="5">
        <f>+$C224*BK224</f>
        <v>425.76926172778735</v>
      </c>
      <c r="M224" s="5">
        <f>+$C224*BL224</f>
        <v>370.79029456517588</v>
      </c>
      <c r="N224" s="5">
        <f>+$C224*BM224</f>
        <v>378.59094596053586</v>
      </c>
      <c r="O224" s="5">
        <f>+$C224*BN224</f>
        <v>369.77779682837809</v>
      </c>
      <c r="P224" s="5">
        <v>0</v>
      </c>
      <c r="Q224" s="5">
        <f>+$P224*BC224</f>
        <v>0</v>
      </c>
      <c r="R224" s="5">
        <f>+$P224*BD224</f>
        <v>0</v>
      </c>
      <c r="S224" s="5">
        <f>+$P224*BE224</f>
        <v>0</v>
      </c>
      <c r="T224" s="5">
        <f>+$P224*BF224</f>
        <v>0</v>
      </c>
      <c r="U224" s="5">
        <f>+$P224*BG224</f>
        <v>0</v>
      </c>
      <c r="V224" s="5">
        <f>+$P224*BH224</f>
        <v>0</v>
      </c>
      <c r="W224" s="5">
        <f>+$P224*BI224</f>
        <v>0</v>
      </c>
      <c r="X224" s="5">
        <f>+$P224*BJ224</f>
        <v>0</v>
      </c>
      <c r="Y224" s="5">
        <f>+$P224*BK224</f>
        <v>0</v>
      </c>
      <c r="Z224" s="5">
        <f>+$P224*BL224</f>
        <v>0</v>
      </c>
      <c r="AA224" s="5">
        <f>+$P224*BM224</f>
        <v>0</v>
      </c>
      <c r="AB224" s="5">
        <f>+$P224*BN224</f>
        <v>0</v>
      </c>
      <c r="AC224" s="5">
        <v>0</v>
      </c>
      <c r="AD224" s="5">
        <f>+$AC224*BC224</f>
        <v>0</v>
      </c>
      <c r="AE224" s="5">
        <f>+$AC224*BD224</f>
        <v>0</v>
      </c>
      <c r="AF224" s="5">
        <f>+$AC224*BE224</f>
        <v>0</v>
      </c>
      <c r="AG224" s="5">
        <f>+$AC224*BF224</f>
        <v>0</v>
      </c>
      <c r="AH224" s="5">
        <f>+$AC224*BG224</f>
        <v>0</v>
      </c>
      <c r="AI224" s="5">
        <f>+$AC224*BH224</f>
        <v>0</v>
      </c>
      <c r="AJ224" s="5">
        <f>+$AC224*BI224</f>
        <v>0</v>
      </c>
      <c r="AK224" s="5">
        <f>+$AC224*BJ224</f>
        <v>0</v>
      </c>
      <c r="AL224" s="5">
        <f>+$AC224*BK224</f>
        <v>0</v>
      </c>
      <c r="AM224" s="5">
        <f>+$AC224*BL224</f>
        <v>0</v>
      </c>
      <c r="AN224" s="5">
        <f>+$AC224*BM224</f>
        <v>0</v>
      </c>
      <c r="AO224" s="5">
        <f>+$AC224*BN224</f>
        <v>0</v>
      </c>
      <c r="AP224" s="5">
        <f>+AC224+P224+C224</f>
        <v>5000</v>
      </c>
      <c r="AQ224" s="1">
        <v>445.9078297437112</v>
      </c>
      <c r="AR224" s="1">
        <v>533.26389417225994</v>
      </c>
      <c r="AS224" s="1">
        <v>471.94245424273822</v>
      </c>
      <c r="AT224" s="1">
        <v>357.47824934275246</v>
      </c>
      <c r="AU224" s="1">
        <v>518.42859052683809</v>
      </c>
      <c r="AV224" s="1">
        <v>424.85165476272317</v>
      </c>
      <c r="AW224" s="1">
        <v>422.96939438631352</v>
      </c>
      <c r="AX224" s="1">
        <v>287.23552731389981</v>
      </c>
      <c r="AY224" s="1">
        <v>425.76926172778735</v>
      </c>
      <c r="AZ224" s="1">
        <v>370.79029456517588</v>
      </c>
      <c r="BA224" s="1">
        <v>378.59094596053586</v>
      </c>
      <c r="BB224" s="1">
        <v>369.77779682837809</v>
      </c>
      <c r="BC224" s="2">
        <v>8.9181565948742242E-2</v>
      </c>
      <c r="BD224" s="2">
        <v>0.10665277883445198</v>
      </c>
      <c r="BE224" s="2">
        <v>9.438849084854764E-2</v>
      </c>
      <c r="BF224" s="2">
        <v>7.149564986855049E-2</v>
      </c>
      <c r="BG224" s="2">
        <v>0.10368571810536763</v>
      </c>
      <c r="BH224" s="2">
        <v>8.4970330952544637E-2</v>
      </c>
      <c r="BI224" s="2">
        <v>8.4593878877262704E-2</v>
      </c>
      <c r="BJ224" s="2">
        <v>5.7447105462779965E-2</v>
      </c>
      <c r="BK224" s="2">
        <v>8.5153852345557474E-2</v>
      </c>
      <c r="BL224" s="2">
        <v>7.4158058913035174E-2</v>
      </c>
      <c r="BM224" s="2">
        <v>7.5718189192107169E-2</v>
      </c>
      <c r="BN224" s="2">
        <v>7.3955559365675619E-2</v>
      </c>
    </row>
    <row r="225" spans="1:66" x14ac:dyDescent="0.25">
      <c r="A225" s="8">
        <v>4242</v>
      </c>
      <c r="B225" s="8" t="s">
        <v>771</v>
      </c>
      <c r="C225" s="5">
        <v>0</v>
      </c>
      <c r="D225" s="5">
        <f>+$C225*BC225</f>
        <v>0</v>
      </c>
      <c r="E225" s="5">
        <f>+$C225*BD225</f>
        <v>0</v>
      </c>
      <c r="F225" s="5">
        <f>+$C225*BE225</f>
        <v>0</v>
      </c>
      <c r="G225" s="5">
        <f>+$C225*BF225</f>
        <v>0</v>
      </c>
      <c r="H225" s="5">
        <f>+$C225*BG225</f>
        <v>0</v>
      </c>
      <c r="I225" s="5">
        <f>+$C225*BH225</f>
        <v>0</v>
      </c>
      <c r="J225" s="5">
        <f>+$C225*BI225</f>
        <v>0</v>
      </c>
      <c r="K225" s="5">
        <f>+$C225*BJ225</f>
        <v>0</v>
      </c>
      <c r="L225" s="5">
        <f>+$C225*BK225</f>
        <v>0</v>
      </c>
      <c r="M225" s="5">
        <f>+$C225*BL225</f>
        <v>0</v>
      </c>
      <c r="N225" s="5">
        <f>+$C225*BM225</f>
        <v>0</v>
      </c>
      <c r="O225" s="5">
        <f>+$C225*BN225</f>
        <v>0</v>
      </c>
      <c r="P225" s="5">
        <v>0</v>
      </c>
      <c r="Q225" s="5">
        <f>+$P225*BC225</f>
        <v>0</v>
      </c>
      <c r="R225" s="5">
        <f>+$P225*BD225</f>
        <v>0</v>
      </c>
      <c r="S225" s="5">
        <f>+$P225*BE225</f>
        <v>0</v>
      </c>
      <c r="T225" s="5">
        <f>+$P225*BF225</f>
        <v>0</v>
      </c>
      <c r="U225" s="5">
        <f>+$P225*BG225</f>
        <v>0</v>
      </c>
      <c r="V225" s="5">
        <f>+$P225*BH225</f>
        <v>0</v>
      </c>
      <c r="W225" s="5">
        <f>+$P225*BI225</f>
        <v>0</v>
      </c>
      <c r="X225" s="5">
        <f>+$P225*BJ225</f>
        <v>0</v>
      </c>
      <c r="Y225" s="5">
        <f>+$P225*BK225</f>
        <v>0</v>
      </c>
      <c r="Z225" s="5">
        <f>+$P225*BL225</f>
        <v>0</v>
      </c>
      <c r="AA225" s="5">
        <f>+$P225*BM225</f>
        <v>0</v>
      </c>
      <c r="AB225" s="5">
        <f>+$P225*BN225</f>
        <v>0</v>
      </c>
      <c r="AC225" s="5">
        <v>0</v>
      </c>
      <c r="AD225" s="5">
        <f>+$AC225*BC225</f>
        <v>0</v>
      </c>
      <c r="AE225" s="5">
        <f>+$AC225*BD225</f>
        <v>0</v>
      </c>
      <c r="AF225" s="5">
        <f>+$AC225*BE225</f>
        <v>0</v>
      </c>
      <c r="AG225" s="5">
        <f>+$AC225*BF225</f>
        <v>0</v>
      </c>
      <c r="AH225" s="5">
        <f>+$AC225*BG225</f>
        <v>0</v>
      </c>
      <c r="AI225" s="5">
        <f>+$AC225*BH225</f>
        <v>0</v>
      </c>
      <c r="AJ225" s="5">
        <f>+$AC225*BI225</f>
        <v>0</v>
      </c>
      <c r="AK225" s="5">
        <f>+$AC225*BJ225</f>
        <v>0</v>
      </c>
      <c r="AL225" s="5">
        <f>+$AC225*BK225</f>
        <v>0</v>
      </c>
      <c r="AM225" s="5">
        <f>+$AC225*BL225</f>
        <v>0</v>
      </c>
      <c r="AN225" s="5">
        <f>+$AC225*BM225</f>
        <v>0</v>
      </c>
      <c r="AO225" s="5">
        <f>+$AC225*BN225</f>
        <v>0</v>
      </c>
      <c r="AP225" s="5">
        <f>+AC225+P225+C225</f>
        <v>0</v>
      </c>
      <c r="AQ225" s="1">
        <v>472.19855538540043</v>
      </c>
      <c r="AR225" s="1">
        <v>564.70513337265641</v>
      </c>
      <c r="AS225" s="1">
        <v>499.76818134489008</v>
      </c>
      <c r="AT225" s="1">
        <v>378.55516692400113</v>
      </c>
      <c r="AU225" s="1">
        <v>548.99514022430048</v>
      </c>
      <c r="AV225" s="1">
        <v>449.90090832753339</v>
      </c>
      <c r="AW225" s="1">
        <v>447.90766987933057</v>
      </c>
      <c r="AX225" s="1">
        <v>304.17093400432736</v>
      </c>
      <c r="AY225" s="1">
        <v>450.87261739925771</v>
      </c>
      <c r="AZ225" s="1">
        <v>392.65209033273868</v>
      </c>
      <c r="BA225" s="1">
        <v>400.91266813436903</v>
      </c>
      <c r="BB225" s="1">
        <v>391.5798957293793</v>
      </c>
      <c r="BC225" s="2">
        <v>8.9181565948742242E-2</v>
      </c>
      <c r="BD225" s="2">
        <v>0.10665277883445198</v>
      </c>
      <c r="BE225" s="2">
        <v>9.438849084854764E-2</v>
      </c>
      <c r="BF225" s="2">
        <v>7.149564986855049E-2</v>
      </c>
      <c r="BG225" s="2">
        <v>0.10368571810536763</v>
      </c>
      <c r="BH225" s="2">
        <v>8.4970330952544637E-2</v>
      </c>
      <c r="BI225" s="2">
        <v>8.4593878877262704E-2</v>
      </c>
      <c r="BJ225" s="2">
        <v>5.7447105462779965E-2</v>
      </c>
      <c r="BK225" s="2">
        <v>8.5153852345557474E-2</v>
      </c>
      <c r="BL225" s="2">
        <v>7.4158058913035174E-2</v>
      </c>
      <c r="BM225" s="2">
        <v>7.5718189192107169E-2</v>
      </c>
      <c r="BN225" s="2">
        <v>7.3955559365675619E-2</v>
      </c>
    </row>
    <row r="226" spans="1:66" x14ac:dyDescent="0.25">
      <c r="A226" s="8">
        <v>4291</v>
      </c>
      <c r="B226" s="8" t="s">
        <v>770</v>
      </c>
      <c r="C226" s="5">
        <v>0</v>
      </c>
      <c r="D226" s="5">
        <f>+$C226*BC226</f>
        <v>0</v>
      </c>
      <c r="E226" s="5">
        <f>+$C226*BD226</f>
        <v>0</v>
      </c>
      <c r="F226" s="5">
        <f>+$C226*BE226</f>
        <v>0</v>
      </c>
      <c r="G226" s="5">
        <f>+$C226*BF226</f>
        <v>0</v>
      </c>
      <c r="H226" s="5">
        <f>+$C226*BG226</f>
        <v>0</v>
      </c>
      <c r="I226" s="5">
        <f>+$C226*BH226</f>
        <v>0</v>
      </c>
      <c r="J226" s="5">
        <f>+$C226*BI226</f>
        <v>0</v>
      </c>
      <c r="K226" s="5">
        <f>+$C226*BJ226</f>
        <v>0</v>
      </c>
      <c r="L226" s="5">
        <f>+$C226*BK226</f>
        <v>0</v>
      </c>
      <c r="M226" s="5">
        <f>+$C226*BL226</f>
        <v>0</v>
      </c>
      <c r="N226" s="5">
        <f>+$C226*BM226</f>
        <v>0</v>
      </c>
      <c r="O226" s="5">
        <f>+$C226*BN226</f>
        <v>0</v>
      </c>
      <c r="P226" s="5">
        <v>0</v>
      </c>
      <c r="Q226" s="5">
        <f>+$P226*BC226</f>
        <v>0</v>
      </c>
      <c r="R226" s="5">
        <f>+$P226*BD226</f>
        <v>0</v>
      </c>
      <c r="S226" s="5">
        <f>+$P226*BE226</f>
        <v>0</v>
      </c>
      <c r="T226" s="5">
        <f>+$P226*BF226</f>
        <v>0</v>
      </c>
      <c r="U226" s="5">
        <f>+$P226*BG226</f>
        <v>0</v>
      </c>
      <c r="V226" s="5">
        <f>+$P226*BH226</f>
        <v>0</v>
      </c>
      <c r="W226" s="5">
        <f>+$P226*BI226</f>
        <v>0</v>
      </c>
      <c r="X226" s="5">
        <f>+$P226*BJ226</f>
        <v>0</v>
      </c>
      <c r="Y226" s="5">
        <f>+$P226*BK226</f>
        <v>0</v>
      </c>
      <c r="Z226" s="5">
        <f>+$P226*BL226</f>
        <v>0</v>
      </c>
      <c r="AA226" s="5">
        <f>+$P226*BM226</f>
        <v>0</v>
      </c>
      <c r="AB226" s="5">
        <f>+$P226*BN226</f>
        <v>0</v>
      </c>
      <c r="AC226" s="5">
        <v>0</v>
      </c>
      <c r="AD226" s="5">
        <f>+$AC226*BC226</f>
        <v>0</v>
      </c>
      <c r="AE226" s="5">
        <f>+$AC226*BD226</f>
        <v>0</v>
      </c>
      <c r="AF226" s="5">
        <f>+$AC226*BE226</f>
        <v>0</v>
      </c>
      <c r="AG226" s="5">
        <f>+$AC226*BF226</f>
        <v>0</v>
      </c>
      <c r="AH226" s="5">
        <f>+$AC226*BG226</f>
        <v>0</v>
      </c>
      <c r="AI226" s="5">
        <f>+$AC226*BH226</f>
        <v>0</v>
      </c>
      <c r="AJ226" s="5">
        <f>+$AC226*BI226</f>
        <v>0</v>
      </c>
      <c r="AK226" s="5">
        <f>+$AC226*BJ226</f>
        <v>0</v>
      </c>
      <c r="AL226" s="5">
        <f>+$AC226*BK226</f>
        <v>0</v>
      </c>
      <c r="AM226" s="5">
        <f>+$AC226*BL226</f>
        <v>0</v>
      </c>
      <c r="AN226" s="5">
        <f>+$AC226*BM226</f>
        <v>0</v>
      </c>
      <c r="AO226" s="5">
        <f>+$AC226*BN226</f>
        <v>0</v>
      </c>
      <c r="AP226" s="5">
        <f>+AC226+P226+C226</f>
        <v>0</v>
      </c>
      <c r="AQ226" s="1">
        <v>2229.5391487185561</v>
      </c>
      <c r="AR226" s="1">
        <v>2666.3194708612996</v>
      </c>
      <c r="AS226" s="1">
        <v>2359.7122712136911</v>
      </c>
      <c r="AT226" s="1">
        <v>1787.3912467137623</v>
      </c>
      <c r="AU226" s="1">
        <v>2592.1429526341908</v>
      </c>
      <c r="AV226" s="1">
        <v>2124.2582738136161</v>
      </c>
      <c r="AW226" s="1">
        <v>2114.8469719315676</v>
      </c>
      <c r="AX226" s="1">
        <v>1436.1776365694991</v>
      </c>
      <c r="AY226" s="1">
        <v>2128.846308638937</v>
      </c>
      <c r="AZ226" s="1">
        <v>1853.9514728258794</v>
      </c>
      <c r="BA226" s="1">
        <v>1892.9547298026791</v>
      </c>
      <c r="BB226" s="1">
        <v>1848.8889841418904</v>
      </c>
      <c r="BC226" s="2">
        <v>8.9181565948742242E-2</v>
      </c>
      <c r="BD226" s="2">
        <v>0.10665277883445198</v>
      </c>
      <c r="BE226" s="2">
        <v>9.438849084854764E-2</v>
      </c>
      <c r="BF226" s="2">
        <v>7.149564986855049E-2</v>
      </c>
      <c r="BG226" s="2">
        <v>0.10368571810536763</v>
      </c>
      <c r="BH226" s="2">
        <v>8.4970330952544637E-2</v>
      </c>
      <c r="BI226" s="2">
        <v>8.4593878877262704E-2</v>
      </c>
      <c r="BJ226" s="2">
        <v>5.7447105462779965E-2</v>
      </c>
      <c r="BK226" s="2">
        <v>8.5153852345557474E-2</v>
      </c>
      <c r="BL226" s="2">
        <v>7.4158058913035174E-2</v>
      </c>
      <c r="BM226" s="2">
        <v>7.5718189192107169E-2</v>
      </c>
      <c r="BN226" s="2">
        <v>7.3955559365675619E-2</v>
      </c>
    </row>
    <row r="227" spans="1:66" x14ac:dyDescent="0.25">
      <c r="A227" s="8">
        <v>4325</v>
      </c>
      <c r="B227" s="8" t="s">
        <v>769</v>
      </c>
      <c r="C227" s="5">
        <v>0</v>
      </c>
      <c r="D227" s="5">
        <f>+$C227*BC227</f>
        <v>0</v>
      </c>
      <c r="E227" s="5">
        <f>+$C227*BD227</f>
        <v>0</v>
      </c>
      <c r="F227" s="5">
        <f>+$C227*BE227</f>
        <v>0</v>
      </c>
      <c r="G227" s="5">
        <f>+$C227*BF227</f>
        <v>0</v>
      </c>
      <c r="H227" s="5">
        <f>+$C227*BG227</f>
        <v>0</v>
      </c>
      <c r="I227" s="5">
        <f>+$C227*BH227</f>
        <v>0</v>
      </c>
      <c r="J227" s="5">
        <f>+$C227*BI227</f>
        <v>0</v>
      </c>
      <c r="K227" s="5">
        <f>+$C227*BJ227</f>
        <v>0</v>
      </c>
      <c r="L227" s="5">
        <f>+$C227*BK227</f>
        <v>0</v>
      </c>
      <c r="M227" s="5">
        <f>+$C227*BL227</f>
        <v>0</v>
      </c>
      <c r="N227" s="5">
        <f>+$C227*BM227</f>
        <v>0</v>
      </c>
      <c r="O227" s="5">
        <f>+$C227*BN227</f>
        <v>0</v>
      </c>
      <c r="P227" s="5">
        <v>2000</v>
      </c>
      <c r="Q227" s="5">
        <f>+$P227*BC227</f>
        <v>178.36313189748449</v>
      </c>
      <c r="R227" s="5">
        <f>+$P227*BD227</f>
        <v>213.30555766890396</v>
      </c>
      <c r="S227" s="5">
        <f>+$P227*BE227</f>
        <v>188.77698169709529</v>
      </c>
      <c r="T227" s="5">
        <f>+$P227*BF227</f>
        <v>142.99129973710097</v>
      </c>
      <c r="U227" s="5">
        <f>+$P227*BG227</f>
        <v>207.37143621073525</v>
      </c>
      <c r="V227" s="5">
        <f>+$P227*BH227</f>
        <v>169.94066190508929</v>
      </c>
      <c r="W227" s="5">
        <f>+$P227*BI227</f>
        <v>169.18775775452542</v>
      </c>
      <c r="X227" s="5">
        <f>+$P227*BJ227</f>
        <v>114.89421092555993</v>
      </c>
      <c r="Y227" s="5">
        <f>+$P227*BK227</f>
        <v>170.30770469111494</v>
      </c>
      <c r="Z227" s="5">
        <f>+$P227*BL227</f>
        <v>148.31611782607035</v>
      </c>
      <c r="AA227" s="5">
        <f>+$P227*BM227</f>
        <v>151.43637838421435</v>
      </c>
      <c r="AB227" s="5">
        <f>+$P227*BN227</f>
        <v>147.91111873135125</v>
      </c>
      <c r="AC227" s="5">
        <v>0</v>
      </c>
      <c r="AD227" s="5">
        <f>+$AC227*BC227</f>
        <v>0</v>
      </c>
      <c r="AE227" s="5">
        <f>+$AC227*BD227</f>
        <v>0</v>
      </c>
      <c r="AF227" s="5">
        <f>+$AC227*BE227</f>
        <v>0</v>
      </c>
      <c r="AG227" s="5">
        <f>+$AC227*BF227</f>
        <v>0</v>
      </c>
      <c r="AH227" s="5">
        <f>+$AC227*BG227</f>
        <v>0</v>
      </c>
      <c r="AI227" s="5">
        <f>+$AC227*BH227</f>
        <v>0</v>
      </c>
      <c r="AJ227" s="5">
        <f>+$AC227*BI227</f>
        <v>0</v>
      </c>
      <c r="AK227" s="5">
        <f>+$AC227*BJ227</f>
        <v>0</v>
      </c>
      <c r="AL227" s="5">
        <f>+$AC227*BK227</f>
        <v>0</v>
      </c>
      <c r="AM227" s="5">
        <f>+$AC227*BL227</f>
        <v>0</v>
      </c>
      <c r="AN227" s="5">
        <f>+$AC227*BM227</f>
        <v>0</v>
      </c>
      <c r="AO227" s="5">
        <f>+$AC227*BN227</f>
        <v>0</v>
      </c>
      <c r="AP227" s="5">
        <f>+AC227+P227+C227</f>
        <v>2000</v>
      </c>
      <c r="AQ227" s="1">
        <v>445.9078297437112</v>
      </c>
      <c r="AR227" s="1">
        <v>533.26389417225994</v>
      </c>
      <c r="AS227" s="1">
        <v>471.94245424273822</v>
      </c>
      <c r="AT227" s="1">
        <v>357.47824934275246</v>
      </c>
      <c r="AU227" s="1">
        <v>518.42859052683809</v>
      </c>
      <c r="AV227" s="1">
        <v>424.85165476272317</v>
      </c>
      <c r="AW227" s="1">
        <v>422.96939438631352</v>
      </c>
      <c r="AX227" s="1">
        <v>287.23552731389981</v>
      </c>
      <c r="AY227" s="1">
        <v>425.76926172778735</v>
      </c>
      <c r="AZ227" s="1">
        <v>370.79029456517588</v>
      </c>
      <c r="BA227" s="1">
        <v>378.59094596053586</v>
      </c>
      <c r="BB227" s="1">
        <v>369.77779682837809</v>
      </c>
      <c r="BC227" s="2">
        <v>8.9181565948742242E-2</v>
      </c>
      <c r="BD227" s="2">
        <v>0.10665277883445198</v>
      </c>
      <c r="BE227" s="2">
        <v>9.438849084854764E-2</v>
      </c>
      <c r="BF227" s="2">
        <v>7.149564986855049E-2</v>
      </c>
      <c r="BG227" s="2">
        <v>0.10368571810536763</v>
      </c>
      <c r="BH227" s="2">
        <v>8.4970330952544637E-2</v>
      </c>
      <c r="BI227" s="2">
        <v>8.4593878877262704E-2</v>
      </c>
      <c r="BJ227" s="2">
        <v>5.7447105462779965E-2</v>
      </c>
      <c r="BK227" s="2">
        <v>8.5153852345557474E-2</v>
      </c>
      <c r="BL227" s="2">
        <v>7.4158058913035174E-2</v>
      </c>
      <c r="BM227" s="2">
        <v>7.5718189192107169E-2</v>
      </c>
      <c r="BN227" s="2">
        <v>7.3955559365675619E-2</v>
      </c>
    </row>
    <row r="228" spans="1:66" x14ac:dyDescent="0.25">
      <c r="A228" s="8">
        <v>4727</v>
      </c>
      <c r="B228" s="8" t="s">
        <v>768</v>
      </c>
      <c r="C228" s="5">
        <v>0</v>
      </c>
      <c r="D228" s="5">
        <f>+$C228*BC228</f>
        <v>0</v>
      </c>
      <c r="E228" s="5">
        <f>+$C228*BD228</f>
        <v>0</v>
      </c>
      <c r="F228" s="5">
        <f>+$C228*BE228</f>
        <v>0</v>
      </c>
      <c r="G228" s="5">
        <f>+$C228*BF228</f>
        <v>0</v>
      </c>
      <c r="H228" s="5">
        <f>+$C228*BG228</f>
        <v>0</v>
      </c>
      <c r="I228" s="5">
        <f>+$C228*BH228</f>
        <v>0</v>
      </c>
      <c r="J228" s="5">
        <f>+$C228*BI228</f>
        <v>0</v>
      </c>
      <c r="K228" s="5">
        <f>+$C228*BJ228</f>
        <v>0</v>
      </c>
      <c r="L228" s="5">
        <f>+$C228*BK228</f>
        <v>0</v>
      </c>
      <c r="M228" s="5">
        <f>+$C228*BL228</f>
        <v>0</v>
      </c>
      <c r="N228" s="5">
        <f>+$C228*BM228</f>
        <v>0</v>
      </c>
      <c r="O228" s="5">
        <f>+$C228*BN228</f>
        <v>0</v>
      </c>
      <c r="P228" s="5">
        <v>3000</v>
      </c>
      <c r="Q228" s="5">
        <f>+$P228*BC228</f>
        <v>267.54469784622671</v>
      </c>
      <c r="R228" s="5">
        <f>+$P228*BD228</f>
        <v>319.95833650335595</v>
      </c>
      <c r="S228" s="5">
        <f>+$P228*BE228</f>
        <v>283.1654725456429</v>
      </c>
      <c r="T228" s="5">
        <f>+$P228*BF228</f>
        <v>214.48694960565146</v>
      </c>
      <c r="U228" s="5">
        <f>+$P228*BG228</f>
        <v>311.05715431610287</v>
      </c>
      <c r="V228" s="5">
        <f>+$P228*BH228</f>
        <v>254.91099285763391</v>
      </c>
      <c r="W228" s="5">
        <f>+$P228*BI228</f>
        <v>253.7816366317881</v>
      </c>
      <c r="X228" s="5">
        <f>+$P228*BJ228</f>
        <v>172.34131638833989</v>
      </c>
      <c r="Y228" s="5">
        <f>+$P228*BK228</f>
        <v>255.46155703667242</v>
      </c>
      <c r="Z228" s="5">
        <f>+$P228*BL228</f>
        <v>222.47417673910553</v>
      </c>
      <c r="AA228" s="5">
        <f>+$P228*BM228</f>
        <v>227.15456757632151</v>
      </c>
      <c r="AB228" s="5">
        <f>+$P228*BN228</f>
        <v>221.86667809702686</v>
      </c>
      <c r="AC228" s="5">
        <v>0</v>
      </c>
      <c r="AD228" s="5">
        <f>+$AC228*BC228</f>
        <v>0</v>
      </c>
      <c r="AE228" s="5">
        <f>+$AC228*BD228</f>
        <v>0</v>
      </c>
      <c r="AF228" s="5">
        <f>+$AC228*BE228</f>
        <v>0</v>
      </c>
      <c r="AG228" s="5">
        <f>+$AC228*BF228</f>
        <v>0</v>
      </c>
      <c r="AH228" s="5">
        <f>+$AC228*BG228</f>
        <v>0</v>
      </c>
      <c r="AI228" s="5">
        <f>+$AC228*BH228</f>
        <v>0</v>
      </c>
      <c r="AJ228" s="5">
        <f>+$AC228*BI228</f>
        <v>0</v>
      </c>
      <c r="AK228" s="5">
        <f>+$AC228*BJ228</f>
        <v>0</v>
      </c>
      <c r="AL228" s="5">
        <f>+$AC228*BK228</f>
        <v>0</v>
      </c>
      <c r="AM228" s="5">
        <f>+$AC228*BL228</f>
        <v>0</v>
      </c>
      <c r="AN228" s="5">
        <f>+$AC228*BM228</f>
        <v>0</v>
      </c>
      <c r="AO228" s="5">
        <f>+$AC228*BN228</f>
        <v>0</v>
      </c>
      <c r="AP228" s="5">
        <f>+AC228+P228+C228</f>
        <v>3000</v>
      </c>
      <c r="AQ228" s="1">
        <v>445.9078297437112</v>
      </c>
      <c r="AR228" s="1">
        <v>533.26389417225994</v>
      </c>
      <c r="AS228" s="1">
        <v>471.94245424273822</v>
      </c>
      <c r="AT228" s="1">
        <v>357.47824934275246</v>
      </c>
      <c r="AU228" s="1">
        <v>518.42859052683809</v>
      </c>
      <c r="AV228" s="1">
        <v>424.85165476272317</v>
      </c>
      <c r="AW228" s="1">
        <v>422.96939438631352</v>
      </c>
      <c r="AX228" s="1">
        <v>287.23552731389981</v>
      </c>
      <c r="AY228" s="1">
        <v>425.76926172778735</v>
      </c>
      <c r="AZ228" s="1">
        <v>370.79029456517588</v>
      </c>
      <c r="BA228" s="1">
        <v>378.59094596053586</v>
      </c>
      <c r="BB228" s="1">
        <v>369.77779682837809</v>
      </c>
      <c r="BC228" s="2">
        <v>8.9181565948742242E-2</v>
      </c>
      <c r="BD228" s="2">
        <v>0.10665277883445198</v>
      </c>
      <c r="BE228" s="2">
        <v>9.438849084854764E-2</v>
      </c>
      <c r="BF228" s="2">
        <v>7.149564986855049E-2</v>
      </c>
      <c r="BG228" s="2">
        <v>0.10368571810536763</v>
      </c>
      <c r="BH228" s="2">
        <v>8.4970330952544637E-2</v>
      </c>
      <c r="BI228" s="2">
        <v>8.4593878877262704E-2</v>
      </c>
      <c r="BJ228" s="2">
        <v>5.7447105462779965E-2</v>
      </c>
      <c r="BK228" s="2">
        <v>8.5153852345557474E-2</v>
      </c>
      <c r="BL228" s="2">
        <v>7.4158058913035174E-2</v>
      </c>
      <c r="BM228" s="2">
        <v>7.5718189192107169E-2</v>
      </c>
      <c r="BN228" s="2">
        <v>7.3955559365675619E-2</v>
      </c>
    </row>
    <row r="229" spans="1:66" x14ac:dyDescent="0.25">
      <c r="A229" s="8">
        <v>4748</v>
      </c>
      <c r="B229" s="8" t="s">
        <v>767</v>
      </c>
      <c r="C229" s="5">
        <v>0</v>
      </c>
      <c r="D229" s="5">
        <f>+$C229*BC229</f>
        <v>0</v>
      </c>
      <c r="E229" s="5">
        <f>+$C229*BD229</f>
        <v>0</v>
      </c>
      <c r="F229" s="5">
        <f>+$C229*BE229</f>
        <v>0</v>
      </c>
      <c r="G229" s="5">
        <f>+$C229*BF229</f>
        <v>0</v>
      </c>
      <c r="H229" s="5">
        <f>+$C229*BG229</f>
        <v>0</v>
      </c>
      <c r="I229" s="5">
        <f>+$C229*BH229</f>
        <v>0</v>
      </c>
      <c r="J229" s="5">
        <f>+$C229*BI229</f>
        <v>0</v>
      </c>
      <c r="K229" s="5">
        <f>+$C229*BJ229</f>
        <v>0</v>
      </c>
      <c r="L229" s="5">
        <f>+$C229*BK229</f>
        <v>0</v>
      </c>
      <c r="M229" s="5">
        <f>+$C229*BL229</f>
        <v>0</v>
      </c>
      <c r="N229" s="5">
        <f>+$C229*BM229</f>
        <v>0</v>
      </c>
      <c r="O229" s="5">
        <f>+$C229*BN229</f>
        <v>0</v>
      </c>
      <c r="P229" s="5">
        <v>0</v>
      </c>
      <c r="Q229" s="5">
        <f>+$P229*BC229</f>
        <v>0</v>
      </c>
      <c r="R229" s="5">
        <f>+$P229*BD229</f>
        <v>0</v>
      </c>
      <c r="S229" s="5">
        <f>+$P229*BE229</f>
        <v>0</v>
      </c>
      <c r="T229" s="5">
        <f>+$P229*BF229</f>
        <v>0</v>
      </c>
      <c r="U229" s="5">
        <f>+$P229*BG229</f>
        <v>0</v>
      </c>
      <c r="V229" s="5">
        <f>+$P229*BH229</f>
        <v>0</v>
      </c>
      <c r="W229" s="5">
        <f>+$P229*BI229</f>
        <v>0</v>
      </c>
      <c r="X229" s="5">
        <f>+$P229*BJ229</f>
        <v>0</v>
      </c>
      <c r="Y229" s="5">
        <f>+$P229*BK229</f>
        <v>0</v>
      </c>
      <c r="Z229" s="5">
        <f>+$P229*BL229</f>
        <v>0</v>
      </c>
      <c r="AA229" s="5">
        <f>+$P229*BM229</f>
        <v>0</v>
      </c>
      <c r="AB229" s="5">
        <f>+$P229*BN229</f>
        <v>0</v>
      </c>
      <c r="AC229" s="5">
        <v>0</v>
      </c>
      <c r="AD229" s="5">
        <f>+$AC229*BC229</f>
        <v>0</v>
      </c>
      <c r="AE229" s="5">
        <f>+$AC229*BD229</f>
        <v>0</v>
      </c>
      <c r="AF229" s="5">
        <f>+$AC229*BE229</f>
        <v>0</v>
      </c>
      <c r="AG229" s="5">
        <f>+$AC229*BF229</f>
        <v>0</v>
      </c>
      <c r="AH229" s="5">
        <f>+$AC229*BG229</f>
        <v>0</v>
      </c>
      <c r="AI229" s="5">
        <f>+$AC229*BH229</f>
        <v>0</v>
      </c>
      <c r="AJ229" s="5">
        <f>+$AC229*BI229</f>
        <v>0</v>
      </c>
      <c r="AK229" s="5">
        <f>+$AC229*BJ229</f>
        <v>0</v>
      </c>
      <c r="AL229" s="5">
        <f>+$AC229*BK229</f>
        <v>0</v>
      </c>
      <c r="AM229" s="5">
        <f>+$AC229*BL229</f>
        <v>0</v>
      </c>
      <c r="AN229" s="5">
        <f>+$AC229*BM229</f>
        <v>0</v>
      </c>
      <c r="AO229" s="5">
        <f>+$AC229*BN229</f>
        <v>0</v>
      </c>
      <c r="AP229" s="5">
        <f>+AC229+P229+C229</f>
        <v>0</v>
      </c>
      <c r="AQ229" s="1">
        <v>445.9078297437112</v>
      </c>
      <c r="AR229" s="1">
        <v>533.26389417225994</v>
      </c>
      <c r="AS229" s="1">
        <v>471.94245424273822</v>
      </c>
      <c r="AT229" s="1">
        <v>357.47824934275246</v>
      </c>
      <c r="AU229" s="1">
        <v>518.42859052683809</v>
      </c>
      <c r="AV229" s="1">
        <v>424.85165476272317</v>
      </c>
      <c r="AW229" s="1">
        <v>422.96939438631352</v>
      </c>
      <c r="AX229" s="1">
        <v>287.23552731389981</v>
      </c>
      <c r="AY229" s="1">
        <v>425.76926172778735</v>
      </c>
      <c r="AZ229" s="1">
        <v>370.79029456517588</v>
      </c>
      <c r="BA229" s="1">
        <v>378.59094596053586</v>
      </c>
      <c r="BB229" s="1">
        <v>369.77779682837809</v>
      </c>
      <c r="BC229" s="2">
        <v>8.9181565948742242E-2</v>
      </c>
      <c r="BD229" s="2">
        <v>0.10665277883445198</v>
      </c>
      <c r="BE229" s="2">
        <v>9.438849084854764E-2</v>
      </c>
      <c r="BF229" s="2">
        <v>7.149564986855049E-2</v>
      </c>
      <c r="BG229" s="2">
        <v>0.10368571810536763</v>
      </c>
      <c r="BH229" s="2">
        <v>8.4970330952544637E-2</v>
      </c>
      <c r="BI229" s="2">
        <v>8.4593878877262704E-2</v>
      </c>
      <c r="BJ229" s="2">
        <v>5.7447105462779965E-2</v>
      </c>
      <c r="BK229" s="2">
        <v>8.5153852345557474E-2</v>
      </c>
      <c r="BL229" s="2">
        <v>7.4158058913035174E-2</v>
      </c>
      <c r="BM229" s="2">
        <v>7.5718189192107169E-2</v>
      </c>
      <c r="BN229" s="2">
        <v>7.3955559365675619E-2</v>
      </c>
    </row>
    <row r="230" spans="1:66" x14ac:dyDescent="0.25">
      <c r="A230" s="8">
        <v>4767</v>
      </c>
      <c r="B230" s="8" t="s">
        <v>766</v>
      </c>
      <c r="C230" s="5">
        <v>0</v>
      </c>
      <c r="D230" s="5">
        <f>+$C230*BC230</f>
        <v>0</v>
      </c>
      <c r="E230" s="5">
        <f>+$C230*BD230</f>
        <v>0</v>
      </c>
      <c r="F230" s="5">
        <f>+$C230*BE230</f>
        <v>0</v>
      </c>
      <c r="G230" s="5">
        <f>+$C230*BF230</f>
        <v>0</v>
      </c>
      <c r="H230" s="5">
        <f>+$C230*BG230</f>
        <v>0</v>
      </c>
      <c r="I230" s="5">
        <f>+$C230*BH230</f>
        <v>0</v>
      </c>
      <c r="J230" s="5">
        <f>+$C230*BI230</f>
        <v>0</v>
      </c>
      <c r="K230" s="5">
        <f>+$C230*BJ230</f>
        <v>0</v>
      </c>
      <c r="L230" s="5">
        <f>+$C230*BK230</f>
        <v>0</v>
      </c>
      <c r="M230" s="5">
        <f>+$C230*BL230</f>
        <v>0</v>
      </c>
      <c r="N230" s="5">
        <f>+$C230*BM230</f>
        <v>0</v>
      </c>
      <c r="O230" s="5">
        <f>+$C230*BN230</f>
        <v>0</v>
      </c>
      <c r="P230" s="5">
        <v>0</v>
      </c>
      <c r="Q230" s="5">
        <f>+$P230*BC230</f>
        <v>0</v>
      </c>
      <c r="R230" s="5">
        <f>+$P230*BD230</f>
        <v>0</v>
      </c>
      <c r="S230" s="5">
        <f>+$P230*BE230</f>
        <v>0</v>
      </c>
      <c r="T230" s="5">
        <f>+$P230*BF230</f>
        <v>0</v>
      </c>
      <c r="U230" s="5">
        <f>+$P230*BG230</f>
        <v>0</v>
      </c>
      <c r="V230" s="5">
        <f>+$P230*BH230</f>
        <v>0</v>
      </c>
      <c r="W230" s="5">
        <f>+$P230*BI230</f>
        <v>0</v>
      </c>
      <c r="X230" s="5">
        <f>+$P230*BJ230</f>
        <v>0</v>
      </c>
      <c r="Y230" s="5">
        <f>+$P230*BK230</f>
        <v>0</v>
      </c>
      <c r="Z230" s="5">
        <f>+$P230*BL230</f>
        <v>0</v>
      </c>
      <c r="AA230" s="5">
        <f>+$P230*BM230</f>
        <v>0</v>
      </c>
      <c r="AB230" s="5">
        <f>+$P230*BN230</f>
        <v>0</v>
      </c>
      <c r="AC230" s="5">
        <v>0</v>
      </c>
      <c r="AD230" s="5">
        <f>+$AC230*BC230</f>
        <v>0</v>
      </c>
      <c r="AE230" s="5">
        <f>+$AC230*BD230</f>
        <v>0</v>
      </c>
      <c r="AF230" s="5">
        <f>+$AC230*BE230</f>
        <v>0</v>
      </c>
      <c r="AG230" s="5">
        <f>+$AC230*BF230</f>
        <v>0</v>
      </c>
      <c r="AH230" s="5">
        <f>+$AC230*BG230</f>
        <v>0</v>
      </c>
      <c r="AI230" s="5">
        <f>+$AC230*BH230</f>
        <v>0</v>
      </c>
      <c r="AJ230" s="5">
        <f>+$AC230*BI230</f>
        <v>0</v>
      </c>
      <c r="AK230" s="5">
        <f>+$AC230*BJ230</f>
        <v>0</v>
      </c>
      <c r="AL230" s="5">
        <f>+$AC230*BK230</f>
        <v>0</v>
      </c>
      <c r="AM230" s="5">
        <f>+$AC230*BL230</f>
        <v>0</v>
      </c>
      <c r="AN230" s="5">
        <f>+$AC230*BM230</f>
        <v>0</v>
      </c>
      <c r="AO230" s="5">
        <f>+$AC230*BN230</f>
        <v>0</v>
      </c>
      <c r="AP230" s="5">
        <f>+AC230+P230+C230</f>
        <v>0</v>
      </c>
      <c r="AQ230" s="1">
        <v>445.9078297437112</v>
      </c>
      <c r="AR230" s="1">
        <v>533.26389417225994</v>
      </c>
      <c r="AS230" s="1">
        <v>471.94245424273822</v>
      </c>
      <c r="AT230" s="1">
        <v>357.47824934275246</v>
      </c>
      <c r="AU230" s="1">
        <v>518.42859052683809</v>
      </c>
      <c r="AV230" s="1">
        <v>424.85165476272317</v>
      </c>
      <c r="AW230" s="1">
        <v>422.96939438631352</v>
      </c>
      <c r="AX230" s="1">
        <v>287.23552731389981</v>
      </c>
      <c r="AY230" s="1">
        <v>425.76926172778735</v>
      </c>
      <c r="AZ230" s="1">
        <v>370.79029456517588</v>
      </c>
      <c r="BA230" s="1">
        <v>378.59094596053586</v>
      </c>
      <c r="BB230" s="1">
        <v>369.77779682837809</v>
      </c>
      <c r="BC230" s="2">
        <v>8.9181565948742242E-2</v>
      </c>
      <c r="BD230" s="2">
        <v>0.10665277883445198</v>
      </c>
      <c r="BE230" s="2">
        <v>9.438849084854764E-2</v>
      </c>
      <c r="BF230" s="2">
        <v>7.149564986855049E-2</v>
      </c>
      <c r="BG230" s="2">
        <v>0.10368571810536763</v>
      </c>
      <c r="BH230" s="2">
        <v>8.4970330952544637E-2</v>
      </c>
      <c r="BI230" s="2">
        <v>8.4593878877262704E-2</v>
      </c>
      <c r="BJ230" s="2">
        <v>5.7447105462779965E-2</v>
      </c>
      <c r="BK230" s="2">
        <v>8.5153852345557474E-2</v>
      </c>
      <c r="BL230" s="2">
        <v>7.4158058913035174E-2</v>
      </c>
      <c r="BM230" s="2">
        <v>7.5718189192107169E-2</v>
      </c>
      <c r="BN230" s="2">
        <v>7.3955559365675619E-2</v>
      </c>
    </row>
    <row r="231" spans="1:66" x14ac:dyDescent="0.25">
      <c r="A231" s="8">
        <v>5271</v>
      </c>
      <c r="B231" s="8" t="s">
        <v>765</v>
      </c>
      <c r="C231" s="5">
        <v>0</v>
      </c>
      <c r="D231" s="5">
        <f>+$C231*BC231</f>
        <v>0</v>
      </c>
      <c r="E231" s="5">
        <f>+$C231*BD231</f>
        <v>0</v>
      </c>
      <c r="F231" s="5">
        <f>+$C231*BE231</f>
        <v>0</v>
      </c>
      <c r="G231" s="5">
        <f>+$C231*BF231</f>
        <v>0</v>
      </c>
      <c r="H231" s="5">
        <f>+$C231*BG231</f>
        <v>0</v>
      </c>
      <c r="I231" s="5">
        <f>+$C231*BH231</f>
        <v>0</v>
      </c>
      <c r="J231" s="5">
        <f>+$C231*BI231</f>
        <v>0</v>
      </c>
      <c r="K231" s="5">
        <f>+$C231*BJ231</f>
        <v>0</v>
      </c>
      <c r="L231" s="5">
        <f>+$C231*BK231</f>
        <v>0</v>
      </c>
      <c r="M231" s="5">
        <f>+$C231*BL231</f>
        <v>0</v>
      </c>
      <c r="N231" s="5">
        <f>+$C231*BM231</f>
        <v>0</v>
      </c>
      <c r="O231" s="5">
        <f>+$C231*BN231</f>
        <v>0</v>
      </c>
      <c r="P231" s="5">
        <v>0</v>
      </c>
      <c r="Q231" s="5">
        <f>+$P231*BC231</f>
        <v>0</v>
      </c>
      <c r="R231" s="5">
        <f>+$P231*BD231</f>
        <v>0</v>
      </c>
      <c r="S231" s="5">
        <f>+$P231*BE231</f>
        <v>0</v>
      </c>
      <c r="T231" s="5">
        <f>+$P231*BF231</f>
        <v>0</v>
      </c>
      <c r="U231" s="5">
        <f>+$P231*BG231</f>
        <v>0</v>
      </c>
      <c r="V231" s="5">
        <f>+$P231*BH231</f>
        <v>0</v>
      </c>
      <c r="W231" s="5">
        <f>+$P231*BI231</f>
        <v>0</v>
      </c>
      <c r="X231" s="5">
        <f>+$P231*BJ231</f>
        <v>0</v>
      </c>
      <c r="Y231" s="5">
        <f>+$P231*BK231</f>
        <v>0</v>
      </c>
      <c r="Z231" s="5">
        <f>+$P231*BL231</f>
        <v>0</v>
      </c>
      <c r="AA231" s="5">
        <f>+$P231*BM231</f>
        <v>0</v>
      </c>
      <c r="AB231" s="5">
        <f>+$P231*BN231</f>
        <v>0</v>
      </c>
      <c r="AC231" s="5">
        <v>0</v>
      </c>
      <c r="AD231" s="5">
        <f>+$AC231*BC231</f>
        <v>0</v>
      </c>
      <c r="AE231" s="5">
        <f>+$AC231*BD231</f>
        <v>0</v>
      </c>
      <c r="AF231" s="5">
        <f>+$AC231*BE231</f>
        <v>0</v>
      </c>
      <c r="AG231" s="5">
        <f>+$AC231*BF231</f>
        <v>0</v>
      </c>
      <c r="AH231" s="5">
        <f>+$AC231*BG231</f>
        <v>0</v>
      </c>
      <c r="AI231" s="5">
        <f>+$AC231*BH231</f>
        <v>0</v>
      </c>
      <c r="AJ231" s="5">
        <f>+$AC231*BI231</f>
        <v>0</v>
      </c>
      <c r="AK231" s="5">
        <f>+$AC231*BJ231</f>
        <v>0</v>
      </c>
      <c r="AL231" s="5">
        <f>+$AC231*BK231</f>
        <v>0</v>
      </c>
      <c r="AM231" s="5">
        <f>+$AC231*BL231</f>
        <v>0</v>
      </c>
      <c r="AN231" s="5">
        <f>+$AC231*BM231</f>
        <v>0</v>
      </c>
      <c r="AO231" s="5">
        <f>+$AC231*BN231</f>
        <v>0</v>
      </c>
      <c r="AP231" s="5">
        <f>+AC231+P231+C231</f>
        <v>0</v>
      </c>
      <c r="AQ231" s="1">
        <v>445.9078297437112</v>
      </c>
      <c r="AR231" s="1">
        <v>533.26389417225994</v>
      </c>
      <c r="AS231" s="1">
        <v>471.94245424273822</v>
      </c>
      <c r="AT231" s="1">
        <v>357.47824934275246</v>
      </c>
      <c r="AU231" s="1">
        <v>518.42859052683809</v>
      </c>
      <c r="AV231" s="1">
        <v>424.85165476272317</v>
      </c>
      <c r="AW231" s="1">
        <v>422.96939438631352</v>
      </c>
      <c r="AX231" s="1">
        <v>287.23552731389981</v>
      </c>
      <c r="AY231" s="1">
        <v>425.76926172778735</v>
      </c>
      <c r="AZ231" s="1">
        <v>370.79029456517588</v>
      </c>
      <c r="BA231" s="1">
        <v>378.59094596053586</v>
      </c>
      <c r="BB231" s="1">
        <v>369.77779682837809</v>
      </c>
      <c r="BC231" s="2">
        <v>8.9181565948742242E-2</v>
      </c>
      <c r="BD231" s="2">
        <v>0.10665277883445198</v>
      </c>
      <c r="BE231" s="2">
        <v>9.438849084854764E-2</v>
      </c>
      <c r="BF231" s="2">
        <v>7.149564986855049E-2</v>
      </c>
      <c r="BG231" s="2">
        <v>0.10368571810536763</v>
      </c>
      <c r="BH231" s="2">
        <v>8.4970330952544637E-2</v>
      </c>
      <c r="BI231" s="2">
        <v>8.4593878877262704E-2</v>
      </c>
      <c r="BJ231" s="2">
        <v>5.7447105462779965E-2</v>
      </c>
      <c r="BK231" s="2">
        <v>8.5153852345557474E-2</v>
      </c>
      <c r="BL231" s="2">
        <v>7.4158058913035174E-2</v>
      </c>
      <c r="BM231" s="2">
        <v>7.5718189192107169E-2</v>
      </c>
      <c r="BN231" s="2">
        <v>7.3955559365675619E-2</v>
      </c>
    </row>
    <row r="232" spans="1:66" x14ac:dyDescent="0.25">
      <c r="A232" s="8">
        <v>5844</v>
      </c>
      <c r="B232" s="8" t="s">
        <v>764</v>
      </c>
      <c r="C232" s="5">
        <v>3000</v>
      </c>
      <c r="D232" s="5">
        <f>+$C232*BC232</f>
        <v>267.54469784622671</v>
      </c>
      <c r="E232" s="5">
        <f>+$C232*BD232</f>
        <v>319.95833650335595</v>
      </c>
      <c r="F232" s="5">
        <f>+$C232*BE232</f>
        <v>283.1654725456429</v>
      </c>
      <c r="G232" s="5">
        <f>+$C232*BF232</f>
        <v>214.48694960565146</v>
      </c>
      <c r="H232" s="5">
        <f>+$C232*BG232</f>
        <v>311.05715431610287</v>
      </c>
      <c r="I232" s="5">
        <f>+$C232*BH232</f>
        <v>254.91099285763391</v>
      </c>
      <c r="J232" s="5">
        <f>+$C232*BI232</f>
        <v>253.7816366317881</v>
      </c>
      <c r="K232" s="5">
        <f>+$C232*BJ232</f>
        <v>172.34131638833989</v>
      </c>
      <c r="L232" s="5">
        <f>+$C232*BK232</f>
        <v>255.46155703667242</v>
      </c>
      <c r="M232" s="5">
        <f>+$C232*BL232</f>
        <v>222.47417673910553</v>
      </c>
      <c r="N232" s="5">
        <f>+$C232*BM232</f>
        <v>227.15456757632151</v>
      </c>
      <c r="O232" s="5">
        <f>+$C232*BN232</f>
        <v>221.86667809702686</v>
      </c>
      <c r="P232" s="5">
        <v>0</v>
      </c>
      <c r="Q232" s="5">
        <f>+$P232*BC232</f>
        <v>0</v>
      </c>
      <c r="R232" s="5">
        <f>+$P232*BD232</f>
        <v>0</v>
      </c>
      <c r="S232" s="5">
        <f>+$P232*BE232</f>
        <v>0</v>
      </c>
      <c r="T232" s="5">
        <f>+$P232*BF232</f>
        <v>0</v>
      </c>
      <c r="U232" s="5">
        <f>+$P232*BG232</f>
        <v>0</v>
      </c>
      <c r="V232" s="5">
        <f>+$P232*BH232</f>
        <v>0</v>
      </c>
      <c r="W232" s="5">
        <f>+$P232*BI232</f>
        <v>0</v>
      </c>
      <c r="X232" s="5">
        <f>+$P232*BJ232</f>
        <v>0</v>
      </c>
      <c r="Y232" s="5">
        <f>+$P232*BK232</f>
        <v>0</v>
      </c>
      <c r="Z232" s="5">
        <f>+$P232*BL232</f>
        <v>0</v>
      </c>
      <c r="AA232" s="5">
        <f>+$P232*BM232</f>
        <v>0</v>
      </c>
      <c r="AB232" s="5">
        <f>+$P232*BN232</f>
        <v>0</v>
      </c>
      <c r="AC232" s="5">
        <v>0</v>
      </c>
      <c r="AD232" s="5">
        <f>+$AC232*BC232</f>
        <v>0</v>
      </c>
      <c r="AE232" s="5">
        <f>+$AC232*BD232</f>
        <v>0</v>
      </c>
      <c r="AF232" s="5">
        <f>+$AC232*BE232</f>
        <v>0</v>
      </c>
      <c r="AG232" s="5">
        <f>+$AC232*BF232</f>
        <v>0</v>
      </c>
      <c r="AH232" s="5">
        <f>+$AC232*BG232</f>
        <v>0</v>
      </c>
      <c r="AI232" s="5">
        <f>+$AC232*BH232</f>
        <v>0</v>
      </c>
      <c r="AJ232" s="5">
        <f>+$AC232*BI232</f>
        <v>0</v>
      </c>
      <c r="AK232" s="5">
        <f>+$AC232*BJ232</f>
        <v>0</v>
      </c>
      <c r="AL232" s="5">
        <f>+$AC232*BK232</f>
        <v>0</v>
      </c>
      <c r="AM232" s="5">
        <f>+$AC232*BL232</f>
        <v>0</v>
      </c>
      <c r="AN232" s="5">
        <f>+$AC232*BM232</f>
        <v>0</v>
      </c>
      <c r="AO232" s="5">
        <f>+$AC232*BN232</f>
        <v>0</v>
      </c>
      <c r="AP232" s="5">
        <f>+AC232+P232+C232</f>
        <v>3000</v>
      </c>
      <c r="AQ232" s="1">
        <v>450.61661642580481</v>
      </c>
      <c r="AR232" s="1">
        <v>538.89516089471897</v>
      </c>
      <c r="AS232" s="1">
        <v>476.92616655954151</v>
      </c>
      <c r="AT232" s="1">
        <v>361.2532196558119</v>
      </c>
      <c r="AU232" s="1">
        <v>523.90319644280157</v>
      </c>
      <c r="AV232" s="1">
        <v>429.33808823701753</v>
      </c>
      <c r="AW232" s="1">
        <v>427.43595119103298</v>
      </c>
      <c r="AX232" s="1">
        <v>290.26873448233459</v>
      </c>
      <c r="AY232" s="1">
        <v>430.2653851316328</v>
      </c>
      <c r="AZ232" s="1">
        <v>374.70584007578412</v>
      </c>
      <c r="BA232" s="1">
        <v>382.58886634987914</v>
      </c>
      <c r="BB232" s="1">
        <v>373.68265036288579</v>
      </c>
      <c r="BC232" s="2">
        <v>8.9181565948742242E-2</v>
      </c>
      <c r="BD232" s="2">
        <v>0.10665277883445198</v>
      </c>
      <c r="BE232" s="2">
        <v>9.438849084854764E-2</v>
      </c>
      <c r="BF232" s="2">
        <v>7.149564986855049E-2</v>
      </c>
      <c r="BG232" s="2">
        <v>0.10368571810536763</v>
      </c>
      <c r="BH232" s="2">
        <v>8.4970330952544637E-2</v>
      </c>
      <c r="BI232" s="2">
        <v>8.4593878877262704E-2</v>
      </c>
      <c r="BJ232" s="2">
        <v>5.7447105462779965E-2</v>
      </c>
      <c r="BK232" s="2">
        <v>8.5153852345557474E-2</v>
      </c>
      <c r="BL232" s="2">
        <v>7.4158058913035174E-2</v>
      </c>
      <c r="BM232" s="2">
        <v>7.5718189192107169E-2</v>
      </c>
      <c r="BN232" s="2">
        <v>7.3955559365675619E-2</v>
      </c>
    </row>
    <row r="233" spans="1:66" x14ac:dyDescent="0.25">
      <c r="A233" s="8">
        <v>6572</v>
      </c>
      <c r="B233" s="8" t="s">
        <v>763</v>
      </c>
      <c r="C233" s="5">
        <v>5000</v>
      </c>
      <c r="D233" s="5">
        <f>+$C233*BC233</f>
        <v>445.9078297437112</v>
      </c>
      <c r="E233" s="5">
        <f>+$C233*BD233</f>
        <v>533.26389417225994</v>
      </c>
      <c r="F233" s="5">
        <f>+$C233*BE233</f>
        <v>471.94245424273822</v>
      </c>
      <c r="G233" s="5">
        <f>+$C233*BF233</f>
        <v>357.47824934275246</v>
      </c>
      <c r="H233" s="5">
        <f>+$C233*BG233</f>
        <v>518.42859052683809</v>
      </c>
      <c r="I233" s="5">
        <f>+$C233*BH233</f>
        <v>424.85165476272317</v>
      </c>
      <c r="J233" s="5">
        <f>+$C233*BI233</f>
        <v>422.96939438631352</v>
      </c>
      <c r="K233" s="5">
        <f>+$C233*BJ233</f>
        <v>287.23552731389981</v>
      </c>
      <c r="L233" s="5">
        <f>+$C233*BK233</f>
        <v>425.76926172778735</v>
      </c>
      <c r="M233" s="5">
        <f>+$C233*BL233</f>
        <v>370.79029456517588</v>
      </c>
      <c r="N233" s="5">
        <f>+$C233*BM233</f>
        <v>378.59094596053586</v>
      </c>
      <c r="O233" s="5">
        <f>+$C233*BN233</f>
        <v>369.77779682837809</v>
      </c>
      <c r="P233" s="5">
        <v>0</v>
      </c>
      <c r="Q233" s="5">
        <f>+$P233*BC233</f>
        <v>0</v>
      </c>
      <c r="R233" s="5">
        <f>+$P233*BD233</f>
        <v>0</v>
      </c>
      <c r="S233" s="5">
        <f>+$P233*BE233</f>
        <v>0</v>
      </c>
      <c r="T233" s="5">
        <f>+$P233*BF233</f>
        <v>0</v>
      </c>
      <c r="U233" s="5">
        <f>+$P233*BG233</f>
        <v>0</v>
      </c>
      <c r="V233" s="5">
        <f>+$P233*BH233</f>
        <v>0</v>
      </c>
      <c r="W233" s="5">
        <f>+$P233*BI233</f>
        <v>0</v>
      </c>
      <c r="X233" s="5">
        <f>+$P233*BJ233</f>
        <v>0</v>
      </c>
      <c r="Y233" s="5">
        <f>+$P233*BK233</f>
        <v>0</v>
      </c>
      <c r="Z233" s="5">
        <f>+$P233*BL233</f>
        <v>0</v>
      </c>
      <c r="AA233" s="5">
        <f>+$P233*BM233</f>
        <v>0</v>
      </c>
      <c r="AB233" s="5">
        <f>+$P233*BN233</f>
        <v>0</v>
      </c>
      <c r="AC233" s="5">
        <v>0</v>
      </c>
      <c r="AD233" s="5">
        <f>+$AC233*BC233</f>
        <v>0</v>
      </c>
      <c r="AE233" s="5">
        <f>+$AC233*BD233</f>
        <v>0</v>
      </c>
      <c r="AF233" s="5">
        <f>+$AC233*BE233</f>
        <v>0</v>
      </c>
      <c r="AG233" s="5">
        <f>+$AC233*BF233</f>
        <v>0</v>
      </c>
      <c r="AH233" s="5">
        <f>+$AC233*BG233</f>
        <v>0</v>
      </c>
      <c r="AI233" s="5">
        <f>+$AC233*BH233</f>
        <v>0</v>
      </c>
      <c r="AJ233" s="5">
        <f>+$AC233*BI233</f>
        <v>0</v>
      </c>
      <c r="AK233" s="5">
        <f>+$AC233*BJ233</f>
        <v>0</v>
      </c>
      <c r="AL233" s="5">
        <f>+$AC233*BK233</f>
        <v>0</v>
      </c>
      <c r="AM233" s="5">
        <f>+$AC233*BL233</f>
        <v>0</v>
      </c>
      <c r="AN233" s="5">
        <f>+$AC233*BM233</f>
        <v>0</v>
      </c>
      <c r="AO233" s="5">
        <f>+$AC233*BN233</f>
        <v>0</v>
      </c>
      <c r="AP233" s="5">
        <f>+AC233+P233+C233</f>
        <v>5000</v>
      </c>
      <c r="AQ233" s="1">
        <v>445.9078297437112</v>
      </c>
      <c r="AR233" s="1">
        <v>533.26389417225994</v>
      </c>
      <c r="AS233" s="1">
        <v>471.94245424273822</v>
      </c>
      <c r="AT233" s="1">
        <v>357.47824934275246</v>
      </c>
      <c r="AU233" s="1">
        <v>518.42859052683809</v>
      </c>
      <c r="AV233" s="1">
        <v>424.85165476272317</v>
      </c>
      <c r="AW233" s="1">
        <v>422.96939438631352</v>
      </c>
      <c r="AX233" s="1">
        <v>287.23552731389981</v>
      </c>
      <c r="AY233" s="1">
        <v>425.76926172778735</v>
      </c>
      <c r="AZ233" s="1">
        <v>370.79029456517588</v>
      </c>
      <c r="BA233" s="1">
        <v>378.59094596053586</v>
      </c>
      <c r="BB233" s="1">
        <v>369.77779682837809</v>
      </c>
      <c r="BC233" s="2">
        <v>8.9181565948742242E-2</v>
      </c>
      <c r="BD233" s="2">
        <v>0.10665277883445198</v>
      </c>
      <c r="BE233" s="2">
        <v>9.438849084854764E-2</v>
      </c>
      <c r="BF233" s="2">
        <v>7.149564986855049E-2</v>
      </c>
      <c r="BG233" s="2">
        <v>0.10368571810536763</v>
      </c>
      <c r="BH233" s="2">
        <v>8.4970330952544637E-2</v>
      </c>
      <c r="BI233" s="2">
        <v>8.4593878877262704E-2</v>
      </c>
      <c r="BJ233" s="2">
        <v>5.7447105462779965E-2</v>
      </c>
      <c r="BK233" s="2">
        <v>8.5153852345557474E-2</v>
      </c>
      <c r="BL233" s="2">
        <v>7.4158058913035174E-2</v>
      </c>
      <c r="BM233" s="2">
        <v>7.5718189192107169E-2</v>
      </c>
      <c r="BN233" s="2">
        <v>7.3955559365675619E-2</v>
      </c>
    </row>
    <row r="234" spans="1:66" x14ac:dyDescent="0.25">
      <c r="A234" s="8">
        <v>6618</v>
      </c>
      <c r="B234" s="8" t="s">
        <v>762</v>
      </c>
      <c r="C234" s="5">
        <v>0</v>
      </c>
      <c r="D234" s="5">
        <f>+$C234*BC234</f>
        <v>0</v>
      </c>
      <c r="E234" s="5">
        <f>+$C234*BD234</f>
        <v>0</v>
      </c>
      <c r="F234" s="5">
        <f>+$C234*BE234</f>
        <v>0</v>
      </c>
      <c r="G234" s="5">
        <f>+$C234*BF234</f>
        <v>0</v>
      </c>
      <c r="H234" s="5">
        <f>+$C234*BG234</f>
        <v>0</v>
      </c>
      <c r="I234" s="5">
        <f>+$C234*BH234</f>
        <v>0</v>
      </c>
      <c r="J234" s="5">
        <f>+$C234*BI234</f>
        <v>0</v>
      </c>
      <c r="K234" s="5">
        <f>+$C234*BJ234</f>
        <v>0</v>
      </c>
      <c r="L234" s="5">
        <f>+$C234*BK234</f>
        <v>0</v>
      </c>
      <c r="M234" s="5">
        <f>+$C234*BL234</f>
        <v>0</v>
      </c>
      <c r="N234" s="5">
        <f>+$C234*BM234</f>
        <v>0</v>
      </c>
      <c r="O234" s="5">
        <f>+$C234*BN234</f>
        <v>0</v>
      </c>
      <c r="P234" s="5">
        <v>0</v>
      </c>
      <c r="Q234" s="5">
        <f>+$P234*BC234</f>
        <v>0</v>
      </c>
      <c r="R234" s="5">
        <f>+$P234*BD234</f>
        <v>0</v>
      </c>
      <c r="S234" s="5">
        <f>+$P234*BE234</f>
        <v>0</v>
      </c>
      <c r="T234" s="5">
        <f>+$P234*BF234</f>
        <v>0</v>
      </c>
      <c r="U234" s="5">
        <f>+$P234*BG234</f>
        <v>0</v>
      </c>
      <c r="V234" s="5">
        <f>+$P234*BH234</f>
        <v>0</v>
      </c>
      <c r="W234" s="5">
        <f>+$P234*BI234</f>
        <v>0</v>
      </c>
      <c r="X234" s="5">
        <f>+$P234*BJ234</f>
        <v>0</v>
      </c>
      <c r="Y234" s="5">
        <f>+$P234*BK234</f>
        <v>0</v>
      </c>
      <c r="Z234" s="5">
        <f>+$P234*BL234</f>
        <v>0</v>
      </c>
      <c r="AA234" s="5">
        <f>+$P234*BM234</f>
        <v>0</v>
      </c>
      <c r="AB234" s="5">
        <f>+$P234*BN234</f>
        <v>0</v>
      </c>
      <c r="AC234" s="5">
        <v>2500</v>
      </c>
      <c r="AD234" s="5">
        <f>+$AC234*BC234</f>
        <v>222.9539148718556</v>
      </c>
      <c r="AE234" s="5">
        <f>+$AC234*BD234</f>
        <v>266.63194708612997</v>
      </c>
      <c r="AF234" s="5">
        <f>+$AC234*BE234</f>
        <v>235.97122712136911</v>
      </c>
      <c r="AG234" s="5">
        <f>+$AC234*BF234</f>
        <v>178.73912467137623</v>
      </c>
      <c r="AH234" s="5">
        <f>+$AC234*BG234</f>
        <v>259.21429526341905</v>
      </c>
      <c r="AI234" s="5">
        <f>+$AC234*BH234</f>
        <v>212.42582738136159</v>
      </c>
      <c r="AJ234" s="5">
        <f>+$AC234*BI234</f>
        <v>211.48469719315676</v>
      </c>
      <c r="AK234" s="5">
        <f>+$AC234*BJ234</f>
        <v>143.6177636569499</v>
      </c>
      <c r="AL234" s="5">
        <f>+$AC234*BK234</f>
        <v>212.88463086389368</v>
      </c>
      <c r="AM234" s="5">
        <f>+$AC234*BL234</f>
        <v>185.39514728258794</v>
      </c>
      <c r="AN234" s="5">
        <f>+$AC234*BM234</f>
        <v>189.29547298026793</v>
      </c>
      <c r="AO234" s="5">
        <f>+$AC234*BN234</f>
        <v>184.88889841418904</v>
      </c>
      <c r="AP234" s="5">
        <f>+AC234+P234+C234</f>
        <v>2500</v>
      </c>
      <c r="AQ234" s="1">
        <v>445.9078297437112</v>
      </c>
      <c r="AR234" s="1">
        <v>533.26389417225994</v>
      </c>
      <c r="AS234" s="1">
        <v>471.94245424273822</v>
      </c>
      <c r="AT234" s="1">
        <v>357.47824934275246</v>
      </c>
      <c r="AU234" s="1">
        <v>518.42859052683809</v>
      </c>
      <c r="AV234" s="1">
        <v>424.85165476272317</v>
      </c>
      <c r="AW234" s="1">
        <v>422.96939438631352</v>
      </c>
      <c r="AX234" s="1">
        <v>287.23552731389981</v>
      </c>
      <c r="AY234" s="1">
        <v>425.76926172778735</v>
      </c>
      <c r="AZ234" s="1">
        <v>370.79029456517588</v>
      </c>
      <c r="BA234" s="1">
        <v>378.59094596053586</v>
      </c>
      <c r="BB234" s="1">
        <v>369.77779682837809</v>
      </c>
      <c r="BC234" s="2">
        <v>8.9181565948742242E-2</v>
      </c>
      <c r="BD234" s="2">
        <v>0.10665277883445198</v>
      </c>
      <c r="BE234" s="2">
        <v>9.438849084854764E-2</v>
      </c>
      <c r="BF234" s="2">
        <v>7.149564986855049E-2</v>
      </c>
      <c r="BG234" s="2">
        <v>0.10368571810536763</v>
      </c>
      <c r="BH234" s="2">
        <v>8.4970330952544637E-2</v>
      </c>
      <c r="BI234" s="2">
        <v>8.4593878877262704E-2</v>
      </c>
      <c r="BJ234" s="2">
        <v>5.7447105462779965E-2</v>
      </c>
      <c r="BK234" s="2">
        <v>8.5153852345557474E-2</v>
      </c>
      <c r="BL234" s="2">
        <v>7.4158058913035174E-2</v>
      </c>
      <c r="BM234" s="2">
        <v>7.5718189192107169E-2</v>
      </c>
      <c r="BN234" s="2">
        <v>7.3955559365675619E-2</v>
      </c>
    </row>
    <row r="235" spans="1:66" x14ac:dyDescent="0.25">
      <c r="A235" s="8">
        <v>6694</v>
      </c>
      <c r="B235" s="8" t="s">
        <v>761</v>
      </c>
      <c r="C235" s="5">
        <v>10000</v>
      </c>
      <c r="D235" s="5">
        <f>+$C235*BC235</f>
        <v>891.81565948742241</v>
      </c>
      <c r="E235" s="5">
        <f>+$C235*BD235</f>
        <v>1066.5277883445199</v>
      </c>
      <c r="F235" s="5">
        <f>+$C235*BE235</f>
        <v>943.88490848547644</v>
      </c>
      <c r="G235" s="5">
        <f>+$C235*BF235</f>
        <v>714.95649868550493</v>
      </c>
      <c r="H235" s="5">
        <f>+$C235*BG235</f>
        <v>1036.8571810536762</v>
      </c>
      <c r="I235" s="5">
        <f>+$C235*BH235</f>
        <v>849.70330952544634</v>
      </c>
      <c r="J235" s="5">
        <f>+$C235*BI235</f>
        <v>845.93878877262705</v>
      </c>
      <c r="K235" s="5">
        <f>+$C235*BJ235</f>
        <v>574.47105462779962</v>
      </c>
      <c r="L235" s="5">
        <f>+$C235*BK235</f>
        <v>851.5385234555747</v>
      </c>
      <c r="M235" s="5">
        <f>+$C235*BL235</f>
        <v>741.58058913035177</v>
      </c>
      <c r="N235" s="5">
        <f>+$C235*BM235</f>
        <v>757.18189192107172</v>
      </c>
      <c r="O235" s="5">
        <f>+$C235*BN235</f>
        <v>739.55559365675617</v>
      </c>
      <c r="P235" s="5">
        <v>0</v>
      </c>
      <c r="Q235" s="5">
        <f>+$P235*BC235</f>
        <v>0</v>
      </c>
      <c r="R235" s="5">
        <f>+$P235*BD235</f>
        <v>0</v>
      </c>
      <c r="S235" s="5">
        <f>+$P235*BE235</f>
        <v>0</v>
      </c>
      <c r="T235" s="5">
        <f>+$P235*BF235</f>
        <v>0</v>
      </c>
      <c r="U235" s="5">
        <f>+$P235*BG235</f>
        <v>0</v>
      </c>
      <c r="V235" s="5">
        <f>+$P235*BH235</f>
        <v>0</v>
      </c>
      <c r="W235" s="5">
        <f>+$P235*BI235</f>
        <v>0</v>
      </c>
      <c r="X235" s="5">
        <f>+$P235*BJ235</f>
        <v>0</v>
      </c>
      <c r="Y235" s="5">
        <f>+$P235*BK235</f>
        <v>0</v>
      </c>
      <c r="Z235" s="5">
        <f>+$P235*BL235</f>
        <v>0</v>
      </c>
      <c r="AA235" s="5">
        <f>+$P235*BM235</f>
        <v>0</v>
      </c>
      <c r="AB235" s="5">
        <f>+$P235*BN235</f>
        <v>0</v>
      </c>
      <c r="AC235" s="5">
        <v>0</v>
      </c>
      <c r="AD235" s="5">
        <f>+$AC235*BC235</f>
        <v>0</v>
      </c>
      <c r="AE235" s="5">
        <f>+$AC235*BD235</f>
        <v>0</v>
      </c>
      <c r="AF235" s="5">
        <f>+$AC235*BE235</f>
        <v>0</v>
      </c>
      <c r="AG235" s="5">
        <f>+$AC235*BF235</f>
        <v>0</v>
      </c>
      <c r="AH235" s="5">
        <f>+$AC235*BG235</f>
        <v>0</v>
      </c>
      <c r="AI235" s="5">
        <f>+$AC235*BH235</f>
        <v>0</v>
      </c>
      <c r="AJ235" s="5">
        <f>+$AC235*BI235</f>
        <v>0</v>
      </c>
      <c r="AK235" s="5">
        <f>+$AC235*BJ235</f>
        <v>0</v>
      </c>
      <c r="AL235" s="5">
        <f>+$AC235*BK235</f>
        <v>0</v>
      </c>
      <c r="AM235" s="5">
        <f>+$AC235*BL235</f>
        <v>0</v>
      </c>
      <c r="AN235" s="5">
        <f>+$AC235*BM235</f>
        <v>0</v>
      </c>
      <c r="AO235" s="5">
        <f>+$AC235*BN235</f>
        <v>0</v>
      </c>
      <c r="AP235" s="5">
        <f>+AC235+P235+C235</f>
        <v>10000</v>
      </c>
      <c r="AQ235" s="1">
        <v>445.9078297437112</v>
      </c>
      <c r="AR235" s="1">
        <v>533.26389417225994</v>
      </c>
      <c r="AS235" s="1">
        <v>471.94245424273822</v>
      </c>
      <c r="AT235" s="1">
        <v>357.47824934275246</v>
      </c>
      <c r="AU235" s="1">
        <v>518.42859052683809</v>
      </c>
      <c r="AV235" s="1">
        <v>424.85165476272317</v>
      </c>
      <c r="AW235" s="1">
        <v>422.96939438631352</v>
      </c>
      <c r="AX235" s="1">
        <v>287.23552731389981</v>
      </c>
      <c r="AY235" s="1">
        <v>425.76926172778735</v>
      </c>
      <c r="AZ235" s="1">
        <v>370.79029456517588</v>
      </c>
      <c r="BA235" s="1">
        <v>378.59094596053586</v>
      </c>
      <c r="BB235" s="1">
        <v>369.77779682837809</v>
      </c>
      <c r="BC235" s="2">
        <v>8.9181565948742242E-2</v>
      </c>
      <c r="BD235" s="2">
        <v>0.10665277883445198</v>
      </c>
      <c r="BE235" s="2">
        <v>9.438849084854764E-2</v>
      </c>
      <c r="BF235" s="2">
        <v>7.149564986855049E-2</v>
      </c>
      <c r="BG235" s="2">
        <v>0.10368571810536763</v>
      </c>
      <c r="BH235" s="2">
        <v>8.4970330952544637E-2</v>
      </c>
      <c r="BI235" s="2">
        <v>8.4593878877262704E-2</v>
      </c>
      <c r="BJ235" s="2">
        <v>5.7447105462779965E-2</v>
      </c>
      <c r="BK235" s="2">
        <v>8.5153852345557474E-2</v>
      </c>
      <c r="BL235" s="2">
        <v>7.4158058913035174E-2</v>
      </c>
      <c r="BM235" s="2">
        <v>7.5718189192107169E-2</v>
      </c>
      <c r="BN235" s="2">
        <v>7.3955559365675619E-2</v>
      </c>
    </row>
    <row r="236" spans="1:66" x14ac:dyDescent="0.25">
      <c r="A236" s="8">
        <v>3750</v>
      </c>
      <c r="B236" s="8" t="s">
        <v>760</v>
      </c>
      <c r="C236" s="5">
        <v>500</v>
      </c>
      <c r="D236" s="5">
        <f>+$C236*BC236</f>
        <v>44.590782974371123</v>
      </c>
      <c r="E236" s="5">
        <f>+$C236*BD236</f>
        <v>53.32638941722599</v>
      </c>
      <c r="F236" s="5">
        <f>+$C236*BE236</f>
        <v>47.194245424273824</v>
      </c>
      <c r="G236" s="5">
        <f>+$C236*BF236</f>
        <v>35.747824934275243</v>
      </c>
      <c r="H236" s="5">
        <f>+$C236*BG236</f>
        <v>51.842859052683814</v>
      </c>
      <c r="I236" s="5">
        <f>+$C236*BH236</f>
        <v>42.485165476272321</v>
      </c>
      <c r="J236" s="5">
        <f>+$C236*BI236</f>
        <v>42.296939438631355</v>
      </c>
      <c r="K236" s="5">
        <f>+$C236*BJ236</f>
        <v>28.723552731389983</v>
      </c>
      <c r="L236" s="5">
        <f>+$C236*BK236</f>
        <v>42.576926172778734</v>
      </c>
      <c r="M236" s="5">
        <f>+$C236*BL236</f>
        <v>37.079029456517588</v>
      </c>
      <c r="N236" s="5">
        <f>+$C236*BM236</f>
        <v>37.859094596053588</v>
      </c>
      <c r="O236" s="5">
        <f>+$C236*BN236</f>
        <v>36.977779682837813</v>
      </c>
      <c r="P236" s="5">
        <v>3500</v>
      </c>
      <c r="Q236" s="5">
        <f>+$P236*BC236</f>
        <v>312.13548082059782</v>
      </c>
      <c r="R236" s="5">
        <f>+$P236*BD236</f>
        <v>373.28472592058193</v>
      </c>
      <c r="S236" s="5">
        <f>+$P236*BE236</f>
        <v>330.35971796991674</v>
      </c>
      <c r="T236" s="5">
        <f>+$P236*BF236</f>
        <v>250.23477453992672</v>
      </c>
      <c r="U236" s="5">
        <f>+$P236*BG236</f>
        <v>362.90001336878669</v>
      </c>
      <c r="V236" s="5">
        <f>+$P236*BH236</f>
        <v>297.39615833390621</v>
      </c>
      <c r="W236" s="5">
        <f>+$P236*BI236</f>
        <v>296.07857607041944</v>
      </c>
      <c r="X236" s="5">
        <f>+$P236*BJ236</f>
        <v>201.06486911972988</v>
      </c>
      <c r="Y236" s="5">
        <f>+$P236*BK236</f>
        <v>298.03848320945116</v>
      </c>
      <c r="Z236" s="5">
        <f>+$P236*BL236</f>
        <v>259.55320619562309</v>
      </c>
      <c r="AA236" s="5">
        <f>+$P236*BM236</f>
        <v>265.01366217237506</v>
      </c>
      <c r="AB236" s="5">
        <f>+$P236*BN236</f>
        <v>258.84445777986468</v>
      </c>
      <c r="AC236" s="5">
        <v>0</v>
      </c>
      <c r="AD236" s="5">
        <f>+$AC236*BC236</f>
        <v>0</v>
      </c>
      <c r="AE236" s="5">
        <f>+$AC236*BD236</f>
        <v>0</v>
      </c>
      <c r="AF236" s="5">
        <f>+$AC236*BE236</f>
        <v>0</v>
      </c>
      <c r="AG236" s="5">
        <f>+$AC236*BF236</f>
        <v>0</v>
      </c>
      <c r="AH236" s="5">
        <f>+$AC236*BG236</f>
        <v>0</v>
      </c>
      <c r="AI236" s="5">
        <f>+$AC236*BH236</f>
        <v>0</v>
      </c>
      <c r="AJ236" s="5">
        <f>+$AC236*BI236</f>
        <v>0</v>
      </c>
      <c r="AK236" s="5">
        <f>+$AC236*BJ236</f>
        <v>0</v>
      </c>
      <c r="AL236" s="5">
        <f>+$AC236*BK236</f>
        <v>0</v>
      </c>
      <c r="AM236" s="5">
        <f>+$AC236*BL236</f>
        <v>0</v>
      </c>
      <c r="AN236" s="5">
        <f>+$AC236*BM236</f>
        <v>0</v>
      </c>
      <c r="AO236" s="5">
        <f>+$AC236*BN236</f>
        <v>0</v>
      </c>
      <c r="AP236" s="5">
        <f>+AC236+P236+C236</f>
        <v>4000</v>
      </c>
      <c r="AQ236" s="1">
        <v>445.9078297437112</v>
      </c>
      <c r="AR236" s="1">
        <v>533.26389417225994</v>
      </c>
      <c r="AS236" s="1">
        <v>471.94245424273822</v>
      </c>
      <c r="AT236" s="1">
        <v>357.47824934275246</v>
      </c>
      <c r="AU236" s="1">
        <v>518.42859052683809</v>
      </c>
      <c r="AV236" s="1">
        <v>424.85165476272317</v>
      </c>
      <c r="AW236" s="1">
        <v>422.96939438631352</v>
      </c>
      <c r="AX236" s="1">
        <v>287.23552731389981</v>
      </c>
      <c r="AY236" s="1">
        <v>425.76926172778735</v>
      </c>
      <c r="AZ236" s="1">
        <v>370.79029456517588</v>
      </c>
      <c r="BA236" s="1">
        <v>378.59094596053586</v>
      </c>
      <c r="BB236" s="1">
        <v>369.77779682837809</v>
      </c>
      <c r="BC236" s="2">
        <v>8.9181565948742242E-2</v>
      </c>
      <c r="BD236" s="2">
        <v>0.10665277883445198</v>
      </c>
      <c r="BE236" s="2">
        <v>9.438849084854764E-2</v>
      </c>
      <c r="BF236" s="2">
        <v>7.149564986855049E-2</v>
      </c>
      <c r="BG236" s="2">
        <v>0.10368571810536763</v>
      </c>
      <c r="BH236" s="2">
        <v>8.4970330952544637E-2</v>
      </c>
      <c r="BI236" s="2">
        <v>8.4593878877262704E-2</v>
      </c>
      <c r="BJ236" s="2">
        <v>5.7447105462779965E-2</v>
      </c>
      <c r="BK236" s="2">
        <v>8.5153852345557474E-2</v>
      </c>
      <c r="BL236" s="2">
        <v>7.4158058913035174E-2</v>
      </c>
      <c r="BM236" s="2">
        <v>7.5718189192107169E-2</v>
      </c>
      <c r="BN236" s="2">
        <v>7.3955559365675619E-2</v>
      </c>
    </row>
    <row r="237" spans="1:66" x14ac:dyDescent="0.25">
      <c r="A237" s="8">
        <v>2183</v>
      </c>
      <c r="B237" s="8" t="s">
        <v>759</v>
      </c>
      <c r="C237" s="5">
        <v>2000</v>
      </c>
      <c r="D237" s="5">
        <f>+$C237*BC237</f>
        <v>178.36313189748449</v>
      </c>
      <c r="E237" s="5">
        <f>+$C237*BD237</f>
        <v>213.30555766890396</v>
      </c>
      <c r="F237" s="5">
        <f>+$C237*BE237</f>
        <v>188.77698169709529</v>
      </c>
      <c r="G237" s="5">
        <f>+$C237*BF237</f>
        <v>142.99129973710097</v>
      </c>
      <c r="H237" s="5">
        <f>+$C237*BG237</f>
        <v>207.37143621073525</v>
      </c>
      <c r="I237" s="5">
        <f>+$C237*BH237</f>
        <v>169.94066190508929</v>
      </c>
      <c r="J237" s="5">
        <f>+$C237*BI237</f>
        <v>169.18775775452542</v>
      </c>
      <c r="K237" s="5">
        <f>+$C237*BJ237</f>
        <v>114.89421092555993</v>
      </c>
      <c r="L237" s="5">
        <f>+$C237*BK237</f>
        <v>170.30770469111494</v>
      </c>
      <c r="M237" s="5">
        <f>+$C237*BL237</f>
        <v>148.31611782607035</v>
      </c>
      <c r="N237" s="5">
        <f>+$C237*BM237</f>
        <v>151.43637838421435</v>
      </c>
      <c r="O237" s="5">
        <f>+$C237*BN237</f>
        <v>147.91111873135125</v>
      </c>
      <c r="P237" s="5">
        <v>2000</v>
      </c>
      <c r="Q237" s="5">
        <f>+$P237*BC237</f>
        <v>178.36313189748449</v>
      </c>
      <c r="R237" s="5">
        <f>+$P237*BD237</f>
        <v>213.30555766890396</v>
      </c>
      <c r="S237" s="5">
        <f>+$P237*BE237</f>
        <v>188.77698169709529</v>
      </c>
      <c r="T237" s="5">
        <f>+$P237*BF237</f>
        <v>142.99129973710097</v>
      </c>
      <c r="U237" s="5">
        <f>+$P237*BG237</f>
        <v>207.37143621073525</v>
      </c>
      <c r="V237" s="5">
        <f>+$P237*BH237</f>
        <v>169.94066190508929</v>
      </c>
      <c r="W237" s="5">
        <f>+$P237*BI237</f>
        <v>169.18775775452542</v>
      </c>
      <c r="X237" s="5">
        <f>+$P237*BJ237</f>
        <v>114.89421092555993</v>
      </c>
      <c r="Y237" s="5">
        <f>+$P237*BK237</f>
        <v>170.30770469111494</v>
      </c>
      <c r="Z237" s="5">
        <f>+$P237*BL237</f>
        <v>148.31611782607035</v>
      </c>
      <c r="AA237" s="5">
        <f>+$P237*BM237</f>
        <v>151.43637838421435</v>
      </c>
      <c r="AB237" s="5">
        <f>+$P237*BN237</f>
        <v>147.91111873135125</v>
      </c>
      <c r="AC237" s="5">
        <v>0</v>
      </c>
      <c r="AD237" s="5">
        <f>+$AC237*BC237</f>
        <v>0</v>
      </c>
      <c r="AE237" s="5">
        <f>+$AC237*BD237</f>
        <v>0</v>
      </c>
      <c r="AF237" s="5">
        <f>+$AC237*BE237</f>
        <v>0</v>
      </c>
      <c r="AG237" s="5">
        <f>+$AC237*BF237</f>
        <v>0</v>
      </c>
      <c r="AH237" s="5">
        <f>+$AC237*BG237</f>
        <v>0</v>
      </c>
      <c r="AI237" s="5">
        <f>+$AC237*BH237</f>
        <v>0</v>
      </c>
      <c r="AJ237" s="5">
        <f>+$AC237*BI237</f>
        <v>0</v>
      </c>
      <c r="AK237" s="5">
        <f>+$AC237*BJ237</f>
        <v>0</v>
      </c>
      <c r="AL237" s="5">
        <f>+$AC237*BK237</f>
        <v>0</v>
      </c>
      <c r="AM237" s="5">
        <f>+$AC237*BL237</f>
        <v>0</v>
      </c>
      <c r="AN237" s="5">
        <f>+$AC237*BM237</f>
        <v>0</v>
      </c>
      <c r="AO237" s="5">
        <f>+$AC237*BN237</f>
        <v>0</v>
      </c>
      <c r="AP237" s="5">
        <f>+AC237+P237+C237</f>
        <v>4000</v>
      </c>
      <c r="AQ237" s="1">
        <v>419.65322263623119</v>
      </c>
      <c r="AR237" s="1">
        <v>501.86584934729137</v>
      </c>
      <c r="AS237" s="1">
        <v>444.15495447937997</v>
      </c>
      <c r="AT237" s="1">
        <v>336.43028749970051</v>
      </c>
      <c r="AU237" s="1">
        <v>487.90403354520839</v>
      </c>
      <c r="AV237" s="1">
        <v>399.8368141819488</v>
      </c>
      <c r="AW237" s="1">
        <v>398.0653794142417</v>
      </c>
      <c r="AX237" s="1">
        <v>270.32338670118469</v>
      </c>
      <c r="AY237" s="1">
        <v>400.70039336651695</v>
      </c>
      <c r="AZ237" s="1">
        <v>348.95853281147282</v>
      </c>
      <c r="BA237" s="1">
        <v>356.29988965332541</v>
      </c>
      <c r="BB237" s="1">
        <v>348.00564992891998</v>
      </c>
      <c r="BC237" s="2">
        <v>8.9181565948742242E-2</v>
      </c>
      <c r="BD237" s="2">
        <v>0.10665277883445198</v>
      </c>
      <c r="BE237" s="2">
        <v>9.438849084854764E-2</v>
      </c>
      <c r="BF237" s="2">
        <v>7.149564986855049E-2</v>
      </c>
      <c r="BG237" s="2">
        <v>0.10368571810536763</v>
      </c>
      <c r="BH237" s="2">
        <v>8.4970330952544637E-2</v>
      </c>
      <c r="BI237" s="2">
        <v>8.4593878877262704E-2</v>
      </c>
      <c r="BJ237" s="2">
        <v>5.7447105462779965E-2</v>
      </c>
      <c r="BK237" s="2">
        <v>8.5153852345557474E-2</v>
      </c>
      <c r="BL237" s="2">
        <v>7.4158058913035174E-2</v>
      </c>
      <c r="BM237" s="2">
        <v>7.5718189192107169E-2</v>
      </c>
      <c r="BN237" s="2">
        <v>7.3955559365675619E-2</v>
      </c>
    </row>
    <row r="238" spans="1:66" x14ac:dyDescent="0.25">
      <c r="A238" s="8">
        <v>4577</v>
      </c>
      <c r="B238" s="8" t="s">
        <v>758</v>
      </c>
      <c r="C238" s="5">
        <v>773.96</v>
      </c>
      <c r="D238" s="5">
        <f>+$C238*BC238</f>
        <v>69.022964781688543</v>
      </c>
      <c r="E238" s="5">
        <f>+$C238*BD238</f>
        <v>82.544984706712455</v>
      </c>
      <c r="F238" s="5">
        <f>+$C238*BE238</f>
        <v>73.052916377141941</v>
      </c>
      <c r="G238" s="5">
        <f>+$C238*BF238</f>
        <v>55.33477317226334</v>
      </c>
      <c r="H238" s="5">
        <f>+$C238*BG238</f>
        <v>80.248598384830331</v>
      </c>
      <c r="I238" s="5">
        <f>+$C238*BH238</f>
        <v>65.763637344031451</v>
      </c>
      <c r="J238" s="5">
        <f>+$C238*BI238</f>
        <v>65.47227849584624</v>
      </c>
      <c r="K238" s="5">
        <f>+$C238*BJ238</f>
        <v>44.461761743973184</v>
      </c>
      <c r="L238" s="5">
        <f>+$C238*BK238</f>
        <v>65.905675561367659</v>
      </c>
      <c r="M238" s="5">
        <f>+$C238*BL238</f>
        <v>57.395371276332703</v>
      </c>
      <c r="N238" s="5">
        <f>+$C238*BM238</f>
        <v>58.602849707123269</v>
      </c>
      <c r="O238" s="5">
        <f>+$C238*BN238</f>
        <v>57.238644726658308</v>
      </c>
      <c r="P238" s="5">
        <v>0</v>
      </c>
      <c r="Q238" s="5">
        <f>+$P238*BC238</f>
        <v>0</v>
      </c>
      <c r="R238" s="5">
        <f>+$P238*BD238</f>
        <v>0</v>
      </c>
      <c r="S238" s="5">
        <f>+$P238*BE238</f>
        <v>0</v>
      </c>
      <c r="T238" s="5">
        <f>+$P238*BF238</f>
        <v>0</v>
      </c>
      <c r="U238" s="5">
        <f>+$P238*BG238</f>
        <v>0</v>
      </c>
      <c r="V238" s="5">
        <f>+$P238*BH238</f>
        <v>0</v>
      </c>
      <c r="W238" s="5">
        <f>+$P238*BI238</f>
        <v>0</v>
      </c>
      <c r="X238" s="5">
        <f>+$P238*BJ238</f>
        <v>0</v>
      </c>
      <c r="Y238" s="5">
        <f>+$P238*BK238</f>
        <v>0</v>
      </c>
      <c r="Z238" s="5">
        <f>+$P238*BL238</f>
        <v>0</v>
      </c>
      <c r="AA238" s="5">
        <f>+$P238*BM238</f>
        <v>0</v>
      </c>
      <c r="AB238" s="5">
        <f>+$P238*BN238</f>
        <v>0</v>
      </c>
      <c r="AC238" s="5">
        <v>0</v>
      </c>
      <c r="AD238" s="5">
        <f>+$AC238*BC238</f>
        <v>0</v>
      </c>
      <c r="AE238" s="5">
        <f>+$AC238*BD238</f>
        <v>0</v>
      </c>
      <c r="AF238" s="5">
        <f>+$AC238*BE238</f>
        <v>0</v>
      </c>
      <c r="AG238" s="5">
        <f>+$AC238*BF238</f>
        <v>0</v>
      </c>
      <c r="AH238" s="5">
        <f>+$AC238*BG238</f>
        <v>0</v>
      </c>
      <c r="AI238" s="5">
        <f>+$AC238*BH238</f>
        <v>0</v>
      </c>
      <c r="AJ238" s="5">
        <f>+$AC238*BI238</f>
        <v>0</v>
      </c>
      <c r="AK238" s="5">
        <f>+$AC238*BJ238</f>
        <v>0</v>
      </c>
      <c r="AL238" s="5">
        <f>+$AC238*BK238</f>
        <v>0</v>
      </c>
      <c r="AM238" s="5">
        <f>+$AC238*BL238</f>
        <v>0</v>
      </c>
      <c r="AN238" s="5">
        <f>+$AC238*BM238</f>
        <v>0</v>
      </c>
      <c r="AO238" s="5">
        <f>+$AC238*BN238</f>
        <v>0</v>
      </c>
      <c r="AP238" s="5">
        <f>+AC238+P238+C238</f>
        <v>773.96</v>
      </c>
      <c r="AQ238" s="1">
        <v>401.3170467693401</v>
      </c>
      <c r="AR238" s="1">
        <v>479.9375047550339</v>
      </c>
      <c r="AS238" s="1">
        <v>424.74820881846438</v>
      </c>
      <c r="AT238" s="1">
        <v>321.73042440847718</v>
      </c>
      <c r="AU238" s="1">
        <v>466.58573147415433</v>
      </c>
      <c r="AV238" s="1">
        <v>382.36648928645087</v>
      </c>
      <c r="AW238" s="1">
        <v>380.67245494768218</v>
      </c>
      <c r="AX238" s="1">
        <v>258.51197458250982</v>
      </c>
      <c r="AY238" s="1">
        <v>383.19233555500864</v>
      </c>
      <c r="AZ238" s="1">
        <v>333.71126510865827</v>
      </c>
      <c r="BA238" s="1">
        <v>340.73185136448228</v>
      </c>
      <c r="BB238" s="1">
        <v>332.80001714554027</v>
      </c>
      <c r="BC238" s="2">
        <v>8.9181565948742242E-2</v>
      </c>
      <c r="BD238" s="2">
        <v>0.10665277883445198</v>
      </c>
      <c r="BE238" s="2">
        <v>9.438849084854764E-2</v>
      </c>
      <c r="BF238" s="2">
        <v>7.149564986855049E-2</v>
      </c>
      <c r="BG238" s="2">
        <v>0.10368571810536763</v>
      </c>
      <c r="BH238" s="2">
        <v>8.4970330952544637E-2</v>
      </c>
      <c r="BI238" s="2">
        <v>8.4593878877262704E-2</v>
      </c>
      <c r="BJ238" s="2">
        <v>5.7447105462779965E-2</v>
      </c>
      <c r="BK238" s="2">
        <v>8.5153852345557474E-2</v>
      </c>
      <c r="BL238" s="2">
        <v>7.4158058913035174E-2</v>
      </c>
      <c r="BM238" s="2">
        <v>7.5718189192107169E-2</v>
      </c>
      <c r="BN238" s="2">
        <v>7.3955559365675619E-2</v>
      </c>
    </row>
    <row r="239" spans="1:66" x14ac:dyDescent="0.25">
      <c r="A239" s="8">
        <v>1496</v>
      </c>
      <c r="B239" s="8" t="s">
        <v>757</v>
      </c>
      <c r="C239" s="5">
        <v>2000</v>
      </c>
      <c r="D239" s="5">
        <f>+$C239*BC239</f>
        <v>178.36313189748449</v>
      </c>
      <c r="E239" s="5">
        <f>+$C239*BD239</f>
        <v>213.30555766890396</v>
      </c>
      <c r="F239" s="5">
        <f>+$C239*BE239</f>
        <v>188.77698169709529</v>
      </c>
      <c r="G239" s="5">
        <f>+$C239*BF239</f>
        <v>142.99129973710097</v>
      </c>
      <c r="H239" s="5">
        <f>+$C239*BG239</f>
        <v>207.37143621073525</v>
      </c>
      <c r="I239" s="5">
        <f>+$C239*BH239</f>
        <v>169.94066190508929</v>
      </c>
      <c r="J239" s="5">
        <f>+$C239*BI239</f>
        <v>169.18775775452542</v>
      </c>
      <c r="K239" s="5">
        <f>+$C239*BJ239</f>
        <v>114.89421092555993</v>
      </c>
      <c r="L239" s="5">
        <f>+$C239*BK239</f>
        <v>170.30770469111494</v>
      </c>
      <c r="M239" s="5">
        <f>+$C239*BL239</f>
        <v>148.31611782607035</v>
      </c>
      <c r="N239" s="5">
        <f>+$C239*BM239</f>
        <v>151.43637838421435</v>
      </c>
      <c r="O239" s="5">
        <f>+$C239*BN239</f>
        <v>147.91111873135125</v>
      </c>
      <c r="P239" s="5">
        <v>0</v>
      </c>
      <c r="Q239" s="5">
        <f>+$P239*BC239</f>
        <v>0</v>
      </c>
      <c r="R239" s="5">
        <f>+$P239*BD239</f>
        <v>0</v>
      </c>
      <c r="S239" s="5">
        <f>+$P239*BE239</f>
        <v>0</v>
      </c>
      <c r="T239" s="5">
        <f>+$P239*BF239</f>
        <v>0</v>
      </c>
      <c r="U239" s="5">
        <f>+$P239*BG239</f>
        <v>0</v>
      </c>
      <c r="V239" s="5">
        <f>+$P239*BH239</f>
        <v>0</v>
      </c>
      <c r="W239" s="5">
        <f>+$P239*BI239</f>
        <v>0</v>
      </c>
      <c r="X239" s="5">
        <f>+$P239*BJ239</f>
        <v>0</v>
      </c>
      <c r="Y239" s="5">
        <f>+$P239*BK239</f>
        <v>0</v>
      </c>
      <c r="Z239" s="5">
        <f>+$P239*BL239</f>
        <v>0</v>
      </c>
      <c r="AA239" s="5">
        <f>+$P239*BM239</f>
        <v>0</v>
      </c>
      <c r="AB239" s="5">
        <f>+$P239*BN239</f>
        <v>0</v>
      </c>
      <c r="AC239" s="5">
        <v>0</v>
      </c>
      <c r="AD239" s="5">
        <f>+$AC239*BC239</f>
        <v>0</v>
      </c>
      <c r="AE239" s="5">
        <f>+$AC239*BD239</f>
        <v>0</v>
      </c>
      <c r="AF239" s="5">
        <f>+$AC239*BE239</f>
        <v>0</v>
      </c>
      <c r="AG239" s="5">
        <f>+$AC239*BF239</f>
        <v>0</v>
      </c>
      <c r="AH239" s="5">
        <f>+$AC239*BG239</f>
        <v>0</v>
      </c>
      <c r="AI239" s="5">
        <f>+$AC239*BH239</f>
        <v>0</v>
      </c>
      <c r="AJ239" s="5">
        <f>+$AC239*BI239</f>
        <v>0</v>
      </c>
      <c r="AK239" s="5">
        <f>+$AC239*BJ239</f>
        <v>0</v>
      </c>
      <c r="AL239" s="5">
        <f>+$AC239*BK239</f>
        <v>0</v>
      </c>
      <c r="AM239" s="5">
        <f>+$AC239*BL239</f>
        <v>0</v>
      </c>
      <c r="AN239" s="5">
        <f>+$AC239*BM239</f>
        <v>0</v>
      </c>
      <c r="AO239" s="5">
        <f>+$AC239*BN239</f>
        <v>0</v>
      </c>
      <c r="AP239" s="5">
        <f>+AC239+P239+C239</f>
        <v>2000</v>
      </c>
      <c r="AQ239" s="1">
        <v>381.15844560228641</v>
      </c>
      <c r="AR239" s="1">
        <v>455.82971062729439</v>
      </c>
      <c r="AS239" s="1">
        <v>403.41263434705866</v>
      </c>
      <c r="AT239" s="1">
        <v>305.56954771219006</v>
      </c>
      <c r="AU239" s="1">
        <v>443.14861175361705</v>
      </c>
      <c r="AV239" s="1">
        <v>363.15979567793767</v>
      </c>
      <c r="AW239" s="1">
        <v>361.55085456626568</v>
      </c>
      <c r="AX239" s="1">
        <v>245.52663086370308</v>
      </c>
      <c r="AY239" s="1">
        <v>363.94415877081883</v>
      </c>
      <c r="AZ239" s="1">
        <v>316.94857747195584</v>
      </c>
      <c r="BA239" s="1">
        <v>323.61651187949838</v>
      </c>
      <c r="BB239" s="1">
        <v>316.08310250652295</v>
      </c>
      <c r="BC239" s="2">
        <v>8.9181565948742242E-2</v>
      </c>
      <c r="BD239" s="2">
        <v>0.10665277883445198</v>
      </c>
      <c r="BE239" s="2">
        <v>9.438849084854764E-2</v>
      </c>
      <c r="BF239" s="2">
        <v>7.149564986855049E-2</v>
      </c>
      <c r="BG239" s="2">
        <v>0.10368571810536763</v>
      </c>
      <c r="BH239" s="2">
        <v>8.4970330952544637E-2</v>
      </c>
      <c r="BI239" s="2">
        <v>8.4593878877262704E-2</v>
      </c>
      <c r="BJ239" s="2">
        <v>5.7447105462779965E-2</v>
      </c>
      <c r="BK239" s="2">
        <v>8.5153852345557474E-2</v>
      </c>
      <c r="BL239" s="2">
        <v>7.4158058913035174E-2</v>
      </c>
      <c r="BM239" s="2">
        <v>7.5718189192107169E-2</v>
      </c>
      <c r="BN239" s="2">
        <v>7.3955559365675619E-2</v>
      </c>
    </row>
    <row r="240" spans="1:66" x14ac:dyDescent="0.25">
      <c r="A240" s="8">
        <v>4114</v>
      </c>
      <c r="B240" s="8" t="s">
        <v>756</v>
      </c>
      <c r="C240" s="5">
        <v>2500</v>
      </c>
      <c r="D240" s="5">
        <f>+$C240*BC240</f>
        <v>222.9539148718556</v>
      </c>
      <c r="E240" s="5">
        <f>+$C240*BD240</f>
        <v>266.63194708612997</v>
      </c>
      <c r="F240" s="5">
        <f>+$C240*BE240</f>
        <v>235.97122712136911</v>
      </c>
      <c r="G240" s="5">
        <f>+$C240*BF240</f>
        <v>178.73912467137623</v>
      </c>
      <c r="H240" s="5">
        <f>+$C240*BG240</f>
        <v>259.21429526341905</v>
      </c>
      <c r="I240" s="5">
        <f>+$C240*BH240</f>
        <v>212.42582738136159</v>
      </c>
      <c r="J240" s="5">
        <f>+$C240*BI240</f>
        <v>211.48469719315676</v>
      </c>
      <c r="K240" s="5">
        <f>+$C240*BJ240</f>
        <v>143.6177636569499</v>
      </c>
      <c r="L240" s="5">
        <f>+$C240*BK240</f>
        <v>212.88463086389368</v>
      </c>
      <c r="M240" s="5">
        <f>+$C240*BL240</f>
        <v>185.39514728258794</v>
      </c>
      <c r="N240" s="5">
        <f>+$C240*BM240</f>
        <v>189.29547298026793</v>
      </c>
      <c r="O240" s="5">
        <f>+$C240*BN240</f>
        <v>184.88889841418904</v>
      </c>
      <c r="P240" s="5">
        <v>0</v>
      </c>
      <c r="Q240" s="5">
        <f>+$P240*BC240</f>
        <v>0</v>
      </c>
      <c r="R240" s="5">
        <f>+$P240*BD240</f>
        <v>0</v>
      </c>
      <c r="S240" s="5">
        <f>+$P240*BE240</f>
        <v>0</v>
      </c>
      <c r="T240" s="5">
        <f>+$P240*BF240</f>
        <v>0</v>
      </c>
      <c r="U240" s="5">
        <f>+$P240*BG240</f>
        <v>0</v>
      </c>
      <c r="V240" s="5">
        <f>+$P240*BH240</f>
        <v>0</v>
      </c>
      <c r="W240" s="5">
        <f>+$P240*BI240</f>
        <v>0</v>
      </c>
      <c r="X240" s="5">
        <f>+$P240*BJ240</f>
        <v>0</v>
      </c>
      <c r="Y240" s="5">
        <f>+$P240*BK240</f>
        <v>0</v>
      </c>
      <c r="Z240" s="5">
        <f>+$P240*BL240</f>
        <v>0</v>
      </c>
      <c r="AA240" s="5">
        <f>+$P240*BM240</f>
        <v>0</v>
      </c>
      <c r="AB240" s="5">
        <f>+$P240*BN240</f>
        <v>0</v>
      </c>
      <c r="AC240" s="5">
        <v>0</v>
      </c>
      <c r="AD240" s="5">
        <f>+$AC240*BC240</f>
        <v>0</v>
      </c>
      <c r="AE240" s="5">
        <f>+$AC240*BD240</f>
        <v>0</v>
      </c>
      <c r="AF240" s="5">
        <f>+$AC240*BE240</f>
        <v>0</v>
      </c>
      <c r="AG240" s="5">
        <f>+$AC240*BF240</f>
        <v>0</v>
      </c>
      <c r="AH240" s="5">
        <f>+$AC240*BG240</f>
        <v>0</v>
      </c>
      <c r="AI240" s="5">
        <f>+$AC240*BH240</f>
        <v>0</v>
      </c>
      <c r="AJ240" s="5">
        <f>+$AC240*BI240</f>
        <v>0</v>
      </c>
      <c r="AK240" s="5">
        <f>+$AC240*BJ240</f>
        <v>0</v>
      </c>
      <c r="AL240" s="5">
        <f>+$AC240*BK240</f>
        <v>0</v>
      </c>
      <c r="AM240" s="5">
        <f>+$AC240*BL240</f>
        <v>0</v>
      </c>
      <c r="AN240" s="5">
        <f>+$AC240*BM240</f>
        <v>0</v>
      </c>
      <c r="AO240" s="5">
        <f>+$AC240*BN240</f>
        <v>0</v>
      </c>
      <c r="AP240" s="5">
        <f>+AC240+P240+C240</f>
        <v>2500</v>
      </c>
      <c r="AQ240" s="1">
        <v>372.09260433420104</v>
      </c>
      <c r="AR240" s="1">
        <v>444.98781574209937</v>
      </c>
      <c r="AS240" s="1">
        <v>393.81747792135872</v>
      </c>
      <c r="AT240" s="1">
        <v>298.30158592915268</v>
      </c>
      <c r="AU240" s="1">
        <v>432.60833639389779</v>
      </c>
      <c r="AV240" s="1">
        <v>354.52205171462583</v>
      </c>
      <c r="AW240" s="1">
        <v>352.95137921511872</v>
      </c>
      <c r="AX240" s="1">
        <v>239.68678791077872</v>
      </c>
      <c r="AY240" s="1">
        <v>355.28775875677883</v>
      </c>
      <c r="AZ240" s="1">
        <v>309.40996583509229</v>
      </c>
      <c r="BA240" s="1">
        <v>315.91930363898553</v>
      </c>
      <c r="BB240" s="1">
        <v>308.56507616364587</v>
      </c>
      <c r="BC240" s="2">
        <v>8.9181565948742242E-2</v>
      </c>
      <c r="BD240" s="2">
        <v>0.10665277883445198</v>
      </c>
      <c r="BE240" s="2">
        <v>9.438849084854764E-2</v>
      </c>
      <c r="BF240" s="2">
        <v>7.149564986855049E-2</v>
      </c>
      <c r="BG240" s="2">
        <v>0.10368571810536763</v>
      </c>
      <c r="BH240" s="2">
        <v>8.4970330952544637E-2</v>
      </c>
      <c r="BI240" s="2">
        <v>8.4593878877262704E-2</v>
      </c>
      <c r="BJ240" s="2">
        <v>5.7447105462779965E-2</v>
      </c>
      <c r="BK240" s="2">
        <v>8.5153852345557474E-2</v>
      </c>
      <c r="BL240" s="2">
        <v>7.4158058913035174E-2</v>
      </c>
      <c r="BM240" s="2">
        <v>7.5718189192107169E-2</v>
      </c>
      <c r="BN240" s="2">
        <v>7.3955559365675619E-2</v>
      </c>
    </row>
    <row r="241" spans="1:66" x14ac:dyDescent="0.25">
      <c r="A241" s="8">
        <v>709</v>
      </c>
      <c r="B241" s="8" t="s">
        <v>755</v>
      </c>
      <c r="C241" s="5">
        <v>4000</v>
      </c>
      <c r="D241" s="5">
        <f>+$C241*BC241</f>
        <v>356.72626379496899</v>
      </c>
      <c r="E241" s="5">
        <f>+$C241*BD241</f>
        <v>426.61111533780792</v>
      </c>
      <c r="F241" s="5">
        <f>+$C241*BE241</f>
        <v>377.55396339419059</v>
      </c>
      <c r="G241" s="5">
        <f>+$C241*BF241</f>
        <v>285.98259947420195</v>
      </c>
      <c r="H241" s="5">
        <f>+$C241*BG241</f>
        <v>414.74287242147051</v>
      </c>
      <c r="I241" s="5">
        <f>+$C241*BH241</f>
        <v>339.88132381017857</v>
      </c>
      <c r="J241" s="5">
        <f>+$C241*BI241</f>
        <v>338.37551550905084</v>
      </c>
      <c r="K241" s="5">
        <f>+$C241*BJ241</f>
        <v>229.78842185111986</v>
      </c>
      <c r="L241" s="5">
        <f>+$C241*BK241</f>
        <v>340.61540938222987</v>
      </c>
      <c r="M241" s="5">
        <f>+$C241*BL241</f>
        <v>296.63223565214071</v>
      </c>
      <c r="N241" s="5">
        <f>+$C241*BM241</f>
        <v>302.8727567684287</v>
      </c>
      <c r="O241" s="5">
        <f>+$C241*BN241</f>
        <v>295.8222374627025</v>
      </c>
      <c r="P241" s="5">
        <v>0</v>
      </c>
      <c r="Q241" s="5">
        <f>+$P241*BC241</f>
        <v>0</v>
      </c>
      <c r="R241" s="5">
        <f>+$P241*BD241</f>
        <v>0</v>
      </c>
      <c r="S241" s="5">
        <f>+$P241*BE241</f>
        <v>0</v>
      </c>
      <c r="T241" s="5">
        <f>+$P241*BF241</f>
        <v>0</v>
      </c>
      <c r="U241" s="5">
        <f>+$P241*BG241</f>
        <v>0</v>
      </c>
      <c r="V241" s="5">
        <f>+$P241*BH241</f>
        <v>0</v>
      </c>
      <c r="W241" s="5">
        <f>+$P241*BI241</f>
        <v>0</v>
      </c>
      <c r="X241" s="5">
        <f>+$P241*BJ241</f>
        <v>0</v>
      </c>
      <c r="Y241" s="5">
        <f>+$P241*BK241</f>
        <v>0</v>
      </c>
      <c r="Z241" s="5">
        <f>+$P241*BL241</f>
        <v>0</v>
      </c>
      <c r="AA241" s="5">
        <f>+$P241*BM241</f>
        <v>0</v>
      </c>
      <c r="AB241" s="5">
        <f>+$P241*BN241</f>
        <v>0</v>
      </c>
      <c r="AC241" s="5">
        <v>0</v>
      </c>
      <c r="AD241" s="5">
        <f>+$AC241*BC241</f>
        <v>0</v>
      </c>
      <c r="AE241" s="5">
        <f>+$AC241*BD241</f>
        <v>0</v>
      </c>
      <c r="AF241" s="5">
        <f>+$AC241*BE241</f>
        <v>0</v>
      </c>
      <c r="AG241" s="5">
        <f>+$AC241*BF241</f>
        <v>0</v>
      </c>
      <c r="AH241" s="5">
        <f>+$AC241*BG241</f>
        <v>0</v>
      </c>
      <c r="AI241" s="5">
        <f>+$AC241*BH241</f>
        <v>0</v>
      </c>
      <c r="AJ241" s="5">
        <f>+$AC241*BI241</f>
        <v>0</v>
      </c>
      <c r="AK241" s="5">
        <f>+$AC241*BJ241</f>
        <v>0</v>
      </c>
      <c r="AL241" s="5">
        <f>+$AC241*BK241</f>
        <v>0</v>
      </c>
      <c r="AM241" s="5">
        <f>+$AC241*BL241</f>
        <v>0</v>
      </c>
      <c r="AN241" s="5">
        <f>+$AC241*BM241</f>
        <v>0</v>
      </c>
      <c r="AO241" s="5">
        <f>+$AC241*BN241</f>
        <v>0</v>
      </c>
      <c r="AP241" s="5">
        <f>+AC241+P241+C241</f>
        <v>4000</v>
      </c>
      <c r="AQ241" s="1">
        <v>370.2169376391671</v>
      </c>
      <c r="AR241" s="1">
        <v>442.74469449765314</v>
      </c>
      <c r="AS241" s="1">
        <v>391.83229918183207</v>
      </c>
      <c r="AT241" s="1">
        <v>296.7978894211173</v>
      </c>
      <c r="AU241" s="1">
        <v>430.42761837070566</v>
      </c>
      <c r="AV241" s="1">
        <v>352.73495571403186</v>
      </c>
      <c r="AW241" s="1">
        <v>351.17220075457209</v>
      </c>
      <c r="AX241" s="1">
        <v>238.47856038868551</v>
      </c>
      <c r="AY241" s="1">
        <v>353.49680293424706</v>
      </c>
      <c r="AZ241" s="1">
        <v>307.85027354003336</v>
      </c>
      <c r="BA241" s="1">
        <v>314.3267986838971</v>
      </c>
      <c r="BB241" s="1">
        <v>307.00964283906694</v>
      </c>
      <c r="BC241" s="2">
        <v>8.9181565948742242E-2</v>
      </c>
      <c r="BD241" s="2">
        <v>0.10665277883445198</v>
      </c>
      <c r="BE241" s="2">
        <v>9.438849084854764E-2</v>
      </c>
      <c r="BF241" s="2">
        <v>7.149564986855049E-2</v>
      </c>
      <c r="BG241" s="2">
        <v>0.10368571810536763</v>
      </c>
      <c r="BH241" s="2">
        <v>8.4970330952544637E-2</v>
      </c>
      <c r="BI241" s="2">
        <v>8.4593878877262704E-2</v>
      </c>
      <c r="BJ241" s="2">
        <v>5.7447105462779965E-2</v>
      </c>
      <c r="BK241" s="2">
        <v>8.5153852345557474E-2</v>
      </c>
      <c r="BL241" s="2">
        <v>7.4158058913035174E-2</v>
      </c>
      <c r="BM241" s="2">
        <v>7.5718189192107169E-2</v>
      </c>
      <c r="BN241" s="2">
        <v>7.3955559365675619E-2</v>
      </c>
    </row>
    <row r="242" spans="1:66" x14ac:dyDescent="0.25">
      <c r="A242" s="8">
        <v>1099</v>
      </c>
      <c r="B242" s="8" t="s">
        <v>754</v>
      </c>
      <c r="C242" s="5">
        <v>0</v>
      </c>
      <c r="D242" s="5">
        <f>+$C242*BC242</f>
        <v>0</v>
      </c>
      <c r="E242" s="5">
        <f>+$C242*BD242</f>
        <v>0</v>
      </c>
      <c r="F242" s="5">
        <f>+$C242*BE242</f>
        <v>0</v>
      </c>
      <c r="G242" s="5">
        <f>+$C242*BF242</f>
        <v>0</v>
      </c>
      <c r="H242" s="5">
        <f>+$C242*BG242</f>
        <v>0</v>
      </c>
      <c r="I242" s="5">
        <f>+$C242*BH242</f>
        <v>0</v>
      </c>
      <c r="J242" s="5">
        <f>+$C242*BI242</f>
        <v>0</v>
      </c>
      <c r="K242" s="5">
        <f>+$C242*BJ242</f>
        <v>0</v>
      </c>
      <c r="L242" s="5">
        <f>+$C242*BK242</f>
        <v>0</v>
      </c>
      <c r="M242" s="5">
        <f>+$C242*BL242</f>
        <v>0</v>
      </c>
      <c r="N242" s="5">
        <f>+$C242*BM242</f>
        <v>0</v>
      </c>
      <c r="O242" s="5">
        <f>+$C242*BN242</f>
        <v>0</v>
      </c>
      <c r="P242" s="5">
        <v>0</v>
      </c>
      <c r="Q242" s="5">
        <f>+$P242*BC242</f>
        <v>0</v>
      </c>
      <c r="R242" s="5">
        <f>+$P242*BD242</f>
        <v>0</v>
      </c>
      <c r="S242" s="5">
        <f>+$P242*BE242</f>
        <v>0</v>
      </c>
      <c r="T242" s="5">
        <f>+$P242*BF242</f>
        <v>0</v>
      </c>
      <c r="U242" s="5">
        <f>+$P242*BG242</f>
        <v>0</v>
      </c>
      <c r="V242" s="5">
        <f>+$P242*BH242</f>
        <v>0</v>
      </c>
      <c r="W242" s="5">
        <f>+$P242*BI242</f>
        <v>0</v>
      </c>
      <c r="X242" s="5">
        <f>+$P242*BJ242</f>
        <v>0</v>
      </c>
      <c r="Y242" s="5">
        <f>+$P242*BK242</f>
        <v>0</v>
      </c>
      <c r="Z242" s="5">
        <f>+$P242*BL242</f>
        <v>0</v>
      </c>
      <c r="AA242" s="5">
        <f>+$P242*BM242</f>
        <v>0</v>
      </c>
      <c r="AB242" s="5">
        <f>+$P242*BN242</f>
        <v>0</v>
      </c>
      <c r="AC242" s="5">
        <v>0</v>
      </c>
      <c r="AD242" s="5">
        <f>+$AC242*BC242</f>
        <v>0</v>
      </c>
      <c r="AE242" s="5">
        <f>+$AC242*BD242</f>
        <v>0</v>
      </c>
      <c r="AF242" s="5">
        <f>+$AC242*BE242</f>
        <v>0</v>
      </c>
      <c r="AG242" s="5">
        <f>+$AC242*BF242</f>
        <v>0</v>
      </c>
      <c r="AH242" s="5">
        <f>+$AC242*BG242</f>
        <v>0</v>
      </c>
      <c r="AI242" s="5">
        <f>+$AC242*BH242</f>
        <v>0</v>
      </c>
      <c r="AJ242" s="5">
        <f>+$AC242*BI242</f>
        <v>0</v>
      </c>
      <c r="AK242" s="5">
        <f>+$AC242*BJ242</f>
        <v>0</v>
      </c>
      <c r="AL242" s="5">
        <f>+$AC242*BK242</f>
        <v>0</v>
      </c>
      <c r="AM242" s="5">
        <f>+$AC242*BL242</f>
        <v>0</v>
      </c>
      <c r="AN242" s="5">
        <f>+$AC242*BM242</f>
        <v>0</v>
      </c>
      <c r="AO242" s="5">
        <f>+$AC242*BN242</f>
        <v>0</v>
      </c>
      <c r="AP242" s="5">
        <f>+AC242+P242+C242</f>
        <v>0</v>
      </c>
      <c r="AQ242" s="1">
        <v>418.38193941363193</v>
      </c>
      <c r="AR242" s="1">
        <v>500.34551398500633</v>
      </c>
      <c r="AS242" s="1">
        <v>442.809446542334</v>
      </c>
      <c r="AT242" s="1">
        <v>335.41111701082434</v>
      </c>
      <c r="AU242" s="1">
        <v>486.42599363361643</v>
      </c>
      <c r="AV242" s="1">
        <v>398.62556211422032</v>
      </c>
      <c r="AW242" s="1">
        <v>396.8594936708464</v>
      </c>
      <c r="AX242" s="1">
        <v>269.50447821281278</v>
      </c>
      <c r="AY242" s="1">
        <v>399.48652520133106</v>
      </c>
      <c r="AZ242" s="1">
        <v>347.90140968166759</v>
      </c>
      <c r="BA242" s="1">
        <v>355.22052686639199</v>
      </c>
      <c r="BB242" s="1">
        <v>346.95141343016235</v>
      </c>
      <c r="BC242" s="2">
        <v>8.9181565948742242E-2</v>
      </c>
      <c r="BD242" s="2">
        <v>0.10665277883445198</v>
      </c>
      <c r="BE242" s="2">
        <v>9.438849084854764E-2</v>
      </c>
      <c r="BF242" s="2">
        <v>7.149564986855049E-2</v>
      </c>
      <c r="BG242" s="2">
        <v>0.10368571810536763</v>
      </c>
      <c r="BH242" s="2">
        <v>8.4970330952544637E-2</v>
      </c>
      <c r="BI242" s="2">
        <v>8.4593878877262704E-2</v>
      </c>
      <c r="BJ242" s="2">
        <v>5.7447105462779965E-2</v>
      </c>
      <c r="BK242" s="2">
        <v>8.5153852345557474E-2</v>
      </c>
      <c r="BL242" s="2">
        <v>7.4158058913035174E-2</v>
      </c>
      <c r="BM242" s="2">
        <v>7.5718189192107169E-2</v>
      </c>
      <c r="BN242" s="2">
        <v>7.3955559365675619E-2</v>
      </c>
    </row>
    <row r="243" spans="1:66" x14ac:dyDescent="0.25">
      <c r="A243" s="8">
        <v>1469</v>
      </c>
      <c r="B243" s="8" t="s">
        <v>753</v>
      </c>
      <c r="C243" s="5">
        <v>4000</v>
      </c>
      <c r="D243" s="5">
        <f>+$C243*BC243</f>
        <v>356.72626379496899</v>
      </c>
      <c r="E243" s="5">
        <f>+$C243*BD243</f>
        <v>426.61111533780792</v>
      </c>
      <c r="F243" s="5">
        <f>+$C243*BE243</f>
        <v>377.55396339419059</v>
      </c>
      <c r="G243" s="5">
        <f>+$C243*BF243</f>
        <v>285.98259947420195</v>
      </c>
      <c r="H243" s="5">
        <f>+$C243*BG243</f>
        <v>414.74287242147051</v>
      </c>
      <c r="I243" s="5">
        <f>+$C243*BH243</f>
        <v>339.88132381017857</v>
      </c>
      <c r="J243" s="5">
        <f>+$C243*BI243</f>
        <v>338.37551550905084</v>
      </c>
      <c r="K243" s="5">
        <f>+$C243*BJ243</f>
        <v>229.78842185111986</v>
      </c>
      <c r="L243" s="5">
        <f>+$C243*BK243</f>
        <v>340.61540938222987</v>
      </c>
      <c r="M243" s="5">
        <f>+$C243*BL243</f>
        <v>296.63223565214071</v>
      </c>
      <c r="N243" s="5">
        <f>+$C243*BM243</f>
        <v>302.8727567684287</v>
      </c>
      <c r="O243" s="5">
        <f>+$C243*BN243</f>
        <v>295.8222374627025</v>
      </c>
      <c r="P243" s="5">
        <v>0</v>
      </c>
      <c r="Q243" s="5">
        <f>+$P243*BC243</f>
        <v>0</v>
      </c>
      <c r="R243" s="5">
        <f>+$P243*BD243</f>
        <v>0</v>
      </c>
      <c r="S243" s="5">
        <f>+$P243*BE243</f>
        <v>0</v>
      </c>
      <c r="T243" s="5">
        <f>+$P243*BF243</f>
        <v>0</v>
      </c>
      <c r="U243" s="5">
        <f>+$P243*BG243</f>
        <v>0</v>
      </c>
      <c r="V243" s="5">
        <f>+$P243*BH243</f>
        <v>0</v>
      </c>
      <c r="W243" s="5">
        <f>+$P243*BI243</f>
        <v>0</v>
      </c>
      <c r="X243" s="5">
        <f>+$P243*BJ243</f>
        <v>0</v>
      </c>
      <c r="Y243" s="5">
        <f>+$P243*BK243</f>
        <v>0</v>
      </c>
      <c r="Z243" s="5">
        <f>+$P243*BL243</f>
        <v>0</v>
      </c>
      <c r="AA243" s="5">
        <f>+$P243*BM243</f>
        <v>0</v>
      </c>
      <c r="AB243" s="5">
        <f>+$P243*BN243</f>
        <v>0</v>
      </c>
      <c r="AC243" s="5">
        <v>0</v>
      </c>
      <c r="AD243" s="5">
        <f>+$AC243*BC243</f>
        <v>0</v>
      </c>
      <c r="AE243" s="5">
        <f>+$AC243*BD243</f>
        <v>0</v>
      </c>
      <c r="AF243" s="5">
        <f>+$AC243*BE243</f>
        <v>0</v>
      </c>
      <c r="AG243" s="5">
        <f>+$AC243*BF243</f>
        <v>0</v>
      </c>
      <c r="AH243" s="5">
        <f>+$AC243*BG243</f>
        <v>0</v>
      </c>
      <c r="AI243" s="5">
        <f>+$AC243*BH243</f>
        <v>0</v>
      </c>
      <c r="AJ243" s="5">
        <f>+$AC243*BI243</f>
        <v>0</v>
      </c>
      <c r="AK243" s="5">
        <f>+$AC243*BJ243</f>
        <v>0</v>
      </c>
      <c r="AL243" s="5">
        <f>+$AC243*BK243</f>
        <v>0</v>
      </c>
      <c r="AM243" s="5">
        <f>+$AC243*BL243</f>
        <v>0</v>
      </c>
      <c r="AN243" s="5">
        <f>+$AC243*BM243</f>
        <v>0</v>
      </c>
      <c r="AO243" s="5">
        <f>+$AC243*BN243</f>
        <v>0</v>
      </c>
      <c r="AP243" s="5">
        <f>+AC243+P243+C243</f>
        <v>4000</v>
      </c>
      <c r="AQ243" s="1">
        <v>356.72626379496899</v>
      </c>
      <c r="AR243" s="1">
        <v>426.61111533780792</v>
      </c>
      <c r="AS243" s="1">
        <v>377.55396339419059</v>
      </c>
      <c r="AT243" s="1">
        <v>285.98259947420195</v>
      </c>
      <c r="AU243" s="1">
        <v>414.74287242147051</v>
      </c>
      <c r="AV243" s="1">
        <v>339.88132381017857</v>
      </c>
      <c r="AW243" s="1">
        <v>338.37551550905084</v>
      </c>
      <c r="AX243" s="1">
        <v>229.78842185111986</v>
      </c>
      <c r="AY243" s="1">
        <v>340.61540938222987</v>
      </c>
      <c r="AZ243" s="1">
        <v>296.63223565214071</v>
      </c>
      <c r="BA243" s="1">
        <v>302.8727567684287</v>
      </c>
      <c r="BB243" s="1">
        <v>295.8222374627025</v>
      </c>
      <c r="BC243" s="2">
        <v>8.9181565948742242E-2</v>
      </c>
      <c r="BD243" s="2">
        <v>0.10665277883445198</v>
      </c>
      <c r="BE243" s="2">
        <v>9.438849084854764E-2</v>
      </c>
      <c r="BF243" s="2">
        <v>7.149564986855049E-2</v>
      </c>
      <c r="BG243" s="2">
        <v>0.10368571810536763</v>
      </c>
      <c r="BH243" s="2">
        <v>8.4970330952544637E-2</v>
      </c>
      <c r="BI243" s="2">
        <v>8.4593878877262704E-2</v>
      </c>
      <c r="BJ243" s="2">
        <v>5.7447105462779965E-2</v>
      </c>
      <c r="BK243" s="2">
        <v>8.5153852345557474E-2</v>
      </c>
      <c r="BL243" s="2">
        <v>7.4158058913035174E-2</v>
      </c>
      <c r="BM243" s="2">
        <v>7.5718189192107169E-2</v>
      </c>
      <c r="BN243" s="2">
        <v>7.3955559365675619E-2</v>
      </c>
    </row>
    <row r="244" spans="1:66" x14ac:dyDescent="0.25">
      <c r="A244" s="8">
        <v>1509</v>
      </c>
      <c r="B244" s="8" t="s">
        <v>752</v>
      </c>
      <c r="C244" s="5">
        <v>80000</v>
      </c>
      <c r="D244" s="5">
        <f>+$C244*BC244</f>
        <v>7134.5252758993793</v>
      </c>
      <c r="E244" s="5">
        <f>+$C244*BD244</f>
        <v>8532.222306756159</v>
      </c>
      <c r="F244" s="5">
        <f>+$C244*BE244</f>
        <v>7551.0792678838116</v>
      </c>
      <c r="G244" s="5">
        <f>+$C244*BF244</f>
        <v>5719.6519894840394</v>
      </c>
      <c r="H244" s="5">
        <f>+$C244*BG244</f>
        <v>8294.8574484294095</v>
      </c>
      <c r="I244" s="5">
        <f>+$C244*BH244</f>
        <v>6797.6264762035707</v>
      </c>
      <c r="J244" s="5">
        <f>+$C244*BI244</f>
        <v>6767.5103101810164</v>
      </c>
      <c r="K244" s="5">
        <f>+$C244*BJ244</f>
        <v>4595.7684370223969</v>
      </c>
      <c r="L244" s="5">
        <f>+$C244*BK244</f>
        <v>6812.3081876445976</v>
      </c>
      <c r="M244" s="5">
        <f>+$C244*BL244</f>
        <v>5932.6447130428141</v>
      </c>
      <c r="N244" s="5">
        <f>+$C244*BM244</f>
        <v>6057.4551353685738</v>
      </c>
      <c r="O244" s="5">
        <f>+$C244*BN244</f>
        <v>5916.4447492540494</v>
      </c>
      <c r="P244" s="5">
        <v>0</v>
      </c>
      <c r="Q244" s="5">
        <f>+$P244*BC244</f>
        <v>0</v>
      </c>
      <c r="R244" s="5">
        <f>+$P244*BD244</f>
        <v>0</v>
      </c>
      <c r="S244" s="5">
        <f>+$P244*BE244</f>
        <v>0</v>
      </c>
      <c r="T244" s="5">
        <f>+$P244*BF244</f>
        <v>0</v>
      </c>
      <c r="U244" s="5">
        <f>+$P244*BG244</f>
        <v>0</v>
      </c>
      <c r="V244" s="5">
        <f>+$P244*BH244</f>
        <v>0</v>
      </c>
      <c r="W244" s="5">
        <f>+$P244*BI244</f>
        <v>0</v>
      </c>
      <c r="X244" s="5">
        <f>+$P244*BJ244</f>
        <v>0</v>
      </c>
      <c r="Y244" s="5">
        <f>+$P244*BK244</f>
        <v>0</v>
      </c>
      <c r="Z244" s="5">
        <f>+$P244*BL244</f>
        <v>0</v>
      </c>
      <c r="AA244" s="5">
        <f>+$P244*BM244</f>
        <v>0</v>
      </c>
      <c r="AB244" s="5">
        <f>+$P244*BN244</f>
        <v>0</v>
      </c>
      <c r="AC244" s="5">
        <v>0</v>
      </c>
      <c r="AD244" s="5">
        <f>+$AC244*BC244</f>
        <v>0</v>
      </c>
      <c r="AE244" s="5">
        <f>+$AC244*BD244</f>
        <v>0</v>
      </c>
      <c r="AF244" s="5">
        <f>+$AC244*BE244</f>
        <v>0</v>
      </c>
      <c r="AG244" s="5">
        <f>+$AC244*BF244</f>
        <v>0</v>
      </c>
      <c r="AH244" s="5">
        <f>+$AC244*BG244</f>
        <v>0</v>
      </c>
      <c r="AI244" s="5">
        <f>+$AC244*BH244</f>
        <v>0</v>
      </c>
      <c r="AJ244" s="5">
        <f>+$AC244*BI244</f>
        <v>0</v>
      </c>
      <c r="AK244" s="5">
        <f>+$AC244*BJ244</f>
        <v>0</v>
      </c>
      <c r="AL244" s="5">
        <f>+$AC244*BK244</f>
        <v>0</v>
      </c>
      <c r="AM244" s="5">
        <f>+$AC244*BL244</f>
        <v>0</v>
      </c>
      <c r="AN244" s="5">
        <f>+$AC244*BM244</f>
        <v>0</v>
      </c>
      <c r="AO244" s="5">
        <f>+$AC244*BN244</f>
        <v>0</v>
      </c>
      <c r="AP244" s="5">
        <f>+AC244+P244+C244</f>
        <v>80000</v>
      </c>
      <c r="AQ244" s="1">
        <v>404.63130130469324</v>
      </c>
      <c r="AR244" s="1">
        <v>483.90104197485869</v>
      </c>
      <c r="AS244" s="1">
        <v>428.255968303869</v>
      </c>
      <c r="AT244" s="1">
        <v>324.38741724454218</v>
      </c>
      <c r="AU244" s="1">
        <v>470.43900381610416</v>
      </c>
      <c r="AV244" s="1">
        <v>385.52424169564034</v>
      </c>
      <c r="AW244" s="1">
        <v>383.81621726839791</v>
      </c>
      <c r="AX244" s="1">
        <v>260.64688136282314</v>
      </c>
      <c r="AY244" s="1">
        <v>386.35690816972664</v>
      </c>
      <c r="AZ244" s="1">
        <v>336.46720105204344</v>
      </c>
      <c r="BA244" s="1">
        <v>343.54576642942857</v>
      </c>
      <c r="BB244" s="1">
        <v>335.54842759824692</v>
      </c>
      <c r="BC244" s="2">
        <v>8.9181565948742242E-2</v>
      </c>
      <c r="BD244" s="2">
        <v>0.10665277883445198</v>
      </c>
      <c r="BE244" s="2">
        <v>9.438849084854764E-2</v>
      </c>
      <c r="BF244" s="2">
        <v>7.149564986855049E-2</v>
      </c>
      <c r="BG244" s="2">
        <v>0.10368571810536763</v>
      </c>
      <c r="BH244" s="2">
        <v>8.4970330952544637E-2</v>
      </c>
      <c r="BI244" s="2">
        <v>8.4593878877262704E-2</v>
      </c>
      <c r="BJ244" s="2">
        <v>5.7447105462779965E-2</v>
      </c>
      <c r="BK244" s="2">
        <v>8.5153852345557474E-2</v>
      </c>
      <c r="BL244" s="2">
        <v>7.4158058913035174E-2</v>
      </c>
      <c r="BM244" s="2">
        <v>7.5718189192107169E-2</v>
      </c>
      <c r="BN244" s="2">
        <v>7.3955559365675619E-2</v>
      </c>
    </row>
    <row r="245" spans="1:66" x14ac:dyDescent="0.25">
      <c r="A245" s="8">
        <v>2839</v>
      </c>
      <c r="B245" s="8" t="s">
        <v>751</v>
      </c>
      <c r="C245" s="5">
        <v>0</v>
      </c>
      <c r="D245" s="5">
        <f>+$C245*BC245</f>
        <v>0</v>
      </c>
      <c r="E245" s="5">
        <f>+$C245*BD245</f>
        <v>0</v>
      </c>
      <c r="F245" s="5">
        <f>+$C245*BE245</f>
        <v>0</v>
      </c>
      <c r="G245" s="5">
        <f>+$C245*BF245</f>
        <v>0</v>
      </c>
      <c r="H245" s="5">
        <f>+$C245*BG245</f>
        <v>0</v>
      </c>
      <c r="I245" s="5">
        <f>+$C245*BH245</f>
        <v>0</v>
      </c>
      <c r="J245" s="5">
        <f>+$C245*BI245</f>
        <v>0</v>
      </c>
      <c r="K245" s="5">
        <f>+$C245*BJ245</f>
        <v>0</v>
      </c>
      <c r="L245" s="5">
        <f>+$C245*BK245</f>
        <v>0</v>
      </c>
      <c r="M245" s="5">
        <f>+$C245*BL245</f>
        <v>0</v>
      </c>
      <c r="N245" s="5">
        <f>+$C245*BM245</f>
        <v>0</v>
      </c>
      <c r="O245" s="5">
        <f>+$C245*BN245</f>
        <v>0</v>
      </c>
      <c r="P245" s="5">
        <v>0</v>
      </c>
      <c r="Q245" s="5">
        <f>+$P245*BC245</f>
        <v>0</v>
      </c>
      <c r="R245" s="5">
        <f>+$P245*BD245</f>
        <v>0</v>
      </c>
      <c r="S245" s="5">
        <f>+$P245*BE245</f>
        <v>0</v>
      </c>
      <c r="T245" s="5">
        <f>+$P245*BF245</f>
        <v>0</v>
      </c>
      <c r="U245" s="5">
        <f>+$P245*BG245</f>
        <v>0</v>
      </c>
      <c r="V245" s="5">
        <f>+$P245*BH245</f>
        <v>0</v>
      </c>
      <c r="W245" s="5">
        <f>+$P245*BI245</f>
        <v>0</v>
      </c>
      <c r="X245" s="5">
        <f>+$P245*BJ245</f>
        <v>0</v>
      </c>
      <c r="Y245" s="5">
        <f>+$P245*BK245</f>
        <v>0</v>
      </c>
      <c r="Z245" s="5">
        <f>+$P245*BL245</f>
        <v>0</v>
      </c>
      <c r="AA245" s="5">
        <f>+$P245*BM245</f>
        <v>0</v>
      </c>
      <c r="AB245" s="5">
        <f>+$P245*BN245</f>
        <v>0</v>
      </c>
      <c r="AC245" s="5">
        <v>2500</v>
      </c>
      <c r="AD245" s="5">
        <f>+$AC245*BC245</f>
        <v>222.9539148718556</v>
      </c>
      <c r="AE245" s="5">
        <f>+$AC245*BD245</f>
        <v>266.63194708612997</v>
      </c>
      <c r="AF245" s="5">
        <f>+$AC245*BE245</f>
        <v>235.97122712136911</v>
      </c>
      <c r="AG245" s="5">
        <f>+$AC245*BF245</f>
        <v>178.73912467137623</v>
      </c>
      <c r="AH245" s="5">
        <f>+$AC245*BG245</f>
        <v>259.21429526341905</v>
      </c>
      <c r="AI245" s="5">
        <f>+$AC245*BH245</f>
        <v>212.42582738136159</v>
      </c>
      <c r="AJ245" s="5">
        <f>+$AC245*BI245</f>
        <v>211.48469719315676</v>
      </c>
      <c r="AK245" s="5">
        <f>+$AC245*BJ245</f>
        <v>143.6177636569499</v>
      </c>
      <c r="AL245" s="5">
        <f>+$AC245*BK245</f>
        <v>212.88463086389368</v>
      </c>
      <c r="AM245" s="5">
        <f>+$AC245*BL245</f>
        <v>185.39514728258794</v>
      </c>
      <c r="AN245" s="5">
        <f>+$AC245*BM245</f>
        <v>189.29547298026793</v>
      </c>
      <c r="AO245" s="5">
        <f>+$AC245*BN245</f>
        <v>184.88889841418904</v>
      </c>
      <c r="AP245" s="5">
        <f>+AC245+P245+C245</f>
        <v>2500</v>
      </c>
      <c r="AQ245" s="1">
        <v>356.72626379496899</v>
      </c>
      <c r="AR245" s="1">
        <v>426.61111533780792</v>
      </c>
      <c r="AS245" s="1">
        <v>377.55396339419059</v>
      </c>
      <c r="AT245" s="1">
        <v>285.98259947420195</v>
      </c>
      <c r="AU245" s="1">
        <v>414.74287242147051</v>
      </c>
      <c r="AV245" s="1">
        <v>339.88132381017857</v>
      </c>
      <c r="AW245" s="1">
        <v>338.37551550905084</v>
      </c>
      <c r="AX245" s="1">
        <v>229.78842185111986</v>
      </c>
      <c r="AY245" s="1">
        <v>340.61540938222987</v>
      </c>
      <c r="AZ245" s="1">
        <v>296.63223565214071</v>
      </c>
      <c r="BA245" s="1">
        <v>302.8727567684287</v>
      </c>
      <c r="BB245" s="1">
        <v>295.8222374627025</v>
      </c>
      <c r="BC245" s="2">
        <v>8.9181565948742242E-2</v>
      </c>
      <c r="BD245" s="2">
        <v>0.10665277883445198</v>
      </c>
      <c r="BE245" s="2">
        <v>9.438849084854764E-2</v>
      </c>
      <c r="BF245" s="2">
        <v>7.149564986855049E-2</v>
      </c>
      <c r="BG245" s="2">
        <v>0.10368571810536763</v>
      </c>
      <c r="BH245" s="2">
        <v>8.4970330952544637E-2</v>
      </c>
      <c r="BI245" s="2">
        <v>8.4593878877262704E-2</v>
      </c>
      <c r="BJ245" s="2">
        <v>5.7447105462779965E-2</v>
      </c>
      <c r="BK245" s="2">
        <v>8.5153852345557474E-2</v>
      </c>
      <c r="BL245" s="2">
        <v>7.4158058913035174E-2</v>
      </c>
      <c r="BM245" s="2">
        <v>7.5718189192107169E-2</v>
      </c>
      <c r="BN245" s="2">
        <v>7.3955559365675619E-2</v>
      </c>
    </row>
    <row r="246" spans="1:66" x14ac:dyDescent="0.25">
      <c r="A246" s="8">
        <v>3118</v>
      </c>
      <c r="B246" s="8" t="s">
        <v>750</v>
      </c>
      <c r="C246" s="5">
        <v>0</v>
      </c>
      <c r="D246" s="5">
        <f>+$C246*BC246</f>
        <v>0</v>
      </c>
      <c r="E246" s="5">
        <f>+$C246*BD246</f>
        <v>0</v>
      </c>
      <c r="F246" s="5">
        <f>+$C246*BE246</f>
        <v>0</v>
      </c>
      <c r="G246" s="5">
        <f>+$C246*BF246</f>
        <v>0</v>
      </c>
      <c r="H246" s="5">
        <f>+$C246*BG246</f>
        <v>0</v>
      </c>
      <c r="I246" s="5">
        <f>+$C246*BH246</f>
        <v>0</v>
      </c>
      <c r="J246" s="5">
        <f>+$C246*BI246</f>
        <v>0</v>
      </c>
      <c r="K246" s="5">
        <f>+$C246*BJ246</f>
        <v>0</v>
      </c>
      <c r="L246" s="5">
        <f>+$C246*BK246</f>
        <v>0</v>
      </c>
      <c r="M246" s="5">
        <f>+$C246*BL246</f>
        <v>0</v>
      </c>
      <c r="N246" s="5">
        <f>+$C246*BM246</f>
        <v>0</v>
      </c>
      <c r="O246" s="5">
        <f>+$C246*BN246</f>
        <v>0</v>
      </c>
      <c r="P246" s="5">
        <v>0</v>
      </c>
      <c r="Q246" s="5">
        <f>+$P246*BC246</f>
        <v>0</v>
      </c>
      <c r="R246" s="5">
        <f>+$P246*BD246</f>
        <v>0</v>
      </c>
      <c r="S246" s="5">
        <f>+$P246*BE246</f>
        <v>0</v>
      </c>
      <c r="T246" s="5">
        <f>+$P246*BF246</f>
        <v>0</v>
      </c>
      <c r="U246" s="5">
        <f>+$P246*BG246</f>
        <v>0</v>
      </c>
      <c r="V246" s="5">
        <f>+$P246*BH246</f>
        <v>0</v>
      </c>
      <c r="W246" s="5">
        <f>+$P246*BI246</f>
        <v>0</v>
      </c>
      <c r="X246" s="5">
        <f>+$P246*BJ246</f>
        <v>0</v>
      </c>
      <c r="Y246" s="5">
        <f>+$P246*BK246</f>
        <v>0</v>
      </c>
      <c r="Z246" s="5">
        <f>+$P246*BL246</f>
        <v>0</v>
      </c>
      <c r="AA246" s="5">
        <f>+$P246*BM246</f>
        <v>0</v>
      </c>
      <c r="AB246" s="5">
        <f>+$P246*BN246</f>
        <v>0</v>
      </c>
      <c r="AC246" s="5">
        <v>0</v>
      </c>
      <c r="AD246" s="5">
        <f>+$AC246*BC246</f>
        <v>0</v>
      </c>
      <c r="AE246" s="5">
        <f>+$AC246*BD246</f>
        <v>0</v>
      </c>
      <c r="AF246" s="5">
        <f>+$AC246*BE246</f>
        <v>0</v>
      </c>
      <c r="AG246" s="5">
        <f>+$AC246*BF246</f>
        <v>0</v>
      </c>
      <c r="AH246" s="5">
        <f>+$AC246*BG246</f>
        <v>0</v>
      </c>
      <c r="AI246" s="5">
        <f>+$AC246*BH246</f>
        <v>0</v>
      </c>
      <c r="AJ246" s="5">
        <f>+$AC246*BI246</f>
        <v>0</v>
      </c>
      <c r="AK246" s="5">
        <f>+$AC246*BJ246</f>
        <v>0</v>
      </c>
      <c r="AL246" s="5">
        <f>+$AC246*BK246</f>
        <v>0</v>
      </c>
      <c r="AM246" s="5">
        <f>+$AC246*BL246</f>
        <v>0</v>
      </c>
      <c r="AN246" s="5">
        <f>+$AC246*BM246</f>
        <v>0</v>
      </c>
      <c r="AO246" s="5">
        <f>+$AC246*BN246</f>
        <v>0</v>
      </c>
      <c r="AP246" s="5">
        <f>+AC246+P246+C246</f>
        <v>0</v>
      </c>
      <c r="AQ246" s="1">
        <v>356.72626379496899</v>
      </c>
      <c r="AR246" s="1">
        <v>426.61111533780792</v>
      </c>
      <c r="AS246" s="1">
        <v>377.55396339419059</v>
      </c>
      <c r="AT246" s="1">
        <v>285.98259947420195</v>
      </c>
      <c r="AU246" s="1">
        <v>414.74287242147051</v>
      </c>
      <c r="AV246" s="1">
        <v>339.88132381017857</v>
      </c>
      <c r="AW246" s="1">
        <v>338.37551550905084</v>
      </c>
      <c r="AX246" s="1">
        <v>229.78842185111986</v>
      </c>
      <c r="AY246" s="1">
        <v>340.61540938222987</v>
      </c>
      <c r="AZ246" s="1">
        <v>296.63223565214071</v>
      </c>
      <c r="BA246" s="1">
        <v>302.8727567684287</v>
      </c>
      <c r="BB246" s="1">
        <v>295.8222374627025</v>
      </c>
      <c r="BC246" s="2">
        <v>8.9181565948742242E-2</v>
      </c>
      <c r="BD246" s="2">
        <v>0.10665277883445198</v>
      </c>
      <c r="BE246" s="2">
        <v>9.438849084854764E-2</v>
      </c>
      <c r="BF246" s="2">
        <v>7.149564986855049E-2</v>
      </c>
      <c r="BG246" s="2">
        <v>0.10368571810536763</v>
      </c>
      <c r="BH246" s="2">
        <v>8.4970330952544637E-2</v>
      </c>
      <c r="BI246" s="2">
        <v>8.4593878877262704E-2</v>
      </c>
      <c r="BJ246" s="2">
        <v>5.7447105462779965E-2</v>
      </c>
      <c r="BK246" s="2">
        <v>8.5153852345557474E-2</v>
      </c>
      <c r="BL246" s="2">
        <v>7.4158058913035174E-2</v>
      </c>
      <c r="BM246" s="2">
        <v>7.5718189192107169E-2</v>
      </c>
      <c r="BN246" s="2">
        <v>7.3955559365675619E-2</v>
      </c>
    </row>
    <row r="247" spans="1:66" x14ac:dyDescent="0.25">
      <c r="A247" s="8">
        <v>3878</v>
      </c>
      <c r="B247" s="8" t="s">
        <v>749</v>
      </c>
      <c r="C247" s="5">
        <v>4000</v>
      </c>
      <c r="D247" s="5">
        <f>+$C247*BC247</f>
        <v>356.72626379496899</v>
      </c>
      <c r="E247" s="5">
        <f>+$C247*BD247</f>
        <v>426.61111533780792</v>
      </c>
      <c r="F247" s="5">
        <f>+$C247*BE247</f>
        <v>377.55396339419059</v>
      </c>
      <c r="G247" s="5">
        <f>+$C247*BF247</f>
        <v>285.98259947420195</v>
      </c>
      <c r="H247" s="5">
        <f>+$C247*BG247</f>
        <v>414.74287242147051</v>
      </c>
      <c r="I247" s="5">
        <f>+$C247*BH247</f>
        <v>339.88132381017857</v>
      </c>
      <c r="J247" s="5">
        <f>+$C247*BI247</f>
        <v>338.37551550905084</v>
      </c>
      <c r="K247" s="5">
        <f>+$C247*BJ247</f>
        <v>229.78842185111986</v>
      </c>
      <c r="L247" s="5">
        <f>+$C247*BK247</f>
        <v>340.61540938222987</v>
      </c>
      <c r="M247" s="5">
        <f>+$C247*BL247</f>
        <v>296.63223565214071</v>
      </c>
      <c r="N247" s="5">
        <f>+$C247*BM247</f>
        <v>302.8727567684287</v>
      </c>
      <c r="O247" s="5">
        <f>+$C247*BN247</f>
        <v>295.8222374627025</v>
      </c>
      <c r="P247" s="5">
        <v>0</v>
      </c>
      <c r="Q247" s="5">
        <f>+$P247*BC247</f>
        <v>0</v>
      </c>
      <c r="R247" s="5">
        <f>+$P247*BD247</f>
        <v>0</v>
      </c>
      <c r="S247" s="5">
        <f>+$P247*BE247</f>
        <v>0</v>
      </c>
      <c r="T247" s="5">
        <f>+$P247*BF247</f>
        <v>0</v>
      </c>
      <c r="U247" s="5">
        <f>+$P247*BG247</f>
        <v>0</v>
      </c>
      <c r="V247" s="5">
        <f>+$P247*BH247</f>
        <v>0</v>
      </c>
      <c r="W247" s="5">
        <f>+$P247*BI247</f>
        <v>0</v>
      </c>
      <c r="X247" s="5">
        <f>+$P247*BJ247</f>
        <v>0</v>
      </c>
      <c r="Y247" s="5">
        <f>+$P247*BK247</f>
        <v>0</v>
      </c>
      <c r="Z247" s="5">
        <f>+$P247*BL247</f>
        <v>0</v>
      </c>
      <c r="AA247" s="5">
        <f>+$P247*BM247</f>
        <v>0</v>
      </c>
      <c r="AB247" s="5">
        <f>+$P247*BN247</f>
        <v>0</v>
      </c>
      <c r="AC247" s="5">
        <v>0</v>
      </c>
      <c r="AD247" s="5">
        <f>+$AC247*BC247</f>
        <v>0</v>
      </c>
      <c r="AE247" s="5">
        <f>+$AC247*BD247</f>
        <v>0</v>
      </c>
      <c r="AF247" s="5">
        <f>+$AC247*BE247</f>
        <v>0</v>
      </c>
      <c r="AG247" s="5">
        <f>+$AC247*BF247</f>
        <v>0</v>
      </c>
      <c r="AH247" s="5">
        <f>+$AC247*BG247</f>
        <v>0</v>
      </c>
      <c r="AI247" s="5">
        <f>+$AC247*BH247</f>
        <v>0</v>
      </c>
      <c r="AJ247" s="5">
        <f>+$AC247*BI247</f>
        <v>0</v>
      </c>
      <c r="AK247" s="5">
        <f>+$AC247*BJ247</f>
        <v>0</v>
      </c>
      <c r="AL247" s="5">
        <f>+$AC247*BK247</f>
        <v>0</v>
      </c>
      <c r="AM247" s="5">
        <f>+$AC247*BL247</f>
        <v>0</v>
      </c>
      <c r="AN247" s="5">
        <f>+$AC247*BM247</f>
        <v>0</v>
      </c>
      <c r="AO247" s="5">
        <f>+$AC247*BN247</f>
        <v>0</v>
      </c>
      <c r="AP247" s="5">
        <f>+AC247+P247+C247</f>
        <v>4000</v>
      </c>
      <c r="AQ247" s="1">
        <v>445.02778605092908</v>
      </c>
      <c r="AR247" s="1">
        <v>532.21144455072158</v>
      </c>
      <c r="AS247" s="1">
        <v>471.01102861504478</v>
      </c>
      <c r="AT247" s="1">
        <v>356.7727302698496</v>
      </c>
      <c r="AU247" s="1">
        <v>517.4054198605744</v>
      </c>
      <c r="AV247" s="1">
        <v>424.01316753688354</v>
      </c>
      <c r="AW247" s="1">
        <v>422.13462198955273</v>
      </c>
      <c r="AX247" s="1">
        <v>286.66863927719317</v>
      </c>
      <c r="AY247" s="1">
        <v>424.92896351284145</v>
      </c>
      <c r="AZ247" s="1">
        <v>370.0585028398221</v>
      </c>
      <c r="BA247" s="1">
        <v>377.84375886958816</v>
      </c>
      <c r="BB247" s="1">
        <v>369.04800336855766</v>
      </c>
      <c r="BC247" s="2">
        <v>8.9181565948742242E-2</v>
      </c>
      <c r="BD247" s="2">
        <v>0.10665277883445198</v>
      </c>
      <c r="BE247" s="2">
        <v>9.438849084854764E-2</v>
      </c>
      <c r="BF247" s="2">
        <v>7.149564986855049E-2</v>
      </c>
      <c r="BG247" s="2">
        <v>0.10368571810536763</v>
      </c>
      <c r="BH247" s="2">
        <v>8.4970330952544637E-2</v>
      </c>
      <c r="BI247" s="2">
        <v>8.4593878877262704E-2</v>
      </c>
      <c r="BJ247" s="2">
        <v>5.7447105462779965E-2</v>
      </c>
      <c r="BK247" s="2">
        <v>8.5153852345557474E-2</v>
      </c>
      <c r="BL247" s="2">
        <v>7.4158058913035174E-2</v>
      </c>
      <c r="BM247" s="2">
        <v>7.5718189192107169E-2</v>
      </c>
      <c r="BN247" s="2">
        <v>7.3955559365675619E-2</v>
      </c>
    </row>
    <row r="248" spans="1:66" x14ac:dyDescent="0.25">
      <c r="A248" s="8">
        <v>3916</v>
      </c>
      <c r="B248" s="8" t="s">
        <v>748</v>
      </c>
      <c r="C248" s="5">
        <v>0</v>
      </c>
      <c r="D248" s="5">
        <f>+$C248*BC248</f>
        <v>0</v>
      </c>
      <c r="E248" s="5">
        <f>+$C248*BD248</f>
        <v>0</v>
      </c>
      <c r="F248" s="5">
        <f>+$C248*BE248</f>
        <v>0</v>
      </c>
      <c r="G248" s="5">
        <f>+$C248*BF248</f>
        <v>0</v>
      </c>
      <c r="H248" s="5">
        <f>+$C248*BG248</f>
        <v>0</v>
      </c>
      <c r="I248" s="5">
        <f>+$C248*BH248</f>
        <v>0</v>
      </c>
      <c r="J248" s="5">
        <f>+$C248*BI248</f>
        <v>0</v>
      </c>
      <c r="K248" s="5">
        <f>+$C248*BJ248</f>
        <v>0</v>
      </c>
      <c r="L248" s="5">
        <f>+$C248*BK248</f>
        <v>0</v>
      </c>
      <c r="M248" s="5">
        <f>+$C248*BL248</f>
        <v>0</v>
      </c>
      <c r="N248" s="5">
        <f>+$C248*BM248</f>
        <v>0</v>
      </c>
      <c r="O248" s="5">
        <f>+$C248*BN248</f>
        <v>0</v>
      </c>
      <c r="P248" s="5">
        <v>5000</v>
      </c>
      <c r="Q248" s="5">
        <f>+$P248*BC248</f>
        <v>445.9078297437112</v>
      </c>
      <c r="R248" s="5">
        <f>+$P248*BD248</f>
        <v>533.26389417225994</v>
      </c>
      <c r="S248" s="5">
        <f>+$P248*BE248</f>
        <v>471.94245424273822</v>
      </c>
      <c r="T248" s="5">
        <f>+$P248*BF248</f>
        <v>357.47824934275246</v>
      </c>
      <c r="U248" s="5">
        <f>+$P248*BG248</f>
        <v>518.42859052683809</v>
      </c>
      <c r="V248" s="5">
        <f>+$P248*BH248</f>
        <v>424.85165476272317</v>
      </c>
      <c r="W248" s="5">
        <f>+$P248*BI248</f>
        <v>422.96939438631352</v>
      </c>
      <c r="X248" s="5">
        <f>+$P248*BJ248</f>
        <v>287.23552731389981</v>
      </c>
      <c r="Y248" s="5">
        <f>+$P248*BK248</f>
        <v>425.76926172778735</v>
      </c>
      <c r="Z248" s="5">
        <f>+$P248*BL248</f>
        <v>370.79029456517588</v>
      </c>
      <c r="AA248" s="5">
        <f>+$P248*BM248</f>
        <v>378.59094596053586</v>
      </c>
      <c r="AB248" s="5">
        <f>+$P248*BN248</f>
        <v>369.77779682837809</v>
      </c>
      <c r="AC248" s="5">
        <v>0</v>
      </c>
      <c r="AD248" s="5">
        <f>+$AC248*BC248</f>
        <v>0</v>
      </c>
      <c r="AE248" s="5">
        <f>+$AC248*BD248</f>
        <v>0</v>
      </c>
      <c r="AF248" s="5">
        <f>+$AC248*BE248</f>
        <v>0</v>
      </c>
      <c r="AG248" s="5">
        <f>+$AC248*BF248</f>
        <v>0</v>
      </c>
      <c r="AH248" s="5">
        <f>+$AC248*BG248</f>
        <v>0</v>
      </c>
      <c r="AI248" s="5">
        <f>+$AC248*BH248</f>
        <v>0</v>
      </c>
      <c r="AJ248" s="5">
        <f>+$AC248*BI248</f>
        <v>0</v>
      </c>
      <c r="AK248" s="5">
        <f>+$AC248*BJ248</f>
        <v>0</v>
      </c>
      <c r="AL248" s="5">
        <f>+$AC248*BK248</f>
        <v>0</v>
      </c>
      <c r="AM248" s="5">
        <f>+$AC248*BL248</f>
        <v>0</v>
      </c>
      <c r="AN248" s="5">
        <f>+$AC248*BM248</f>
        <v>0</v>
      </c>
      <c r="AO248" s="5">
        <f>+$AC248*BN248</f>
        <v>0</v>
      </c>
      <c r="AP248" s="5">
        <f>+AC248+P248+C248</f>
        <v>5000</v>
      </c>
      <c r="AQ248" s="1">
        <v>356.72626379496899</v>
      </c>
      <c r="AR248" s="1">
        <v>426.61111533780792</v>
      </c>
      <c r="AS248" s="1">
        <v>377.55396339419059</v>
      </c>
      <c r="AT248" s="1">
        <v>285.98259947420195</v>
      </c>
      <c r="AU248" s="1">
        <v>414.74287242147051</v>
      </c>
      <c r="AV248" s="1">
        <v>339.88132381017857</v>
      </c>
      <c r="AW248" s="1">
        <v>338.37551550905084</v>
      </c>
      <c r="AX248" s="1">
        <v>229.78842185111986</v>
      </c>
      <c r="AY248" s="1">
        <v>340.61540938222987</v>
      </c>
      <c r="AZ248" s="1">
        <v>296.63223565214071</v>
      </c>
      <c r="BA248" s="1">
        <v>302.8727567684287</v>
      </c>
      <c r="BB248" s="1">
        <v>295.8222374627025</v>
      </c>
      <c r="BC248" s="2">
        <v>8.9181565948742242E-2</v>
      </c>
      <c r="BD248" s="2">
        <v>0.10665277883445198</v>
      </c>
      <c r="BE248" s="2">
        <v>9.438849084854764E-2</v>
      </c>
      <c r="BF248" s="2">
        <v>7.149564986855049E-2</v>
      </c>
      <c r="BG248" s="2">
        <v>0.10368571810536763</v>
      </c>
      <c r="BH248" s="2">
        <v>8.4970330952544637E-2</v>
      </c>
      <c r="BI248" s="2">
        <v>8.4593878877262704E-2</v>
      </c>
      <c r="BJ248" s="2">
        <v>5.7447105462779965E-2</v>
      </c>
      <c r="BK248" s="2">
        <v>8.5153852345557474E-2</v>
      </c>
      <c r="BL248" s="2">
        <v>7.4158058913035174E-2</v>
      </c>
      <c r="BM248" s="2">
        <v>7.5718189192107169E-2</v>
      </c>
      <c r="BN248" s="2">
        <v>7.3955559365675619E-2</v>
      </c>
    </row>
    <row r="249" spans="1:66" x14ac:dyDescent="0.25">
      <c r="A249" s="8">
        <v>4452</v>
      </c>
      <c r="B249" s="8" t="s">
        <v>747</v>
      </c>
      <c r="C249" s="5">
        <v>0</v>
      </c>
      <c r="D249" s="5">
        <f>+$C249*BC249</f>
        <v>0</v>
      </c>
      <c r="E249" s="5">
        <f>+$C249*BD249</f>
        <v>0</v>
      </c>
      <c r="F249" s="5">
        <f>+$C249*BE249</f>
        <v>0</v>
      </c>
      <c r="G249" s="5">
        <f>+$C249*BF249</f>
        <v>0</v>
      </c>
      <c r="H249" s="5">
        <f>+$C249*BG249</f>
        <v>0</v>
      </c>
      <c r="I249" s="5">
        <f>+$C249*BH249</f>
        <v>0</v>
      </c>
      <c r="J249" s="5">
        <f>+$C249*BI249</f>
        <v>0</v>
      </c>
      <c r="K249" s="5">
        <f>+$C249*BJ249</f>
        <v>0</v>
      </c>
      <c r="L249" s="5">
        <f>+$C249*BK249</f>
        <v>0</v>
      </c>
      <c r="M249" s="5">
        <f>+$C249*BL249</f>
        <v>0</v>
      </c>
      <c r="N249" s="5">
        <f>+$C249*BM249</f>
        <v>0</v>
      </c>
      <c r="O249" s="5">
        <f>+$C249*BN249</f>
        <v>0</v>
      </c>
      <c r="P249" s="5">
        <v>2500</v>
      </c>
      <c r="Q249" s="5">
        <f>+$P249*BC249</f>
        <v>222.9539148718556</v>
      </c>
      <c r="R249" s="5">
        <f>+$P249*BD249</f>
        <v>266.63194708612997</v>
      </c>
      <c r="S249" s="5">
        <f>+$P249*BE249</f>
        <v>235.97122712136911</v>
      </c>
      <c r="T249" s="5">
        <f>+$P249*BF249</f>
        <v>178.73912467137623</v>
      </c>
      <c r="U249" s="5">
        <f>+$P249*BG249</f>
        <v>259.21429526341905</v>
      </c>
      <c r="V249" s="5">
        <f>+$P249*BH249</f>
        <v>212.42582738136159</v>
      </c>
      <c r="W249" s="5">
        <f>+$P249*BI249</f>
        <v>211.48469719315676</v>
      </c>
      <c r="X249" s="5">
        <f>+$P249*BJ249</f>
        <v>143.6177636569499</v>
      </c>
      <c r="Y249" s="5">
        <f>+$P249*BK249</f>
        <v>212.88463086389368</v>
      </c>
      <c r="Z249" s="5">
        <f>+$P249*BL249</f>
        <v>185.39514728258794</v>
      </c>
      <c r="AA249" s="5">
        <f>+$P249*BM249</f>
        <v>189.29547298026793</v>
      </c>
      <c r="AB249" s="5">
        <f>+$P249*BN249</f>
        <v>184.88889841418904</v>
      </c>
      <c r="AC249" s="5">
        <v>0</v>
      </c>
      <c r="AD249" s="5">
        <f>+$AC249*BC249</f>
        <v>0</v>
      </c>
      <c r="AE249" s="5">
        <f>+$AC249*BD249</f>
        <v>0</v>
      </c>
      <c r="AF249" s="5">
        <f>+$AC249*BE249</f>
        <v>0</v>
      </c>
      <c r="AG249" s="5">
        <f>+$AC249*BF249</f>
        <v>0</v>
      </c>
      <c r="AH249" s="5">
        <f>+$AC249*BG249</f>
        <v>0</v>
      </c>
      <c r="AI249" s="5">
        <f>+$AC249*BH249</f>
        <v>0</v>
      </c>
      <c r="AJ249" s="5">
        <f>+$AC249*BI249</f>
        <v>0</v>
      </c>
      <c r="AK249" s="5">
        <f>+$AC249*BJ249</f>
        <v>0</v>
      </c>
      <c r="AL249" s="5">
        <f>+$AC249*BK249</f>
        <v>0</v>
      </c>
      <c r="AM249" s="5">
        <f>+$AC249*BL249</f>
        <v>0</v>
      </c>
      <c r="AN249" s="5">
        <f>+$AC249*BM249</f>
        <v>0</v>
      </c>
      <c r="AO249" s="5">
        <f>+$AC249*BN249</f>
        <v>0</v>
      </c>
      <c r="AP249" s="5">
        <f>+AC249+P249+C249</f>
        <v>2500</v>
      </c>
      <c r="AQ249" s="1">
        <v>356.72626379496899</v>
      </c>
      <c r="AR249" s="1">
        <v>426.61111533780792</v>
      </c>
      <c r="AS249" s="1">
        <v>377.55396339419059</v>
      </c>
      <c r="AT249" s="1">
        <v>285.98259947420195</v>
      </c>
      <c r="AU249" s="1">
        <v>414.74287242147051</v>
      </c>
      <c r="AV249" s="1">
        <v>339.88132381017857</v>
      </c>
      <c r="AW249" s="1">
        <v>338.37551550905084</v>
      </c>
      <c r="AX249" s="1">
        <v>229.78842185111986</v>
      </c>
      <c r="AY249" s="1">
        <v>340.61540938222987</v>
      </c>
      <c r="AZ249" s="1">
        <v>296.63223565214071</v>
      </c>
      <c r="BA249" s="1">
        <v>302.8727567684287</v>
      </c>
      <c r="BB249" s="1">
        <v>295.8222374627025</v>
      </c>
      <c r="BC249" s="2">
        <v>8.9181565948742242E-2</v>
      </c>
      <c r="BD249" s="2">
        <v>0.10665277883445198</v>
      </c>
      <c r="BE249" s="2">
        <v>9.438849084854764E-2</v>
      </c>
      <c r="BF249" s="2">
        <v>7.149564986855049E-2</v>
      </c>
      <c r="BG249" s="2">
        <v>0.10368571810536763</v>
      </c>
      <c r="BH249" s="2">
        <v>8.4970330952544637E-2</v>
      </c>
      <c r="BI249" s="2">
        <v>8.4593878877262704E-2</v>
      </c>
      <c r="BJ249" s="2">
        <v>5.7447105462779965E-2</v>
      </c>
      <c r="BK249" s="2">
        <v>8.5153852345557474E-2</v>
      </c>
      <c r="BL249" s="2">
        <v>7.4158058913035174E-2</v>
      </c>
      <c r="BM249" s="2">
        <v>7.5718189192107169E-2</v>
      </c>
      <c r="BN249" s="2">
        <v>7.3955559365675619E-2</v>
      </c>
    </row>
    <row r="250" spans="1:66" x14ac:dyDescent="0.25">
      <c r="A250" s="8">
        <v>4927</v>
      </c>
      <c r="B250" s="8" t="s">
        <v>746</v>
      </c>
      <c r="C250" s="5">
        <v>7000</v>
      </c>
      <c r="D250" s="5">
        <f>+$C250*BC250</f>
        <v>624.27096164119564</v>
      </c>
      <c r="E250" s="5">
        <f>+$C250*BD250</f>
        <v>746.56945184116387</v>
      </c>
      <c r="F250" s="5">
        <f>+$C250*BE250</f>
        <v>660.71943593983349</v>
      </c>
      <c r="G250" s="5">
        <f>+$C250*BF250</f>
        <v>500.46954907985344</v>
      </c>
      <c r="H250" s="5">
        <f>+$C250*BG250</f>
        <v>725.80002673757338</v>
      </c>
      <c r="I250" s="5">
        <f>+$C250*BH250</f>
        <v>594.79231666781243</v>
      </c>
      <c r="J250" s="5">
        <f>+$C250*BI250</f>
        <v>592.15715214083889</v>
      </c>
      <c r="K250" s="5">
        <f>+$C250*BJ250</f>
        <v>402.12973823945975</v>
      </c>
      <c r="L250" s="5">
        <f>+$C250*BK250</f>
        <v>596.07696641890232</v>
      </c>
      <c r="M250" s="5">
        <f>+$C250*BL250</f>
        <v>519.10641239124618</v>
      </c>
      <c r="N250" s="5">
        <f>+$C250*BM250</f>
        <v>530.02732434475013</v>
      </c>
      <c r="O250" s="5">
        <f>+$C250*BN250</f>
        <v>517.68891555972937</v>
      </c>
      <c r="P250" s="5">
        <v>0</v>
      </c>
      <c r="Q250" s="5">
        <f>+$P250*BC250</f>
        <v>0</v>
      </c>
      <c r="R250" s="5">
        <f>+$P250*BD250</f>
        <v>0</v>
      </c>
      <c r="S250" s="5">
        <f>+$P250*BE250</f>
        <v>0</v>
      </c>
      <c r="T250" s="5">
        <f>+$P250*BF250</f>
        <v>0</v>
      </c>
      <c r="U250" s="5">
        <f>+$P250*BG250</f>
        <v>0</v>
      </c>
      <c r="V250" s="5">
        <f>+$P250*BH250</f>
        <v>0</v>
      </c>
      <c r="W250" s="5">
        <f>+$P250*BI250</f>
        <v>0</v>
      </c>
      <c r="X250" s="5">
        <f>+$P250*BJ250</f>
        <v>0</v>
      </c>
      <c r="Y250" s="5">
        <f>+$P250*BK250</f>
        <v>0</v>
      </c>
      <c r="Z250" s="5">
        <f>+$P250*BL250</f>
        <v>0</v>
      </c>
      <c r="AA250" s="5">
        <f>+$P250*BM250</f>
        <v>0</v>
      </c>
      <c r="AB250" s="5">
        <f>+$P250*BN250</f>
        <v>0</v>
      </c>
      <c r="AC250" s="5">
        <v>0</v>
      </c>
      <c r="AD250" s="5">
        <f>+$AC250*BC250</f>
        <v>0</v>
      </c>
      <c r="AE250" s="5">
        <f>+$AC250*BD250</f>
        <v>0</v>
      </c>
      <c r="AF250" s="5">
        <f>+$AC250*BE250</f>
        <v>0</v>
      </c>
      <c r="AG250" s="5">
        <f>+$AC250*BF250</f>
        <v>0</v>
      </c>
      <c r="AH250" s="5">
        <f>+$AC250*BG250</f>
        <v>0</v>
      </c>
      <c r="AI250" s="5">
        <f>+$AC250*BH250</f>
        <v>0</v>
      </c>
      <c r="AJ250" s="5">
        <f>+$AC250*BI250</f>
        <v>0</v>
      </c>
      <c r="AK250" s="5">
        <f>+$AC250*BJ250</f>
        <v>0</v>
      </c>
      <c r="AL250" s="5">
        <f>+$AC250*BK250</f>
        <v>0</v>
      </c>
      <c r="AM250" s="5">
        <f>+$AC250*BL250</f>
        <v>0</v>
      </c>
      <c r="AN250" s="5">
        <f>+$AC250*BM250</f>
        <v>0</v>
      </c>
      <c r="AO250" s="5">
        <f>+$AC250*BN250</f>
        <v>0</v>
      </c>
      <c r="AP250" s="5">
        <f>+AC250+P250+C250</f>
        <v>7000</v>
      </c>
      <c r="AQ250" s="1">
        <v>356.72626379496899</v>
      </c>
      <c r="AR250" s="1">
        <v>426.61111533780792</v>
      </c>
      <c r="AS250" s="1">
        <v>377.55396339419059</v>
      </c>
      <c r="AT250" s="1">
        <v>285.98259947420195</v>
      </c>
      <c r="AU250" s="1">
        <v>414.74287242147051</v>
      </c>
      <c r="AV250" s="1">
        <v>339.88132381017857</v>
      </c>
      <c r="AW250" s="1">
        <v>338.37551550905084</v>
      </c>
      <c r="AX250" s="1">
        <v>229.78842185111986</v>
      </c>
      <c r="AY250" s="1">
        <v>340.61540938222987</v>
      </c>
      <c r="AZ250" s="1">
        <v>296.63223565214071</v>
      </c>
      <c r="BA250" s="1">
        <v>302.8727567684287</v>
      </c>
      <c r="BB250" s="1">
        <v>295.8222374627025</v>
      </c>
      <c r="BC250" s="2">
        <v>8.9181565948742242E-2</v>
      </c>
      <c r="BD250" s="2">
        <v>0.10665277883445198</v>
      </c>
      <c r="BE250" s="2">
        <v>9.438849084854764E-2</v>
      </c>
      <c r="BF250" s="2">
        <v>7.149564986855049E-2</v>
      </c>
      <c r="BG250" s="2">
        <v>0.10368571810536763</v>
      </c>
      <c r="BH250" s="2">
        <v>8.4970330952544637E-2</v>
      </c>
      <c r="BI250" s="2">
        <v>8.4593878877262704E-2</v>
      </c>
      <c r="BJ250" s="2">
        <v>5.7447105462779965E-2</v>
      </c>
      <c r="BK250" s="2">
        <v>8.5153852345557474E-2</v>
      </c>
      <c r="BL250" s="2">
        <v>7.4158058913035174E-2</v>
      </c>
      <c r="BM250" s="2">
        <v>7.5718189192107169E-2</v>
      </c>
      <c r="BN250" s="2">
        <v>7.3955559365675619E-2</v>
      </c>
    </row>
    <row r="251" spans="1:66" x14ac:dyDescent="0.25">
      <c r="A251" s="8">
        <v>5094</v>
      </c>
      <c r="B251" s="8" t="s">
        <v>745</v>
      </c>
      <c r="C251" s="5">
        <v>7000</v>
      </c>
      <c r="D251" s="5">
        <f>+$C251*BC251</f>
        <v>624.27096164119564</v>
      </c>
      <c r="E251" s="5">
        <f>+$C251*BD251</f>
        <v>746.56945184116387</v>
      </c>
      <c r="F251" s="5">
        <f>+$C251*BE251</f>
        <v>660.71943593983349</v>
      </c>
      <c r="G251" s="5">
        <f>+$C251*BF251</f>
        <v>500.46954907985344</v>
      </c>
      <c r="H251" s="5">
        <f>+$C251*BG251</f>
        <v>725.80002673757338</v>
      </c>
      <c r="I251" s="5">
        <f>+$C251*BH251</f>
        <v>594.79231666781243</v>
      </c>
      <c r="J251" s="5">
        <f>+$C251*BI251</f>
        <v>592.15715214083889</v>
      </c>
      <c r="K251" s="5">
        <f>+$C251*BJ251</f>
        <v>402.12973823945975</v>
      </c>
      <c r="L251" s="5">
        <f>+$C251*BK251</f>
        <v>596.07696641890232</v>
      </c>
      <c r="M251" s="5">
        <f>+$C251*BL251</f>
        <v>519.10641239124618</v>
      </c>
      <c r="N251" s="5">
        <f>+$C251*BM251</f>
        <v>530.02732434475013</v>
      </c>
      <c r="O251" s="5">
        <f>+$C251*BN251</f>
        <v>517.68891555972937</v>
      </c>
      <c r="P251" s="5">
        <v>0</v>
      </c>
      <c r="Q251" s="5">
        <f>+$P251*BC251</f>
        <v>0</v>
      </c>
      <c r="R251" s="5">
        <f>+$P251*BD251</f>
        <v>0</v>
      </c>
      <c r="S251" s="5">
        <f>+$P251*BE251</f>
        <v>0</v>
      </c>
      <c r="T251" s="5">
        <f>+$P251*BF251</f>
        <v>0</v>
      </c>
      <c r="U251" s="5">
        <f>+$P251*BG251</f>
        <v>0</v>
      </c>
      <c r="V251" s="5">
        <f>+$P251*BH251</f>
        <v>0</v>
      </c>
      <c r="W251" s="5">
        <f>+$P251*BI251</f>
        <v>0</v>
      </c>
      <c r="X251" s="5">
        <f>+$P251*BJ251</f>
        <v>0</v>
      </c>
      <c r="Y251" s="5">
        <f>+$P251*BK251</f>
        <v>0</v>
      </c>
      <c r="Z251" s="5">
        <f>+$P251*BL251</f>
        <v>0</v>
      </c>
      <c r="AA251" s="5">
        <f>+$P251*BM251</f>
        <v>0</v>
      </c>
      <c r="AB251" s="5">
        <f>+$P251*BN251</f>
        <v>0</v>
      </c>
      <c r="AC251" s="5">
        <v>0</v>
      </c>
      <c r="AD251" s="5">
        <f>+$AC251*BC251</f>
        <v>0</v>
      </c>
      <c r="AE251" s="5">
        <f>+$AC251*BD251</f>
        <v>0</v>
      </c>
      <c r="AF251" s="5">
        <f>+$AC251*BE251</f>
        <v>0</v>
      </c>
      <c r="AG251" s="5">
        <f>+$AC251*BF251</f>
        <v>0</v>
      </c>
      <c r="AH251" s="5">
        <f>+$AC251*BG251</f>
        <v>0</v>
      </c>
      <c r="AI251" s="5">
        <f>+$AC251*BH251</f>
        <v>0</v>
      </c>
      <c r="AJ251" s="5">
        <f>+$AC251*BI251</f>
        <v>0</v>
      </c>
      <c r="AK251" s="5">
        <f>+$AC251*BJ251</f>
        <v>0</v>
      </c>
      <c r="AL251" s="5">
        <f>+$AC251*BK251</f>
        <v>0</v>
      </c>
      <c r="AM251" s="5">
        <f>+$AC251*BL251</f>
        <v>0</v>
      </c>
      <c r="AN251" s="5">
        <f>+$AC251*BM251</f>
        <v>0</v>
      </c>
      <c r="AO251" s="5">
        <f>+$AC251*BN251</f>
        <v>0</v>
      </c>
      <c r="AP251" s="5">
        <f>+AC251+P251+C251</f>
        <v>7000</v>
      </c>
      <c r="AQ251" s="1">
        <v>356.72626379496899</v>
      </c>
      <c r="AR251" s="1">
        <v>426.61111533780792</v>
      </c>
      <c r="AS251" s="1">
        <v>377.55396339419059</v>
      </c>
      <c r="AT251" s="1">
        <v>285.98259947420195</v>
      </c>
      <c r="AU251" s="1">
        <v>414.74287242147051</v>
      </c>
      <c r="AV251" s="1">
        <v>339.88132381017857</v>
      </c>
      <c r="AW251" s="1">
        <v>338.37551550905084</v>
      </c>
      <c r="AX251" s="1">
        <v>229.78842185111986</v>
      </c>
      <c r="AY251" s="1">
        <v>340.61540938222987</v>
      </c>
      <c r="AZ251" s="1">
        <v>296.63223565214071</v>
      </c>
      <c r="BA251" s="1">
        <v>302.8727567684287</v>
      </c>
      <c r="BB251" s="1">
        <v>295.8222374627025</v>
      </c>
      <c r="BC251" s="2">
        <v>8.9181565948742242E-2</v>
      </c>
      <c r="BD251" s="2">
        <v>0.10665277883445198</v>
      </c>
      <c r="BE251" s="2">
        <v>9.438849084854764E-2</v>
      </c>
      <c r="BF251" s="2">
        <v>7.149564986855049E-2</v>
      </c>
      <c r="BG251" s="2">
        <v>0.10368571810536763</v>
      </c>
      <c r="BH251" s="2">
        <v>8.4970330952544637E-2</v>
      </c>
      <c r="BI251" s="2">
        <v>8.4593878877262704E-2</v>
      </c>
      <c r="BJ251" s="2">
        <v>5.7447105462779965E-2</v>
      </c>
      <c r="BK251" s="2">
        <v>8.5153852345557474E-2</v>
      </c>
      <c r="BL251" s="2">
        <v>7.4158058913035174E-2</v>
      </c>
      <c r="BM251" s="2">
        <v>7.5718189192107169E-2</v>
      </c>
      <c r="BN251" s="2">
        <v>7.3955559365675619E-2</v>
      </c>
    </row>
    <row r="252" spans="1:66" x14ac:dyDescent="0.25">
      <c r="A252" s="8">
        <v>5147</v>
      </c>
      <c r="B252" s="8" t="s">
        <v>744</v>
      </c>
      <c r="C252" s="5">
        <v>4000</v>
      </c>
      <c r="D252" s="5">
        <f>+$C252*BC252</f>
        <v>356.72626379496899</v>
      </c>
      <c r="E252" s="5">
        <f>+$C252*BD252</f>
        <v>426.61111533780792</v>
      </c>
      <c r="F252" s="5">
        <f>+$C252*BE252</f>
        <v>377.55396339419059</v>
      </c>
      <c r="G252" s="5">
        <f>+$C252*BF252</f>
        <v>285.98259947420195</v>
      </c>
      <c r="H252" s="5">
        <f>+$C252*BG252</f>
        <v>414.74287242147051</v>
      </c>
      <c r="I252" s="5">
        <f>+$C252*BH252</f>
        <v>339.88132381017857</v>
      </c>
      <c r="J252" s="5">
        <f>+$C252*BI252</f>
        <v>338.37551550905084</v>
      </c>
      <c r="K252" s="5">
        <f>+$C252*BJ252</f>
        <v>229.78842185111986</v>
      </c>
      <c r="L252" s="5">
        <f>+$C252*BK252</f>
        <v>340.61540938222987</v>
      </c>
      <c r="M252" s="5">
        <f>+$C252*BL252</f>
        <v>296.63223565214071</v>
      </c>
      <c r="N252" s="5">
        <f>+$C252*BM252</f>
        <v>302.8727567684287</v>
      </c>
      <c r="O252" s="5">
        <f>+$C252*BN252</f>
        <v>295.8222374627025</v>
      </c>
      <c r="P252" s="5">
        <v>0</v>
      </c>
      <c r="Q252" s="5">
        <f>+$P252*BC252</f>
        <v>0</v>
      </c>
      <c r="R252" s="5">
        <f>+$P252*BD252</f>
        <v>0</v>
      </c>
      <c r="S252" s="5">
        <f>+$P252*BE252</f>
        <v>0</v>
      </c>
      <c r="T252" s="5">
        <f>+$P252*BF252</f>
        <v>0</v>
      </c>
      <c r="U252" s="5">
        <f>+$P252*BG252</f>
        <v>0</v>
      </c>
      <c r="V252" s="5">
        <f>+$P252*BH252</f>
        <v>0</v>
      </c>
      <c r="W252" s="5">
        <f>+$P252*BI252</f>
        <v>0</v>
      </c>
      <c r="X252" s="5">
        <f>+$P252*BJ252</f>
        <v>0</v>
      </c>
      <c r="Y252" s="5">
        <f>+$P252*BK252</f>
        <v>0</v>
      </c>
      <c r="Z252" s="5">
        <f>+$P252*BL252</f>
        <v>0</v>
      </c>
      <c r="AA252" s="5">
        <f>+$P252*BM252</f>
        <v>0</v>
      </c>
      <c r="AB252" s="5">
        <f>+$P252*BN252</f>
        <v>0</v>
      </c>
      <c r="AC252" s="5">
        <v>0</v>
      </c>
      <c r="AD252" s="5">
        <f>+$AC252*BC252</f>
        <v>0</v>
      </c>
      <c r="AE252" s="5">
        <f>+$AC252*BD252</f>
        <v>0</v>
      </c>
      <c r="AF252" s="5">
        <f>+$AC252*BE252</f>
        <v>0</v>
      </c>
      <c r="AG252" s="5">
        <f>+$AC252*BF252</f>
        <v>0</v>
      </c>
      <c r="AH252" s="5">
        <f>+$AC252*BG252</f>
        <v>0</v>
      </c>
      <c r="AI252" s="5">
        <f>+$AC252*BH252</f>
        <v>0</v>
      </c>
      <c r="AJ252" s="5">
        <f>+$AC252*BI252</f>
        <v>0</v>
      </c>
      <c r="AK252" s="5">
        <f>+$AC252*BJ252</f>
        <v>0</v>
      </c>
      <c r="AL252" s="5">
        <f>+$AC252*BK252</f>
        <v>0</v>
      </c>
      <c r="AM252" s="5">
        <f>+$AC252*BL252</f>
        <v>0</v>
      </c>
      <c r="AN252" s="5">
        <f>+$AC252*BM252</f>
        <v>0</v>
      </c>
      <c r="AO252" s="5">
        <f>+$AC252*BN252</f>
        <v>0</v>
      </c>
      <c r="AP252" s="5">
        <f>+AC252+P252+C252</f>
        <v>4000</v>
      </c>
      <c r="AQ252" s="1">
        <v>457.96517745998113</v>
      </c>
      <c r="AR252" s="1">
        <v>547.68334987067783</v>
      </c>
      <c r="AS252" s="1">
        <v>484.70377820546184</v>
      </c>
      <c r="AT252" s="1">
        <v>367.14446120498047</v>
      </c>
      <c r="AU252" s="1">
        <v>532.44689961468384</v>
      </c>
      <c r="AV252" s="1">
        <v>436.33964350750722</v>
      </c>
      <c r="AW252" s="1">
        <v>434.40648681051943</v>
      </c>
      <c r="AX252" s="1">
        <v>295.00237597246769</v>
      </c>
      <c r="AY252" s="1">
        <v>437.28206256490671</v>
      </c>
      <c r="AZ252" s="1">
        <v>380.81646413021821</v>
      </c>
      <c r="BA252" s="1">
        <v>388.8280451393087</v>
      </c>
      <c r="BB252" s="1">
        <v>379.77658845461741</v>
      </c>
      <c r="BC252" s="2">
        <v>8.9181565948742242E-2</v>
      </c>
      <c r="BD252" s="2">
        <v>0.10665277883445198</v>
      </c>
      <c r="BE252" s="2">
        <v>9.438849084854764E-2</v>
      </c>
      <c r="BF252" s="2">
        <v>7.149564986855049E-2</v>
      </c>
      <c r="BG252" s="2">
        <v>0.10368571810536763</v>
      </c>
      <c r="BH252" s="2">
        <v>8.4970330952544637E-2</v>
      </c>
      <c r="BI252" s="2">
        <v>8.4593878877262704E-2</v>
      </c>
      <c r="BJ252" s="2">
        <v>5.7447105462779965E-2</v>
      </c>
      <c r="BK252" s="2">
        <v>8.5153852345557474E-2</v>
      </c>
      <c r="BL252" s="2">
        <v>7.4158058913035174E-2</v>
      </c>
      <c r="BM252" s="2">
        <v>7.5718189192107169E-2</v>
      </c>
      <c r="BN252" s="2">
        <v>7.3955559365675619E-2</v>
      </c>
    </row>
    <row r="253" spans="1:66" x14ac:dyDescent="0.25">
      <c r="A253" s="8">
        <v>5395</v>
      </c>
      <c r="B253" s="8" t="s">
        <v>743</v>
      </c>
      <c r="C253" s="5">
        <v>0</v>
      </c>
      <c r="D253" s="5">
        <f>+$C253*BC253</f>
        <v>0</v>
      </c>
      <c r="E253" s="5">
        <f>+$C253*BD253</f>
        <v>0</v>
      </c>
      <c r="F253" s="5">
        <f>+$C253*BE253</f>
        <v>0</v>
      </c>
      <c r="G253" s="5">
        <f>+$C253*BF253</f>
        <v>0</v>
      </c>
      <c r="H253" s="5">
        <f>+$C253*BG253</f>
        <v>0</v>
      </c>
      <c r="I253" s="5">
        <f>+$C253*BH253</f>
        <v>0</v>
      </c>
      <c r="J253" s="5">
        <f>+$C253*BI253</f>
        <v>0</v>
      </c>
      <c r="K253" s="5">
        <f>+$C253*BJ253</f>
        <v>0</v>
      </c>
      <c r="L253" s="5">
        <f>+$C253*BK253</f>
        <v>0</v>
      </c>
      <c r="M253" s="5">
        <f>+$C253*BL253</f>
        <v>0</v>
      </c>
      <c r="N253" s="5">
        <f>+$C253*BM253</f>
        <v>0</v>
      </c>
      <c r="O253" s="5">
        <f>+$C253*BN253</f>
        <v>0</v>
      </c>
      <c r="P253" s="5">
        <v>2000</v>
      </c>
      <c r="Q253" s="5">
        <f>+$P253*BC253</f>
        <v>178.36313189748449</v>
      </c>
      <c r="R253" s="5">
        <f>+$P253*BD253</f>
        <v>213.30555766890396</v>
      </c>
      <c r="S253" s="5">
        <f>+$P253*BE253</f>
        <v>188.77698169709529</v>
      </c>
      <c r="T253" s="5">
        <f>+$P253*BF253</f>
        <v>142.99129973710097</v>
      </c>
      <c r="U253" s="5">
        <f>+$P253*BG253</f>
        <v>207.37143621073525</v>
      </c>
      <c r="V253" s="5">
        <f>+$P253*BH253</f>
        <v>169.94066190508929</v>
      </c>
      <c r="W253" s="5">
        <f>+$P253*BI253</f>
        <v>169.18775775452542</v>
      </c>
      <c r="X253" s="5">
        <f>+$P253*BJ253</f>
        <v>114.89421092555993</v>
      </c>
      <c r="Y253" s="5">
        <f>+$P253*BK253</f>
        <v>170.30770469111494</v>
      </c>
      <c r="Z253" s="5">
        <f>+$P253*BL253</f>
        <v>148.31611782607035</v>
      </c>
      <c r="AA253" s="5">
        <f>+$P253*BM253</f>
        <v>151.43637838421435</v>
      </c>
      <c r="AB253" s="5">
        <f>+$P253*BN253</f>
        <v>147.91111873135125</v>
      </c>
      <c r="AC253" s="5">
        <v>0</v>
      </c>
      <c r="AD253" s="5">
        <f>+$AC253*BC253</f>
        <v>0</v>
      </c>
      <c r="AE253" s="5">
        <f>+$AC253*BD253</f>
        <v>0</v>
      </c>
      <c r="AF253" s="5">
        <f>+$AC253*BE253</f>
        <v>0</v>
      </c>
      <c r="AG253" s="5">
        <f>+$AC253*BF253</f>
        <v>0</v>
      </c>
      <c r="AH253" s="5">
        <f>+$AC253*BG253</f>
        <v>0</v>
      </c>
      <c r="AI253" s="5">
        <f>+$AC253*BH253</f>
        <v>0</v>
      </c>
      <c r="AJ253" s="5">
        <f>+$AC253*BI253</f>
        <v>0</v>
      </c>
      <c r="AK253" s="5">
        <f>+$AC253*BJ253</f>
        <v>0</v>
      </c>
      <c r="AL253" s="5">
        <f>+$AC253*BK253</f>
        <v>0</v>
      </c>
      <c r="AM253" s="5">
        <f>+$AC253*BL253</f>
        <v>0</v>
      </c>
      <c r="AN253" s="5">
        <f>+$AC253*BM253</f>
        <v>0</v>
      </c>
      <c r="AO253" s="5">
        <f>+$AC253*BN253</f>
        <v>0</v>
      </c>
      <c r="AP253" s="5">
        <f>+AC253+P253+C253</f>
        <v>2000</v>
      </c>
      <c r="AQ253" s="1">
        <v>368.48842052794862</v>
      </c>
      <c r="AR253" s="1">
        <v>440.67755033828382</v>
      </c>
      <c r="AS253" s="1">
        <v>390.00286145220554</v>
      </c>
      <c r="AT253" s="1">
        <v>295.41216073536509</v>
      </c>
      <c r="AU253" s="1">
        <v>428.41798178238747</v>
      </c>
      <c r="AV253" s="1">
        <v>351.08806075950969</v>
      </c>
      <c r="AW253" s="1">
        <v>349.53260219417302</v>
      </c>
      <c r="AX253" s="1">
        <v>237.36512059060593</v>
      </c>
      <c r="AY253" s="1">
        <v>351.84635096808552</v>
      </c>
      <c r="AZ253" s="1">
        <v>306.41294204218093</v>
      </c>
      <c r="BA253" s="1">
        <v>312.85922874097571</v>
      </c>
      <c r="BB253" s="1">
        <v>305.57623618744145</v>
      </c>
      <c r="BC253" s="2">
        <v>8.9181565948742242E-2</v>
      </c>
      <c r="BD253" s="2">
        <v>0.10665277883445198</v>
      </c>
      <c r="BE253" s="2">
        <v>9.438849084854764E-2</v>
      </c>
      <c r="BF253" s="2">
        <v>7.149564986855049E-2</v>
      </c>
      <c r="BG253" s="2">
        <v>0.10368571810536763</v>
      </c>
      <c r="BH253" s="2">
        <v>8.4970330952544637E-2</v>
      </c>
      <c r="BI253" s="2">
        <v>8.4593878877262704E-2</v>
      </c>
      <c r="BJ253" s="2">
        <v>5.7447105462779965E-2</v>
      </c>
      <c r="BK253" s="2">
        <v>8.5153852345557474E-2</v>
      </c>
      <c r="BL253" s="2">
        <v>7.4158058913035174E-2</v>
      </c>
      <c r="BM253" s="2">
        <v>7.5718189192107169E-2</v>
      </c>
      <c r="BN253" s="2">
        <v>7.3955559365675619E-2</v>
      </c>
    </row>
    <row r="254" spans="1:66" x14ac:dyDescent="0.25">
      <c r="A254" s="8">
        <v>5555</v>
      </c>
      <c r="B254" s="8" t="s">
        <v>742</v>
      </c>
      <c r="C254" s="5">
        <v>0</v>
      </c>
      <c r="D254" s="5">
        <f>+$C254*BC254</f>
        <v>0</v>
      </c>
      <c r="E254" s="5">
        <f>+$C254*BD254</f>
        <v>0</v>
      </c>
      <c r="F254" s="5">
        <f>+$C254*BE254</f>
        <v>0</v>
      </c>
      <c r="G254" s="5">
        <f>+$C254*BF254</f>
        <v>0</v>
      </c>
      <c r="H254" s="5">
        <f>+$C254*BG254</f>
        <v>0</v>
      </c>
      <c r="I254" s="5">
        <f>+$C254*BH254</f>
        <v>0</v>
      </c>
      <c r="J254" s="5">
        <f>+$C254*BI254</f>
        <v>0</v>
      </c>
      <c r="K254" s="5">
        <f>+$C254*BJ254</f>
        <v>0</v>
      </c>
      <c r="L254" s="5">
        <f>+$C254*BK254</f>
        <v>0</v>
      </c>
      <c r="M254" s="5">
        <f>+$C254*BL254</f>
        <v>0</v>
      </c>
      <c r="N254" s="5">
        <f>+$C254*BM254</f>
        <v>0</v>
      </c>
      <c r="O254" s="5">
        <f>+$C254*BN254</f>
        <v>0</v>
      </c>
      <c r="P254" s="5">
        <v>4000</v>
      </c>
      <c r="Q254" s="5">
        <f>+$P254*BC254</f>
        <v>356.72626379496899</v>
      </c>
      <c r="R254" s="5">
        <f>+$P254*BD254</f>
        <v>426.61111533780792</v>
      </c>
      <c r="S254" s="5">
        <f>+$P254*BE254</f>
        <v>377.55396339419059</v>
      </c>
      <c r="T254" s="5">
        <f>+$P254*BF254</f>
        <v>285.98259947420195</v>
      </c>
      <c r="U254" s="5">
        <f>+$P254*BG254</f>
        <v>414.74287242147051</v>
      </c>
      <c r="V254" s="5">
        <f>+$P254*BH254</f>
        <v>339.88132381017857</v>
      </c>
      <c r="W254" s="5">
        <f>+$P254*BI254</f>
        <v>338.37551550905084</v>
      </c>
      <c r="X254" s="5">
        <f>+$P254*BJ254</f>
        <v>229.78842185111986</v>
      </c>
      <c r="Y254" s="5">
        <f>+$P254*BK254</f>
        <v>340.61540938222987</v>
      </c>
      <c r="Z254" s="5">
        <f>+$P254*BL254</f>
        <v>296.63223565214071</v>
      </c>
      <c r="AA254" s="5">
        <f>+$P254*BM254</f>
        <v>302.8727567684287</v>
      </c>
      <c r="AB254" s="5">
        <f>+$P254*BN254</f>
        <v>295.8222374627025</v>
      </c>
      <c r="AC254" s="5">
        <v>0</v>
      </c>
      <c r="AD254" s="5">
        <f>+$AC254*BC254</f>
        <v>0</v>
      </c>
      <c r="AE254" s="5">
        <f>+$AC254*BD254</f>
        <v>0</v>
      </c>
      <c r="AF254" s="5">
        <f>+$AC254*BE254</f>
        <v>0</v>
      </c>
      <c r="AG254" s="5">
        <f>+$AC254*BF254</f>
        <v>0</v>
      </c>
      <c r="AH254" s="5">
        <f>+$AC254*BG254</f>
        <v>0</v>
      </c>
      <c r="AI254" s="5">
        <f>+$AC254*BH254</f>
        <v>0</v>
      </c>
      <c r="AJ254" s="5">
        <f>+$AC254*BI254</f>
        <v>0</v>
      </c>
      <c r="AK254" s="5">
        <f>+$AC254*BJ254</f>
        <v>0</v>
      </c>
      <c r="AL254" s="5">
        <f>+$AC254*BK254</f>
        <v>0</v>
      </c>
      <c r="AM254" s="5">
        <f>+$AC254*BL254</f>
        <v>0</v>
      </c>
      <c r="AN254" s="5">
        <f>+$AC254*BM254</f>
        <v>0</v>
      </c>
      <c r="AO254" s="5">
        <f>+$AC254*BN254</f>
        <v>0</v>
      </c>
      <c r="AP254" s="5">
        <f>+AC254+P254+C254</f>
        <v>4000</v>
      </c>
      <c r="AQ254" s="1">
        <v>356.72626379496899</v>
      </c>
      <c r="AR254" s="1">
        <v>426.61111533780792</v>
      </c>
      <c r="AS254" s="1">
        <v>377.55396339419059</v>
      </c>
      <c r="AT254" s="1">
        <v>285.98259947420195</v>
      </c>
      <c r="AU254" s="1">
        <v>414.74287242147051</v>
      </c>
      <c r="AV254" s="1">
        <v>339.88132381017857</v>
      </c>
      <c r="AW254" s="1">
        <v>338.37551550905084</v>
      </c>
      <c r="AX254" s="1">
        <v>229.78842185111986</v>
      </c>
      <c r="AY254" s="1">
        <v>340.61540938222987</v>
      </c>
      <c r="AZ254" s="1">
        <v>296.63223565214071</v>
      </c>
      <c r="BA254" s="1">
        <v>302.8727567684287</v>
      </c>
      <c r="BB254" s="1">
        <v>295.8222374627025</v>
      </c>
      <c r="BC254" s="2">
        <v>8.9181565948742242E-2</v>
      </c>
      <c r="BD254" s="2">
        <v>0.10665277883445198</v>
      </c>
      <c r="BE254" s="2">
        <v>9.438849084854764E-2</v>
      </c>
      <c r="BF254" s="2">
        <v>7.149564986855049E-2</v>
      </c>
      <c r="BG254" s="2">
        <v>0.10368571810536763</v>
      </c>
      <c r="BH254" s="2">
        <v>8.4970330952544637E-2</v>
      </c>
      <c r="BI254" s="2">
        <v>8.4593878877262704E-2</v>
      </c>
      <c r="BJ254" s="2">
        <v>5.7447105462779965E-2</v>
      </c>
      <c r="BK254" s="2">
        <v>8.5153852345557474E-2</v>
      </c>
      <c r="BL254" s="2">
        <v>7.4158058913035174E-2</v>
      </c>
      <c r="BM254" s="2">
        <v>7.5718189192107169E-2</v>
      </c>
      <c r="BN254" s="2">
        <v>7.3955559365675619E-2</v>
      </c>
    </row>
    <row r="255" spans="1:66" x14ac:dyDescent="0.25">
      <c r="A255" s="8">
        <v>6669</v>
      </c>
      <c r="B255" s="8" t="s">
        <v>741</v>
      </c>
      <c r="C255" s="5">
        <v>0</v>
      </c>
      <c r="D255" s="5">
        <f>+$C255*BC255</f>
        <v>0</v>
      </c>
      <c r="E255" s="5">
        <f>+$C255*BD255</f>
        <v>0</v>
      </c>
      <c r="F255" s="5">
        <f>+$C255*BE255</f>
        <v>0</v>
      </c>
      <c r="G255" s="5">
        <f>+$C255*BF255</f>
        <v>0</v>
      </c>
      <c r="H255" s="5">
        <f>+$C255*BG255</f>
        <v>0</v>
      </c>
      <c r="I255" s="5">
        <f>+$C255*BH255</f>
        <v>0</v>
      </c>
      <c r="J255" s="5">
        <f>+$C255*BI255</f>
        <v>0</v>
      </c>
      <c r="K255" s="5">
        <f>+$C255*BJ255</f>
        <v>0</v>
      </c>
      <c r="L255" s="5">
        <f>+$C255*BK255</f>
        <v>0</v>
      </c>
      <c r="M255" s="5">
        <f>+$C255*BL255</f>
        <v>0</v>
      </c>
      <c r="N255" s="5">
        <f>+$C255*BM255</f>
        <v>0</v>
      </c>
      <c r="O255" s="5">
        <f>+$C255*BN255</f>
        <v>0</v>
      </c>
      <c r="P255" s="5">
        <v>0</v>
      </c>
      <c r="Q255" s="5">
        <f>+$P255*BC255</f>
        <v>0</v>
      </c>
      <c r="R255" s="5">
        <f>+$P255*BD255</f>
        <v>0</v>
      </c>
      <c r="S255" s="5">
        <f>+$P255*BE255</f>
        <v>0</v>
      </c>
      <c r="T255" s="5">
        <f>+$P255*BF255</f>
        <v>0</v>
      </c>
      <c r="U255" s="5">
        <f>+$P255*BG255</f>
        <v>0</v>
      </c>
      <c r="V255" s="5">
        <f>+$P255*BH255</f>
        <v>0</v>
      </c>
      <c r="W255" s="5">
        <f>+$P255*BI255</f>
        <v>0</v>
      </c>
      <c r="X255" s="5">
        <f>+$P255*BJ255</f>
        <v>0</v>
      </c>
      <c r="Y255" s="5">
        <f>+$P255*BK255</f>
        <v>0</v>
      </c>
      <c r="Z255" s="5">
        <f>+$P255*BL255</f>
        <v>0</v>
      </c>
      <c r="AA255" s="5">
        <f>+$P255*BM255</f>
        <v>0</v>
      </c>
      <c r="AB255" s="5">
        <f>+$P255*BN255</f>
        <v>0</v>
      </c>
      <c r="AC255" s="5">
        <v>0</v>
      </c>
      <c r="AD255" s="5">
        <f>+$AC255*BC255</f>
        <v>0</v>
      </c>
      <c r="AE255" s="5">
        <f>+$AC255*BD255</f>
        <v>0</v>
      </c>
      <c r="AF255" s="5">
        <f>+$AC255*BE255</f>
        <v>0</v>
      </c>
      <c r="AG255" s="5">
        <f>+$AC255*BF255</f>
        <v>0</v>
      </c>
      <c r="AH255" s="5">
        <f>+$AC255*BG255</f>
        <v>0</v>
      </c>
      <c r="AI255" s="5">
        <f>+$AC255*BH255</f>
        <v>0</v>
      </c>
      <c r="AJ255" s="5">
        <f>+$AC255*BI255</f>
        <v>0</v>
      </c>
      <c r="AK255" s="5">
        <f>+$AC255*BJ255</f>
        <v>0</v>
      </c>
      <c r="AL255" s="5">
        <f>+$AC255*BK255</f>
        <v>0</v>
      </c>
      <c r="AM255" s="5">
        <f>+$AC255*BL255</f>
        <v>0</v>
      </c>
      <c r="AN255" s="5">
        <f>+$AC255*BM255</f>
        <v>0</v>
      </c>
      <c r="AO255" s="5">
        <f>+$AC255*BN255</f>
        <v>0</v>
      </c>
      <c r="AP255" s="5">
        <f>+AC255+P255+C255</f>
        <v>0</v>
      </c>
      <c r="AQ255" s="1">
        <v>356.72626379496899</v>
      </c>
      <c r="AR255" s="1">
        <v>426.61111533780792</v>
      </c>
      <c r="AS255" s="1">
        <v>377.55396339419059</v>
      </c>
      <c r="AT255" s="1">
        <v>285.98259947420195</v>
      </c>
      <c r="AU255" s="1">
        <v>414.74287242147051</v>
      </c>
      <c r="AV255" s="1">
        <v>339.88132381017857</v>
      </c>
      <c r="AW255" s="1">
        <v>338.37551550905084</v>
      </c>
      <c r="AX255" s="1">
        <v>229.78842185111986</v>
      </c>
      <c r="AY255" s="1">
        <v>340.61540938222987</v>
      </c>
      <c r="AZ255" s="1">
        <v>296.63223565214071</v>
      </c>
      <c r="BA255" s="1">
        <v>302.8727567684287</v>
      </c>
      <c r="BB255" s="1">
        <v>295.8222374627025</v>
      </c>
      <c r="BC255" s="2">
        <v>8.9181565948742242E-2</v>
      </c>
      <c r="BD255" s="2">
        <v>0.10665277883445198</v>
      </c>
      <c r="BE255" s="2">
        <v>9.438849084854764E-2</v>
      </c>
      <c r="BF255" s="2">
        <v>7.149564986855049E-2</v>
      </c>
      <c r="BG255" s="2">
        <v>0.10368571810536763</v>
      </c>
      <c r="BH255" s="2">
        <v>8.4970330952544637E-2</v>
      </c>
      <c r="BI255" s="2">
        <v>8.4593878877262704E-2</v>
      </c>
      <c r="BJ255" s="2">
        <v>5.7447105462779965E-2</v>
      </c>
      <c r="BK255" s="2">
        <v>8.5153852345557474E-2</v>
      </c>
      <c r="BL255" s="2">
        <v>7.4158058913035174E-2</v>
      </c>
      <c r="BM255" s="2">
        <v>7.5718189192107169E-2</v>
      </c>
      <c r="BN255" s="2">
        <v>7.3955559365675619E-2</v>
      </c>
    </row>
    <row r="256" spans="1:66" x14ac:dyDescent="0.25">
      <c r="A256" s="8">
        <v>6708</v>
      </c>
      <c r="B256" s="8" t="s">
        <v>740</v>
      </c>
      <c r="C256" s="5">
        <v>500</v>
      </c>
      <c r="D256" s="5">
        <f>+$C256*BC256</f>
        <v>44.590782974371123</v>
      </c>
      <c r="E256" s="5">
        <f>+$C256*BD256</f>
        <v>53.32638941722599</v>
      </c>
      <c r="F256" s="5">
        <f>+$C256*BE256</f>
        <v>47.194245424273824</v>
      </c>
      <c r="G256" s="5">
        <f>+$C256*BF256</f>
        <v>35.747824934275243</v>
      </c>
      <c r="H256" s="5">
        <f>+$C256*BG256</f>
        <v>51.842859052683814</v>
      </c>
      <c r="I256" s="5">
        <f>+$C256*BH256</f>
        <v>42.485165476272321</v>
      </c>
      <c r="J256" s="5">
        <f>+$C256*BI256</f>
        <v>42.296939438631355</v>
      </c>
      <c r="K256" s="5">
        <f>+$C256*BJ256</f>
        <v>28.723552731389983</v>
      </c>
      <c r="L256" s="5">
        <f>+$C256*BK256</f>
        <v>42.576926172778734</v>
      </c>
      <c r="M256" s="5">
        <f>+$C256*BL256</f>
        <v>37.079029456517588</v>
      </c>
      <c r="N256" s="5">
        <f>+$C256*BM256</f>
        <v>37.859094596053588</v>
      </c>
      <c r="O256" s="5">
        <f>+$C256*BN256</f>
        <v>36.977779682837813</v>
      </c>
      <c r="P256" s="5">
        <v>0</v>
      </c>
      <c r="Q256" s="5">
        <f>+$P256*BC256</f>
        <v>0</v>
      </c>
      <c r="R256" s="5">
        <f>+$P256*BD256</f>
        <v>0</v>
      </c>
      <c r="S256" s="5">
        <f>+$P256*BE256</f>
        <v>0</v>
      </c>
      <c r="T256" s="5">
        <f>+$P256*BF256</f>
        <v>0</v>
      </c>
      <c r="U256" s="5">
        <f>+$P256*BG256</f>
        <v>0</v>
      </c>
      <c r="V256" s="5">
        <f>+$P256*BH256</f>
        <v>0</v>
      </c>
      <c r="W256" s="5">
        <f>+$P256*BI256</f>
        <v>0</v>
      </c>
      <c r="X256" s="5">
        <f>+$P256*BJ256</f>
        <v>0</v>
      </c>
      <c r="Y256" s="5">
        <f>+$P256*BK256</f>
        <v>0</v>
      </c>
      <c r="Z256" s="5">
        <f>+$P256*BL256</f>
        <v>0</v>
      </c>
      <c r="AA256" s="5">
        <f>+$P256*BM256</f>
        <v>0</v>
      </c>
      <c r="AB256" s="5">
        <f>+$P256*BN256</f>
        <v>0</v>
      </c>
      <c r="AC256" s="5">
        <v>0</v>
      </c>
      <c r="AD256" s="5">
        <f>+$AC256*BC256</f>
        <v>0</v>
      </c>
      <c r="AE256" s="5">
        <f>+$AC256*BD256</f>
        <v>0</v>
      </c>
      <c r="AF256" s="5">
        <f>+$AC256*BE256</f>
        <v>0</v>
      </c>
      <c r="AG256" s="5">
        <f>+$AC256*BF256</f>
        <v>0</v>
      </c>
      <c r="AH256" s="5">
        <f>+$AC256*BG256</f>
        <v>0</v>
      </c>
      <c r="AI256" s="5">
        <f>+$AC256*BH256</f>
        <v>0</v>
      </c>
      <c r="AJ256" s="5">
        <f>+$AC256*BI256</f>
        <v>0</v>
      </c>
      <c r="AK256" s="5">
        <f>+$AC256*BJ256</f>
        <v>0</v>
      </c>
      <c r="AL256" s="5">
        <f>+$AC256*BK256</f>
        <v>0</v>
      </c>
      <c r="AM256" s="5">
        <f>+$AC256*BL256</f>
        <v>0</v>
      </c>
      <c r="AN256" s="5">
        <f>+$AC256*BM256</f>
        <v>0</v>
      </c>
      <c r="AO256" s="5">
        <f>+$AC256*BN256</f>
        <v>0</v>
      </c>
      <c r="AP256" s="5">
        <f>+AC256+P256+C256</f>
        <v>500</v>
      </c>
      <c r="AQ256" s="1">
        <v>356.72626379496899</v>
      </c>
      <c r="AR256" s="1">
        <v>426.61111533780792</v>
      </c>
      <c r="AS256" s="1">
        <v>377.55396339419059</v>
      </c>
      <c r="AT256" s="1">
        <v>285.98259947420195</v>
      </c>
      <c r="AU256" s="1">
        <v>414.74287242147051</v>
      </c>
      <c r="AV256" s="1">
        <v>339.88132381017857</v>
      </c>
      <c r="AW256" s="1">
        <v>338.37551550905084</v>
      </c>
      <c r="AX256" s="1">
        <v>229.78842185111986</v>
      </c>
      <c r="AY256" s="1">
        <v>340.61540938222987</v>
      </c>
      <c r="AZ256" s="1">
        <v>296.63223565214071</v>
      </c>
      <c r="BA256" s="1">
        <v>302.8727567684287</v>
      </c>
      <c r="BB256" s="1">
        <v>295.8222374627025</v>
      </c>
      <c r="BC256" s="2">
        <v>8.9181565948742242E-2</v>
      </c>
      <c r="BD256" s="2">
        <v>0.10665277883445198</v>
      </c>
      <c r="BE256" s="2">
        <v>9.438849084854764E-2</v>
      </c>
      <c r="BF256" s="2">
        <v>7.149564986855049E-2</v>
      </c>
      <c r="BG256" s="2">
        <v>0.10368571810536763</v>
      </c>
      <c r="BH256" s="2">
        <v>8.4970330952544637E-2</v>
      </c>
      <c r="BI256" s="2">
        <v>8.4593878877262704E-2</v>
      </c>
      <c r="BJ256" s="2">
        <v>5.7447105462779965E-2</v>
      </c>
      <c r="BK256" s="2">
        <v>8.5153852345557474E-2</v>
      </c>
      <c r="BL256" s="2">
        <v>7.4158058913035174E-2</v>
      </c>
      <c r="BM256" s="2">
        <v>7.5718189192107169E-2</v>
      </c>
      <c r="BN256" s="2">
        <v>7.3955559365675619E-2</v>
      </c>
    </row>
    <row r="257" spans="1:66" x14ac:dyDescent="0.25">
      <c r="A257" s="8">
        <v>42008</v>
      </c>
      <c r="B257" s="8" t="s">
        <v>739</v>
      </c>
      <c r="C257" s="5">
        <v>0</v>
      </c>
      <c r="D257" s="5">
        <f>+$C257*BC257</f>
        <v>0</v>
      </c>
      <c r="E257" s="5">
        <f>+$C257*BD257</f>
        <v>0</v>
      </c>
      <c r="F257" s="5">
        <f>+$C257*BE257</f>
        <v>0</v>
      </c>
      <c r="G257" s="5">
        <f>+$C257*BF257</f>
        <v>0</v>
      </c>
      <c r="H257" s="5">
        <f>+$C257*BG257</f>
        <v>0</v>
      </c>
      <c r="I257" s="5">
        <f>+$C257*BH257</f>
        <v>0</v>
      </c>
      <c r="J257" s="5">
        <f>+$C257*BI257</f>
        <v>0</v>
      </c>
      <c r="K257" s="5">
        <f>+$C257*BJ257</f>
        <v>0</v>
      </c>
      <c r="L257" s="5">
        <f>+$C257*BK257</f>
        <v>0</v>
      </c>
      <c r="M257" s="5">
        <f>+$C257*BL257</f>
        <v>0</v>
      </c>
      <c r="N257" s="5">
        <f>+$C257*BM257</f>
        <v>0</v>
      </c>
      <c r="O257" s="5">
        <f>+$C257*BN257</f>
        <v>0</v>
      </c>
      <c r="P257" s="5">
        <v>3000</v>
      </c>
      <c r="Q257" s="5">
        <f>+$P257*BC257</f>
        <v>267.54469784622671</v>
      </c>
      <c r="R257" s="5">
        <f>+$P257*BD257</f>
        <v>319.95833650335595</v>
      </c>
      <c r="S257" s="5">
        <f>+$P257*BE257</f>
        <v>283.1654725456429</v>
      </c>
      <c r="T257" s="5">
        <f>+$P257*BF257</f>
        <v>214.48694960565146</v>
      </c>
      <c r="U257" s="5">
        <f>+$P257*BG257</f>
        <v>311.05715431610287</v>
      </c>
      <c r="V257" s="5">
        <f>+$P257*BH257</f>
        <v>254.91099285763391</v>
      </c>
      <c r="W257" s="5">
        <f>+$P257*BI257</f>
        <v>253.7816366317881</v>
      </c>
      <c r="X257" s="5">
        <f>+$P257*BJ257</f>
        <v>172.34131638833989</v>
      </c>
      <c r="Y257" s="5">
        <f>+$P257*BK257</f>
        <v>255.46155703667242</v>
      </c>
      <c r="Z257" s="5">
        <f>+$P257*BL257</f>
        <v>222.47417673910553</v>
      </c>
      <c r="AA257" s="5">
        <f>+$P257*BM257</f>
        <v>227.15456757632151</v>
      </c>
      <c r="AB257" s="5">
        <f>+$P257*BN257</f>
        <v>221.86667809702686</v>
      </c>
      <c r="AC257" s="5">
        <v>0</v>
      </c>
      <c r="AD257" s="5">
        <f>+$AC257*BC257</f>
        <v>0</v>
      </c>
      <c r="AE257" s="5">
        <f>+$AC257*BD257</f>
        <v>0</v>
      </c>
      <c r="AF257" s="5">
        <f>+$AC257*BE257</f>
        <v>0</v>
      </c>
      <c r="AG257" s="5">
        <f>+$AC257*BF257</f>
        <v>0</v>
      </c>
      <c r="AH257" s="5">
        <f>+$AC257*BG257</f>
        <v>0</v>
      </c>
      <c r="AI257" s="5">
        <f>+$AC257*BH257</f>
        <v>0</v>
      </c>
      <c r="AJ257" s="5">
        <f>+$AC257*BI257</f>
        <v>0</v>
      </c>
      <c r="AK257" s="5">
        <f>+$AC257*BJ257</f>
        <v>0</v>
      </c>
      <c r="AL257" s="5">
        <f>+$AC257*BK257</f>
        <v>0</v>
      </c>
      <c r="AM257" s="5">
        <f>+$AC257*BL257</f>
        <v>0</v>
      </c>
      <c r="AN257" s="5">
        <f>+$AC257*BM257</f>
        <v>0</v>
      </c>
      <c r="AO257" s="5">
        <f>+$AC257*BN257</f>
        <v>0</v>
      </c>
      <c r="AP257" s="5">
        <f>+AC257+P257+C257</f>
        <v>3000</v>
      </c>
      <c r="AQ257" s="1">
        <v>356.72626379496899</v>
      </c>
      <c r="AR257" s="1">
        <v>426.61111533780792</v>
      </c>
      <c r="AS257" s="1">
        <v>377.55396339419059</v>
      </c>
      <c r="AT257" s="1">
        <v>285.98259947420195</v>
      </c>
      <c r="AU257" s="1">
        <v>414.74287242147051</v>
      </c>
      <c r="AV257" s="1">
        <v>339.88132381017857</v>
      </c>
      <c r="AW257" s="1">
        <v>338.37551550905084</v>
      </c>
      <c r="AX257" s="1">
        <v>229.78842185111986</v>
      </c>
      <c r="AY257" s="1">
        <v>340.61540938222987</v>
      </c>
      <c r="AZ257" s="1">
        <v>296.63223565214071</v>
      </c>
      <c r="BA257" s="1">
        <v>302.8727567684287</v>
      </c>
      <c r="BB257" s="1">
        <v>295.8222374627025</v>
      </c>
      <c r="BC257" s="2">
        <v>8.9181565948742242E-2</v>
      </c>
      <c r="BD257" s="2">
        <v>0.10665277883445198</v>
      </c>
      <c r="BE257" s="2">
        <v>9.438849084854764E-2</v>
      </c>
      <c r="BF257" s="2">
        <v>7.149564986855049E-2</v>
      </c>
      <c r="BG257" s="2">
        <v>0.10368571810536763</v>
      </c>
      <c r="BH257" s="2">
        <v>8.4970330952544637E-2</v>
      </c>
      <c r="BI257" s="2">
        <v>8.4593878877262704E-2</v>
      </c>
      <c r="BJ257" s="2">
        <v>5.7447105462779965E-2</v>
      </c>
      <c r="BK257" s="2">
        <v>8.5153852345557474E-2</v>
      </c>
      <c r="BL257" s="2">
        <v>7.4158058913035174E-2</v>
      </c>
      <c r="BM257" s="2">
        <v>7.5718189192107169E-2</v>
      </c>
      <c r="BN257" s="2">
        <v>7.3955559365675619E-2</v>
      </c>
    </row>
    <row r="258" spans="1:66" x14ac:dyDescent="0.25">
      <c r="A258" s="8">
        <v>5288</v>
      </c>
      <c r="B258" s="8" t="s">
        <v>738</v>
      </c>
      <c r="C258" s="5">
        <v>0</v>
      </c>
      <c r="D258" s="5">
        <f>+$C258*BC258</f>
        <v>0</v>
      </c>
      <c r="E258" s="5">
        <f>+$C258*BD258</f>
        <v>0</v>
      </c>
      <c r="F258" s="5">
        <f>+$C258*BE258</f>
        <v>0</v>
      </c>
      <c r="G258" s="5">
        <f>+$C258*BF258</f>
        <v>0</v>
      </c>
      <c r="H258" s="5">
        <f>+$C258*BG258</f>
        <v>0</v>
      </c>
      <c r="I258" s="5">
        <f>+$C258*BH258</f>
        <v>0</v>
      </c>
      <c r="J258" s="5">
        <f>+$C258*BI258</f>
        <v>0</v>
      </c>
      <c r="K258" s="5">
        <f>+$C258*BJ258</f>
        <v>0</v>
      </c>
      <c r="L258" s="5">
        <f>+$C258*BK258</f>
        <v>0</v>
      </c>
      <c r="M258" s="5">
        <f>+$C258*BL258</f>
        <v>0</v>
      </c>
      <c r="N258" s="5">
        <f>+$C258*BM258</f>
        <v>0</v>
      </c>
      <c r="O258" s="5">
        <f>+$C258*BN258</f>
        <v>0</v>
      </c>
      <c r="P258" s="5">
        <v>0</v>
      </c>
      <c r="Q258" s="5">
        <f>+$P258*BC258</f>
        <v>0</v>
      </c>
      <c r="R258" s="5">
        <f>+$P258*BD258</f>
        <v>0</v>
      </c>
      <c r="S258" s="5">
        <f>+$P258*BE258</f>
        <v>0</v>
      </c>
      <c r="T258" s="5">
        <f>+$P258*BF258</f>
        <v>0</v>
      </c>
      <c r="U258" s="5">
        <f>+$P258*BG258</f>
        <v>0</v>
      </c>
      <c r="V258" s="5">
        <f>+$P258*BH258</f>
        <v>0</v>
      </c>
      <c r="W258" s="5">
        <f>+$P258*BI258</f>
        <v>0</v>
      </c>
      <c r="X258" s="5">
        <f>+$P258*BJ258</f>
        <v>0</v>
      </c>
      <c r="Y258" s="5">
        <f>+$P258*BK258</f>
        <v>0</v>
      </c>
      <c r="Z258" s="5">
        <f>+$P258*BL258</f>
        <v>0</v>
      </c>
      <c r="AA258" s="5">
        <f>+$P258*BM258</f>
        <v>0</v>
      </c>
      <c r="AB258" s="5">
        <f>+$P258*BN258</f>
        <v>0</v>
      </c>
      <c r="AC258" s="5">
        <v>0</v>
      </c>
      <c r="AD258" s="5">
        <f>+$AC258*BC258</f>
        <v>0</v>
      </c>
      <c r="AE258" s="5">
        <f>+$AC258*BD258</f>
        <v>0</v>
      </c>
      <c r="AF258" s="5">
        <f>+$AC258*BE258</f>
        <v>0</v>
      </c>
      <c r="AG258" s="5">
        <f>+$AC258*BF258</f>
        <v>0</v>
      </c>
      <c r="AH258" s="5">
        <f>+$AC258*BG258</f>
        <v>0</v>
      </c>
      <c r="AI258" s="5">
        <f>+$AC258*BH258</f>
        <v>0</v>
      </c>
      <c r="AJ258" s="5">
        <f>+$AC258*BI258</f>
        <v>0</v>
      </c>
      <c r="AK258" s="5">
        <f>+$AC258*BJ258</f>
        <v>0</v>
      </c>
      <c r="AL258" s="5">
        <f>+$AC258*BK258</f>
        <v>0</v>
      </c>
      <c r="AM258" s="5">
        <f>+$AC258*BL258</f>
        <v>0</v>
      </c>
      <c r="AN258" s="5">
        <f>+$AC258*BM258</f>
        <v>0</v>
      </c>
      <c r="AO258" s="5">
        <f>+$AC258*BN258</f>
        <v>0</v>
      </c>
      <c r="AP258" s="5">
        <f>+AC258+P258+C258</f>
        <v>0</v>
      </c>
      <c r="AQ258" s="1">
        <v>356.72626379496899</v>
      </c>
      <c r="AR258" s="1">
        <v>426.61111533780792</v>
      </c>
      <c r="AS258" s="1">
        <v>377.55396339419059</v>
      </c>
      <c r="AT258" s="1">
        <v>285.98259947420195</v>
      </c>
      <c r="AU258" s="1">
        <v>414.74287242147051</v>
      </c>
      <c r="AV258" s="1">
        <v>339.88132381017857</v>
      </c>
      <c r="AW258" s="1">
        <v>338.37551550905084</v>
      </c>
      <c r="AX258" s="1">
        <v>229.78842185111986</v>
      </c>
      <c r="AY258" s="1">
        <v>340.61540938222987</v>
      </c>
      <c r="AZ258" s="1">
        <v>296.63223565214071</v>
      </c>
      <c r="BA258" s="1">
        <v>302.8727567684287</v>
      </c>
      <c r="BB258" s="1">
        <v>295.8222374627025</v>
      </c>
      <c r="BC258" s="2">
        <v>8.9181565948742242E-2</v>
      </c>
      <c r="BD258" s="2">
        <v>0.10665277883445198</v>
      </c>
      <c r="BE258" s="2">
        <v>9.438849084854764E-2</v>
      </c>
      <c r="BF258" s="2">
        <v>7.149564986855049E-2</v>
      </c>
      <c r="BG258" s="2">
        <v>0.10368571810536763</v>
      </c>
      <c r="BH258" s="2">
        <v>8.4970330952544637E-2</v>
      </c>
      <c r="BI258" s="2">
        <v>8.4593878877262704E-2</v>
      </c>
      <c r="BJ258" s="2">
        <v>5.7447105462779965E-2</v>
      </c>
      <c r="BK258" s="2">
        <v>8.5153852345557474E-2</v>
      </c>
      <c r="BL258" s="2">
        <v>7.4158058913035174E-2</v>
      </c>
      <c r="BM258" s="2">
        <v>7.5718189192107169E-2</v>
      </c>
      <c r="BN258" s="2">
        <v>7.3955559365675619E-2</v>
      </c>
    </row>
    <row r="259" spans="1:66" x14ac:dyDescent="0.25">
      <c r="A259" s="8">
        <v>2789</v>
      </c>
      <c r="B259" s="8" t="s">
        <v>737</v>
      </c>
      <c r="C259" s="5">
        <v>5000</v>
      </c>
      <c r="D259" s="5">
        <f>+$C259*BC259</f>
        <v>445.9078297437112</v>
      </c>
      <c r="E259" s="5">
        <f>+$C259*BD259</f>
        <v>533.26389417225994</v>
      </c>
      <c r="F259" s="5">
        <f>+$C259*BE259</f>
        <v>471.94245424273822</v>
      </c>
      <c r="G259" s="5">
        <f>+$C259*BF259</f>
        <v>357.47824934275246</v>
      </c>
      <c r="H259" s="5">
        <f>+$C259*BG259</f>
        <v>518.42859052683809</v>
      </c>
      <c r="I259" s="5">
        <f>+$C259*BH259</f>
        <v>424.85165476272317</v>
      </c>
      <c r="J259" s="5">
        <f>+$C259*BI259</f>
        <v>422.96939438631352</v>
      </c>
      <c r="K259" s="5">
        <f>+$C259*BJ259</f>
        <v>287.23552731389981</v>
      </c>
      <c r="L259" s="5">
        <f>+$C259*BK259</f>
        <v>425.76926172778735</v>
      </c>
      <c r="M259" s="5">
        <f>+$C259*BL259</f>
        <v>370.79029456517588</v>
      </c>
      <c r="N259" s="5">
        <f>+$C259*BM259</f>
        <v>378.59094596053586</v>
      </c>
      <c r="O259" s="5">
        <f>+$C259*BN259</f>
        <v>369.77779682837809</v>
      </c>
      <c r="P259" s="5">
        <v>0</v>
      </c>
      <c r="Q259" s="5">
        <f>+$P259*BC259</f>
        <v>0</v>
      </c>
      <c r="R259" s="5">
        <f>+$P259*BD259</f>
        <v>0</v>
      </c>
      <c r="S259" s="5">
        <f>+$P259*BE259</f>
        <v>0</v>
      </c>
      <c r="T259" s="5">
        <f>+$P259*BF259</f>
        <v>0</v>
      </c>
      <c r="U259" s="5">
        <f>+$P259*BG259</f>
        <v>0</v>
      </c>
      <c r="V259" s="5">
        <f>+$P259*BH259</f>
        <v>0</v>
      </c>
      <c r="W259" s="5">
        <f>+$P259*BI259</f>
        <v>0</v>
      </c>
      <c r="X259" s="5">
        <f>+$P259*BJ259</f>
        <v>0</v>
      </c>
      <c r="Y259" s="5">
        <f>+$P259*BK259</f>
        <v>0</v>
      </c>
      <c r="Z259" s="5">
        <f>+$P259*BL259</f>
        <v>0</v>
      </c>
      <c r="AA259" s="5">
        <f>+$P259*BM259</f>
        <v>0</v>
      </c>
      <c r="AB259" s="5">
        <f>+$P259*BN259</f>
        <v>0</v>
      </c>
      <c r="AC259" s="5">
        <v>0</v>
      </c>
      <c r="AD259" s="5">
        <f>+$AC259*BC259</f>
        <v>0</v>
      </c>
      <c r="AE259" s="5">
        <f>+$AC259*BD259</f>
        <v>0</v>
      </c>
      <c r="AF259" s="5">
        <f>+$AC259*BE259</f>
        <v>0</v>
      </c>
      <c r="AG259" s="5">
        <f>+$AC259*BF259</f>
        <v>0</v>
      </c>
      <c r="AH259" s="5">
        <f>+$AC259*BG259</f>
        <v>0</v>
      </c>
      <c r="AI259" s="5">
        <f>+$AC259*BH259</f>
        <v>0</v>
      </c>
      <c r="AJ259" s="5">
        <f>+$AC259*BI259</f>
        <v>0</v>
      </c>
      <c r="AK259" s="5">
        <f>+$AC259*BJ259</f>
        <v>0</v>
      </c>
      <c r="AL259" s="5">
        <f>+$AC259*BK259</f>
        <v>0</v>
      </c>
      <c r="AM259" s="5">
        <f>+$AC259*BL259</f>
        <v>0</v>
      </c>
      <c r="AN259" s="5">
        <f>+$AC259*BM259</f>
        <v>0</v>
      </c>
      <c r="AO259" s="5">
        <f>+$AC259*BN259</f>
        <v>0</v>
      </c>
      <c r="AP259" s="5">
        <f>+AC259+P259+C259</f>
        <v>5000</v>
      </c>
      <c r="AQ259" s="1">
        <v>321.05363741547205</v>
      </c>
      <c r="AR259" s="1">
        <v>383.95000380402712</v>
      </c>
      <c r="AS259" s="1">
        <v>339.79856705477152</v>
      </c>
      <c r="AT259" s="1">
        <v>257.38433952678179</v>
      </c>
      <c r="AU259" s="1">
        <v>373.26858517932345</v>
      </c>
      <c r="AV259" s="1">
        <v>305.89319142916071</v>
      </c>
      <c r="AW259" s="1">
        <v>304.53796395814572</v>
      </c>
      <c r="AX259" s="1">
        <v>206.80957966600786</v>
      </c>
      <c r="AY259" s="1">
        <v>306.55386844400692</v>
      </c>
      <c r="AZ259" s="1">
        <v>266.96901208692663</v>
      </c>
      <c r="BA259" s="1">
        <v>272.58548109158579</v>
      </c>
      <c r="BB259" s="1">
        <v>266.2400137164322</v>
      </c>
      <c r="BC259" s="2">
        <v>8.9181565948742242E-2</v>
      </c>
      <c r="BD259" s="2">
        <v>0.10665277883445198</v>
      </c>
      <c r="BE259" s="2">
        <v>9.438849084854764E-2</v>
      </c>
      <c r="BF259" s="2">
        <v>7.149564986855049E-2</v>
      </c>
      <c r="BG259" s="2">
        <v>0.10368571810536763</v>
      </c>
      <c r="BH259" s="2">
        <v>8.4970330952544637E-2</v>
      </c>
      <c r="BI259" s="2">
        <v>8.4593878877262704E-2</v>
      </c>
      <c r="BJ259" s="2">
        <v>5.7447105462779965E-2</v>
      </c>
      <c r="BK259" s="2">
        <v>8.5153852345557474E-2</v>
      </c>
      <c r="BL259" s="2">
        <v>7.4158058913035174E-2</v>
      </c>
      <c r="BM259" s="2">
        <v>7.5718189192107169E-2</v>
      </c>
      <c r="BN259" s="2">
        <v>7.3955559365675619E-2</v>
      </c>
    </row>
    <row r="260" spans="1:66" x14ac:dyDescent="0.25">
      <c r="A260" s="8">
        <v>3641</v>
      </c>
      <c r="B260" s="8" t="s">
        <v>736</v>
      </c>
      <c r="C260" s="5">
        <v>3500</v>
      </c>
      <c r="D260" s="5">
        <f>+$C260*BC260</f>
        <v>312.13548082059782</v>
      </c>
      <c r="E260" s="5">
        <f>+$C260*BD260</f>
        <v>373.28472592058193</v>
      </c>
      <c r="F260" s="5">
        <f>+$C260*BE260</f>
        <v>330.35971796991674</v>
      </c>
      <c r="G260" s="5">
        <f>+$C260*BF260</f>
        <v>250.23477453992672</v>
      </c>
      <c r="H260" s="5">
        <f>+$C260*BG260</f>
        <v>362.90001336878669</v>
      </c>
      <c r="I260" s="5">
        <f>+$C260*BH260</f>
        <v>297.39615833390621</v>
      </c>
      <c r="J260" s="5">
        <f>+$C260*BI260</f>
        <v>296.07857607041944</v>
      </c>
      <c r="K260" s="5">
        <f>+$C260*BJ260</f>
        <v>201.06486911972988</v>
      </c>
      <c r="L260" s="5">
        <f>+$C260*BK260</f>
        <v>298.03848320945116</v>
      </c>
      <c r="M260" s="5">
        <f>+$C260*BL260</f>
        <v>259.55320619562309</v>
      </c>
      <c r="N260" s="5">
        <f>+$C260*BM260</f>
        <v>265.01366217237506</v>
      </c>
      <c r="O260" s="5">
        <f>+$C260*BN260</f>
        <v>258.84445777986468</v>
      </c>
      <c r="P260" s="5">
        <v>0</v>
      </c>
      <c r="Q260" s="5">
        <f>+$P260*BC260</f>
        <v>0</v>
      </c>
      <c r="R260" s="5">
        <f>+$P260*BD260</f>
        <v>0</v>
      </c>
      <c r="S260" s="5">
        <f>+$P260*BE260</f>
        <v>0</v>
      </c>
      <c r="T260" s="5">
        <f>+$P260*BF260</f>
        <v>0</v>
      </c>
      <c r="U260" s="5">
        <f>+$P260*BG260</f>
        <v>0</v>
      </c>
      <c r="V260" s="5">
        <f>+$P260*BH260</f>
        <v>0</v>
      </c>
      <c r="W260" s="5">
        <f>+$P260*BI260</f>
        <v>0</v>
      </c>
      <c r="X260" s="5">
        <f>+$P260*BJ260</f>
        <v>0</v>
      </c>
      <c r="Y260" s="5">
        <f>+$P260*BK260</f>
        <v>0</v>
      </c>
      <c r="Z260" s="5">
        <f>+$P260*BL260</f>
        <v>0</v>
      </c>
      <c r="AA260" s="5">
        <f>+$P260*BM260</f>
        <v>0</v>
      </c>
      <c r="AB260" s="5">
        <f>+$P260*BN260</f>
        <v>0</v>
      </c>
      <c r="AC260" s="5">
        <v>0</v>
      </c>
      <c r="AD260" s="5">
        <f>+$AC260*BC260</f>
        <v>0</v>
      </c>
      <c r="AE260" s="5">
        <f>+$AC260*BD260</f>
        <v>0</v>
      </c>
      <c r="AF260" s="5">
        <f>+$AC260*BE260</f>
        <v>0</v>
      </c>
      <c r="AG260" s="5">
        <f>+$AC260*BF260</f>
        <v>0</v>
      </c>
      <c r="AH260" s="5">
        <f>+$AC260*BG260</f>
        <v>0</v>
      </c>
      <c r="AI260" s="5">
        <f>+$AC260*BH260</f>
        <v>0</v>
      </c>
      <c r="AJ260" s="5">
        <f>+$AC260*BI260</f>
        <v>0</v>
      </c>
      <c r="AK260" s="5">
        <f>+$AC260*BJ260</f>
        <v>0</v>
      </c>
      <c r="AL260" s="5">
        <f>+$AC260*BK260</f>
        <v>0</v>
      </c>
      <c r="AM260" s="5">
        <f>+$AC260*BL260</f>
        <v>0</v>
      </c>
      <c r="AN260" s="5">
        <f>+$AC260*BM260</f>
        <v>0</v>
      </c>
      <c r="AO260" s="5">
        <f>+$AC260*BN260</f>
        <v>0</v>
      </c>
      <c r="AP260" s="5">
        <f>+AC260+P260+C260</f>
        <v>3500</v>
      </c>
      <c r="AQ260" s="1">
        <v>312.13548082059782</v>
      </c>
      <c r="AR260" s="1">
        <v>373.28472592058193</v>
      </c>
      <c r="AS260" s="1">
        <v>330.35971796991674</v>
      </c>
      <c r="AT260" s="1">
        <v>250.23477453992672</v>
      </c>
      <c r="AU260" s="1">
        <v>362.90001336878669</v>
      </c>
      <c r="AV260" s="1">
        <v>297.39615833390621</v>
      </c>
      <c r="AW260" s="1">
        <v>296.07857607041944</v>
      </c>
      <c r="AX260" s="1">
        <v>201.06486911972988</v>
      </c>
      <c r="AY260" s="1">
        <v>298.03848320945116</v>
      </c>
      <c r="AZ260" s="1">
        <v>259.55320619562309</v>
      </c>
      <c r="BA260" s="1">
        <v>265.01366217237506</v>
      </c>
      <c r="BB260" s="1">
        <v>258.84445777986468</v>
      </c>
      <c r="BC260" s="2">
        <v>8.9181565948742242E-2</v>
      </c>
      <c r="BD260" s="2">
        <v>0.10665277883445198</v>
      </c>
      <c r="BE260" s="2">
        <v>9.438849084854764E-2</v>
      </c>
      <c r="BF260" s="2">
        <v>7.149564986855049E-2</v>
      </c>
      <c r="BG260" s="2">
        <v>0.10368571810536763</v>
      </c>
      <c r="BH260" s="2">
        <v>8.4970330952544637E-2</v>
      </c>
      <c r="BI260" s="2">
        <v>8.4593878877262704E-2</v>
      </c>
      <c r="BJ260" s="2">
        <v>5.7447105462779965E-2</v>
      </c>
      <c r="BK260" s="2">
        <v>8.5153852345557474E-2</v>
      </c>
      <c r="BL260" s="2">
        <v>7.4158058913035174E-2</v>
      </c>
      <c r="BM260" s="2">
        <v>7.5718189192107169E-2</v>
      </c>
      <c r="BN260" s="2">
        <v>7.3955559365675619E-2</v>
      </c>
    </row>
    <row r="261" spans="1:66" x14ac:dyDescent="0.25">
      <c r="A261" s="8">
        <v>4014</v>
      </c>
      <c r="B261" s="8" t="s">
        <v>735</v>
      </c>
      <c r="C261" s="5">
        <v>0</v>
      </c>
      <c r="D261" s="5">
        <f>+$C261*BC261</f>
        <v>0</v>
      </c>
      <c r="E261" s="5">
        <f>+$C261*BD261</f>
        <v>0</v>
      </c>
      <c r="F261" s="5">
        <f>+$C261*BE261</f>
        <v>0</v>
      </c>
      <c r="G261" s="5">
        <f>+$C261*BF261</f>
        <v>0</v>
      </c>
      <c r="H261" s="5">
        <f>+$C261*BG261</f>
        <v>0</v>
      </c>
      <c r="I261" s="5">
        <f>+$C261*BH261</f>
        <v>0</v>
      </c>
      <c r="J261" s="5">
        <f>+$C261*BI261</f>
        <v>0</v>
      </c>
      <c r="K261" s="5">
        <f>+$C261*BJ261</f>
        <v>0</v>
      </c>
      <c r="L261" s="5">
        <f>+$C261*BK261</f>
        <v>0</v>
      </c>
      <c r="M261" s="5">
        <f>+$C261*BL261</f>
        <v>0</v>
      </c>
      <c r="N261" s="5">
        <f>+$C261*BM261</f>
        <v>0</v>
      </c>
      <c r="O261" s="5">
        <f>+$C261*BN261</f>
        <v>0</v>
      </c>
      <c r="P261" s="5">
        <v>3000</v>
      </c>
      <c r="Q261" s="5">
        <f>+$P261*BC261</f>
        <v>267.54469784622671</v>
      </c>
      <c r="R261" s="5">
        <f>+$P261*BD261</f>
        <v>319.95833650335595</v>
      </c>
      <c r="S261" s="5">
        <f>+$P261*BE261</f>
        <v>283.1654725456429</v>
      </c>
      <c r="T261" s="5">
        <f>+$P261*BF261</f>
        <v>214.48694960565146</v>
      </c>
      <c r="U261" s="5">
        <f>+$P261*BG261</f>
        <v>311.05715431610287</v>
      </c>
      <c r="V261" s="5">
        <f>+$P261*BH261</f>
        <v>254.91099285763391</v>
      </c>
      <c r="W261" s="5">
        <f>+$P261*BI261</f>
        <v>253.7816366317881</v>
      </c>
      <c r="X261" s="5">
        <f>+$P261*BJ261</f>
        <v>172.34131638833989</v>
      </c>
      <c r="Y261" s="5">
        <f>+$P261*BK261</f>
        <v>255.46155703667242</v>
      </c>
      <c r="Z261" s="5">
        <f>+$P261*BL261</f>
        <v>222.47417673910553</v>
      </c>
      <c r="AA261" s="5">
        <f>+$P261*BM261</f>
        <v>227.15456757632151</v>
      </c>
      <c r="AB261" s="5">
        <f>+$P261*BN261</f>
        <v>221.86667809702686</v>
      </c>
      <c r="AC261" s="5">
        <v>0</v>
      </c>
      <c r="AD261" s="5">
        <f>+$AC261*BC261</f>
        <v>0</v>
      </c>
      <c r="AE261" s="5">
        <f>+$AC261*BD261</f>
        <v>0</v>
      </c>
      <c r="AF261" s="5">
        <f>+$AC261*BE261</f>
        <v>0</v>
      </c>
      <c r="AG261" s="5">
        <f>+$AC261*BF261</f>
        <v>0</v>
      </c>
      <c r="AH261" s="5">
        <f>+$AC261*BG261</f>
        <v>0</v>
      </c>
      <c r="AI261" s="5">
        <f>+$AC261*BH261</f>
        <v>0</v>
      </c>
      <c r="AJ261" s="5">
        <f>+$AC261*BI261</f>
        <v>0</v>
      </c>
      <c r="AK261" s="5">
        <f>+$AC261*BJ261</f>
        <v>0</v>
      </c>
      <c r="AL261" s="5">
        <f>+$AC261*BK261</f>
        <v>0</v>
      </c>
      <c r="AM261" s="5">
        <f>+$AC261*BL261</f>
        <v>0</v>
      </c>
      <c r="AN261" s="5">
        <f>+$AC261*BM261</f>
        <v>0</v>
      </c>
      <c r="AO261" s="5">
        <f>+$AC261*BN261</f>
        <v>0</v>
      </c>
      <c r="AP261" s="5">
        <f>+AC261+P261+C261</f>
        <v>3000</v>
      </c>
      <c r="AQ261" s="1">
        <v>312.13548082059782</v>
      </c>
      <c r="AR261" s="1">
        <v>373.28472592058193</v>
      </c>
      <c r="AS261" s="1">
        <v>330.35971796991674</v>
      </c>
      <c r="AT261" s="1">
        <v>250.23477453992672</v>
      </c>
      <c r="AU261" s="1">
        <v>362.90001336878669</v>
      </c>
      <c r="AV261" s="1">
        <v>297.39615833390621</v>
      </c>
      <c r="AW261" s="1">
        <v>296.07857607041944</v>
      </c>
      <c r="AX261" s="1">
        <v>201.06486911972988</v>
      </c>
      <c r="AY261" s="1">
        <v>298.03848320945116</v>
      </c>
      <c r="AZ261" s="1">
        <v>259.55320619562309</v>
      </c>
      <c r="BA261" s="1">
        <v>265.01366217237506</v>
      </c>
      <c r="BB261" s="1">
        <v>258.84445777986468</v>
      </c>
      <c r="BC261" s="2">
        <v>8.9181565948742242E-2</v>
      </c>
      <c r="BD261" s="2">
        <v>0.10665277883445198</v>
      </c>
      <c r="BE261" s="2">
        <v>9.438849084854764E-2</v>
      </c>
      <c r="BF261" s="2">
        <v>7.149564986855049E-2</v>
      </c>
      <c r="BG261" s="2">
        <v>0.10368571810536763</v>
      </c>
      <c r="BH261" s="2">
        <v>8.4970330952544637E-2</v>
      </c>
      <c r="BI261" s="2">
        <v>8.4593878877262704E-2</v>
      </c>
      <c r="BJ261" s="2">
        <v>5.7447105462779965E-2</v>
      </c>
      <c r="BK261" s="2">
        <v>8.5153852345557474E-2</v>
      </c>
      <c r="BL261" s="2">
        <v>7.4158058913035174E-2</v>
      </c>
      <c r="BM261" s="2">
        <v>7.5718189192107169E-2</v>
      </c>
      <c r="BN261" s="2">
        <v>7.3955559365675619E-2</v>
      </c>
    </row>
    <row r="262" spans="1:66" x14ac:dyDescent="0.25">
      <c r="A262" s="8">
        <v>4227</v>
      </c>
      <c r="B262" s="8" t="s">
        <v>734</v>
      </c>
      <c r="C262" s="5">
        <v>3500</v>
      </c>
      <c r="D262" s="5">
        <f>+$C262*BC262</f>
        <v>312.13548082059782</v>
      </c>
      <c r="E262" s="5">
        <f>+$C262*BD262</f>
        <v>373.28472592058193</v>
      </c>
      <c r="F262" s="5">
        <f>+$C262*BE262</f>
        <v>330.35971796991674</v>
      </c>
      <c r="G262" s="5">
        <f>+$C262*BF262</f>
        <v>250.23477453992672</v>
      </c>
      <c r="H262" s="5">
        <f>+$C262*BG262</f>
        <v>362.90001336878669</v>
      </c>
      <c r="I262" s="5">
        <f>+$C262*BH262</f>
        <v>297.39615833390621</v>
      </c>
      <c r="J262" s="5">
        <f>+$C262*BI262</f>
        <v>296.07857607041944</v>
      </c>
      <c r="K262" s="5">
        <f>+$C262*BJ262</f>
        <v>201.06486911972988</v>
      </c>
      <c r="L262" s="5">
        <f>+$C262*BK262</f>
        <v>298.03848320945116</v>
      </c>
      <c r="M262" s="5">
        <f>+$C262*BL262</f>
        <v>259.55320619562309</v>
      </c>
      <c r="N262" s="5">
        <f>+$C262*BM262</f>
        <v>265.01366217237506</v>
      </c>
      <c r="O262" s="5">
        <f>+$C262*BN262</f>
        <v>258.84445777986468</v>
      </c>
      <c r="P262" s="5">
        <v>0</v>
      </c>
      <c r="Q262" s="5">
        <f>+$P262*BC262</f>
        <v>0</v>
      </c>
      <c r="R262" s="5">
        <f>+$P262*BD262</f>
        <v>0</v>
      </c>
      <c r="S262" s="5">
        <f>+$P262*BE262</f>
        <v>0</v>
      </c>
      <c r="T262" s="5">
        <f>+$P262*BF262</f>
        <v>0</v>
      </c>
      <c r="U262" s="5">
        <f>+$P262*BG262</f>
        <v>0</v>
      </c>
      <c r="V262" s="5">
        <f>+$P262*BH262</f>
        <v>0</v>
      </c>
      <c r="W262" s="5">
        <f>+$P262*BI262</f>
        <v>0</v>
      </c>
      <c r="X262" s="5">
        <f>+$P262*BJ262</f>
        <v>0</v>
      </c>
      <c r="Y262" s="5">
        <f>+$P262*BK262</f>
        <v>0</v>
      </c>
      <c r="Z262" s="5">
        <f>+$P262*BL262</f>
        <v>0</v>
      </c>
      <c r="AA262" s="5">
        <f>+$P262*BM262</f>
        <v>0</v>
      </c>
      <c r="AB262" s="5">
        <f>+$P262*BN262</f>
        <v>0</v>
      </c>
      <c r="AC262" s="5">
        <v>0</v>
      </c>
      <c r="AD262" s="5">
        <f>+$AC262*BC262</f>
        <v>0</v>
      </c>
      <c r="AE262" s="5">
        <f>+$AC262*BD262</f>
        <v>0</v>
      </c>
      <c r="AF262" s="5">
        <f>+$AC262*BE262</f>
        <v>0</v>
      </c>
      <c r="AG262" s="5">
        <f>+$AC262*BF262</f>
        <v>0</v>
      </c>
      <c r="AH262" s="5">
        <f>+$AC262*BG262</f>
        <v>0</v>
      </c>
      <c r="AI262" s="5">
        <f>+$AC262*BH262</f>
        <v>0</v>
      </c>
      <c r="AJ262" s="5">
        <f>+$AC262*BI262</f>
        <v>0</v>
      </c>
      <c r="AK262" s="5">
        <f>+$AC262*BJ262</f>
        <v>0</v>
      </c>
      <c r="AL262" s="5">
        <f>+$AC262*BK262</f>
        <v>0</v>
      </c>
      <c r="AM262" s="5">
        <f>+$AC262*BL262</f>
        <v>0</v>
      </c>
      <c r="AN262" s="5">
        <f>+$AC262*BM262</f>
        <v>0</v>
      </c>
      <c r="AO262" s="5">
        <f>+$AC262*BN262</f>
        <v>0</v>
      </c>
      <c r="AP262" s="5">
        <f>+AC262+P262+C262</f>
        <v>3500</v>
      </c>
      <c r="AQ262" s="1">
        <v>312.13548082059782</v>
      </c>
      <c r="AR262" s="1">
        <v>373.28472592058193</v>
      </c>
      <c r="AS262" s="1">
        <v>330.35971796991674</v>
      </c>
      <c r="AT262" s="1">
        <v>250.23477453992672</v>
      </c>
      <c r="AU262" s="1">
        <v>362.90001336878669</v>
      </c>
      <c r="AV262" s="1">
        <v>297.39615833390621</v>
      </c>
      <c r="AW262" s="1">
        <v>296.07857607041944</v>
      </c>
      <c r="AX262" s="1">
        <v>201.06486911972988</v>
      </c>
      <c r="AY262" s="1">
        <v>298.03848320945116</v>
      </c>
      <c r="AZ262" s="1">
        <v>259.55320619562309</v>
      </c>
      <c r="BA262" s="1">
        <v>265.01366217237506</v>
      </c>
      <c r="BB262" s="1">
        <v>258.84445777986468</v>
      </c>
      <c r="BC262" s="2">
        <v>8.9181565948742242E-2</v>
      </c>
      <c r="BD262" s="2">
        <v>0.10665277883445198</v>
      </c>
      <c r="BE262" s="2">
        <v>9.438849084854764E-2</v>
      </c>
      <c r="BF262" s="2">
        <v>7.149564986855049E-2</v>
      </c>
      <c r="BG262" s="2">
        <v>0.10368571810536763</v>
      </c>
      <c r="BH262" s="2">
        <v>8.4970330952544637E-2</v>
      </c>
      <c r="BI262" s="2">
        <v>8.4593878877262704E-2</v>
      </c>
      <c r="BJ262" s="2">
        <v>5.7447105462779965E-2</v>
      </c>
      <c r="BK262" s="2">
        <v>8.5153852345557474E-2</v>
      </c>
      <c r="BL262" s="2">
        <v>7.4158058913035174E-2</v>
      </c>
      <c r="BM262" s="2">
        <v>7.5718189192107169E-2</v>
      </c>
      <c r="BN262" s="2">
        <v>7.3955559365675619E-2</v>
      </c>
    </row>
    <row r="263" spans="1:66" x14ac:dyDescent="0.25">
      <c r="A263" s="8">
        <v>6632</v>
      </c>
      <c r="B263" s="8" t="s">
        <v>733</v>
      </c>
      <c r="C263" s="5">
        <v>3500</v>
      </c>
      <c r="D263" s="5">
        <f>+$C263*BC263</f>
        <v>312.13548082059782</v>
      </c>
      <c r="E263" s="5">
        <f>+$C263*BD263</f>
        <v>373.28472592058193</v>
      </c>
      <c r="F263" s="5">
        <f>+$C263*BE263</f>
        <v>330.35971796991674</v>
      </c>
      <c r="G263" s="5">
        <f>+$C263*BF263</f>
        <v>250.23477453992672</v>
      </c>
      <c r="H263" s="5">
        <f>+$C263*BG263</f>
        <v>362.90001336878669</v>
      </c>
      <c r="I263" s="5">
        <f>+$C263*BH263</f>
        <v>297.39615833390621</v>
      </c>
      <c r="J263" s="5">
        <f>+$C263*BI263</f>
        <v>296.07857607041944</v>
      </c>
      <c r="K263" s="5">
        <f>+$C263*BJ263</f>
        <v>201.06486911972988</v>
      </c>
      <c r="L263" s="5">
        <f>+$C263*BK263</f>
        <v>298.03848320945116</v>
      </c>
      <c r="M263" s="5">
        <f>+$C263*BL263</f>
        <v>259.55320619562309</v>
      </c>
      <c r="N263" s="5">
        <f>+$C263*BM263</f>
        <v>265.01366217237506</v>
      </c>
      <c r="O263" s="5">
        <f>+$C263*BN263</f>
        <v>258.84445777986468</v>
      </c>
      <c r="P263" s="5">
        <v>0</v>
      </c>
      <c r="Q263" s="5">
        <f>+$P263*BC263</f>
        <v>0</v>
      </c>
      <c r="R263" s="5">
        <f>+$P263*BD263</f>
        <v>0</v>
      </c>
      <c r="S263" s="5">
        <f>+$P263*BE263</f>
        <v>0</v>
      </c>
      <c r="T263" s="5">
        <f>+$P263*BF263</f>
        <v>0</v>
      </c>
      <c r="U263" s="5">
        <f>+$P263*BG263</f>
        <v>0</v>
      </c>
      <c r="V263" s="5">
        <f>+$P263*BH263</f>
        <v>0</v>
      </c>
      <c r="W263" s="5">
        <f>+$P263*BI263</f>
        <v>0</v>
      </c>
      <c r="X263" s="5">
        <f>+$P263*BJ263</f>
        <v>0</v>
      </c>
      <c r="Y263" s="5">
        <f>+$P263*BK263</f>
        <v>0</v>
      </c>
      <c r="Z263" s="5">
        <f>+$P263*BL263</f>
        <v>0</v>
      </c>
      <c r="AA263" s="5">
        <f>+$P263*BM263</f>
        <v>0</v>
      </c>
      <c r="AB263" s="5">
        <f>+$P263*BN263</f>
        <v>0</v>
      </c>
      <c r="AC263" s="5">
        <v>0</v>
      </c>
      <c r="AD263" s="5">
        <f>+$AC263*BC263</f>
        <v>0</v>
      </c>
      <c r="AE263" s="5">
        <f>+$AC263*BD263</f>
        <v>0</v>
      </c>
      <c r="AF263" s="5">
        <f>+$AC263*BE263</f>
        <v>0</v>
      </c>
      <c r="AG263" s="5">
        <f>+$AC263*BF263</f>
        <v>0</v>
      </c>
      <c r="AH263" s="5">
        <f>+$AC263*BG263</f>
        <v>0</v>
      </c>
      <c r="AI263" s="5">
        <f>+$AC263*BH263</f>
        <v>0</v>
      </c>
      <c r="AJ263" s="5">
        <f>+$AC263*BI263</f>
        <v>0</v>
      </c>
      <c r="AK263" s="5">
        <f>+$AC263*BJ263</f>
        <v>0</v>
      </c>
      <c r="AL263" s="5">
        <f>+$AC263*BK263</f>
        <v>0</v>
      </c>
      <c r="AM263" s="5">
        <f>+$AC263*BL263</f>
        <v>0</v>
      </c>
      <c r="AN263" s="5">
        <f>+$AC263*BM263</f>
        <v>0</v>
      </c>
      <c r="AO263" s="5">
        <f>+$AC263*BN263</f>
        <v>0</v>
      </c>
      <c r="AP263" s="5">
        <f>+AC263+P263+C263</f>
        <v>3500</v>
      </c>
      <c r="AQ263" s="1">
        <v>312.13548082059782</v>
      </c>
      <c r="AR263" s="1">
        <v>373.28472592058193</v>
      </c>
      <c r="AS263" s="1">
        <v>330.35971796991674</v>
      </c>
      <c r="AT263" s="1">
        <v>250.23477453992672</v>
      </c>
      <c r="AU263" s="1">
        <v>362.90001336878669</v>
      </c>
      <c r="AV263" s="1">
        <v>297.39615833390621</v>
      </c>
      <c r="AW263" s="1">
        <v>296.07857607041944</v>
      </c>
      <c r="AX263" s="1">
        <v>201.06486911972988</v>
      </c>
      <c r="AY263" s="1">
        <v>298.03848320945116</v>
      </c>
      <c r="AZ263" s="1">
        <v>259.55320619562309</v>
      </c>
      <c r="BA263" s="1">
        <v>265.01366217237506</v>
      </c>
      <c r="BB263" s="1">
        <v>258.84445777986468</v>
      </c>
      <c r="BC263" s="2">
        <v>8.9181565948742242E-2</v>
      </c>
      <c r="BD263" s="2">
        <v>0.10665277883445198</v>
      </c>
      <c r="BE263" s="2">
        <v>9.438849084854764E-2</v>
      </c>
      <c r="BF263" s="2">
        <v>7.149564986855049E-2</v>
      </c>
      <c r="BG263" s="2">
        <v>0.10368571810536763</v>
      </c>
      <c r="BH263" s="2">
        <v>8.4970330952544637E-2</v>
      </c>
      <c r="BI263" s="2">
        <v>8.4593878877262704E-2</v>
      </c>
      <c r="BJ263" s="2">
        <v>5.7447105462779965E-2</v>
      </c>
      <c r="BK263" s="2">
        <v>8.5153852345557474E-2</v>
      </c>
      <c r="BL263" s="2">
        <v>7.4158058913035174E-2</v>
      </c>
      <c r="BM263" s="2">
        <v>7.5718189192107169E-2</v>
      </c>
      <c r="BN263" s="2">
        <v>7.3955559365675619E-2</v>
      </c>
    </row>
    <row r="264" spans="1:66" x14ac:dyDescent="0.25">
      <c r="A264" s="8">
        <v>17078</v>
      </c>
      <c r="B264" s="8" t="s">
        <v>732</v>
      </c>
      <c r="C264" s="5">
        <v>3500</v>
      </c>
      <c r="D264" s="5">
        <f>+$C264*BC264</f>
        <v>312.13548082059782</v>
      </c>
      <c r="E264" s="5">
        <f>+$C264*BD264</f>
        <v>373.28472592058193</v>
      </c>
      <c r="F264" s="5">
        <f>+$C264*BE264</f>
        <v>330.35971796991674</v>
      </c>
      <c r="G264" s="5">
        <f>+$C264*BF264</f>
        <v>250.23477453992672</v>
      </c>
      <c r="H264" s="5">
        <f>+$C264*BG264</f>
        <v>362.90001336878669</v>
      </c>
      <c r="I264" s="5">
        <f>+$C264*BH264</f>
        <v>297.39615833390621</v>
      </c>
      <c r="J264" s="5">
        <f>+$C264*BI264</f>
        <v>296.07857607041944</v>
      </c>
      <c r="K264" s="5">
        <f>+$C264*BJ264</f>
        <v>201.06486911972988</v>
      </c>
      <c r="L264" s="5">
        <f>+$C264*BK264</f>
        <v>298.03848320945116</v>
      </c>
      <c r="M264" s="5">
        <f>+$C264*BL264</f>
        <v>259.55320619562309</v>
      </c>
      <c r="N264" s="5">
        <f>+$C264*BM264</f>
        <v>265.01366217237506</v>
      </c>
      <c r="O264" s="5">
        <f>+$C264*BN264</f>
        <v>258.84445777986468</v>
      </c>
      <c r="P264" s="5">
        <v>0</v>
      </c>
      <c r="Q264" s="5">
        <f>+$P264*BC264</f>
        <v>0</v>
      </c>
      <c r="R264" s="5">
        <f>+$P264*BD264</f>
        <v>0</v>
      </c>
      <c r="S264" s="5">
        <f>+$P264*BE264</f>
        <v>0</v>
      </c>
      <c r="T264" s="5">
        <f>+$P264*BF264</f>
        <v>0</v>
      </c>
      <c r="U264" s="5">
        <f>+$P264*BG264</f>
        <v>0</v>
      </c>
      <c r="V264" s="5">
        <f>+$P264*BH264</f>
        <v>0</v>
      </c>
      <c r="W264" s="5">
        <f>+$P264*BI264</f>
        <v>0</v>
      </c>
      <c r="X264" s="5">
        <f>+$P264*BJ264</f>
        <v>0</v>
      </c>
      <c r="Y264" s="5">
        <f>+$P264*BK264</f>
        <v>0</v>
      </c>
      <c r="Z264" s="5">
        <f>+$P264*BL264</f>
        <v>0</v>
      </c>
      <c r="AA264" s="5">
        <f>+$P264*BM264</f>
        <v>0</v>
      </c>
      <c r="AB264" s="5">
        <f>+$P264*BN264</f>
        <v>0</v>
      </c>
      <c r="AC264" s="5">
        <v>0</v>
      </c>
      <c r="AD264" s="5">
        <f>+$AC264*BC264</f>
        <v>0</v>
      </c>
      <c r="AE264" s="5">
        <f>+$AC264*BD264</f>
        <v>0</v>
      </c>
      <c r="AF264" s="5">
        <f>+$AC264*BE264</f>
        <v>0</v>
      </c>
      <c r="AG264" s="5">
        <f>+$AC264*BF264</f>
        <v>0</v>
      </c>
      <c r="AH264" s="5">
        <f>+$AC264*BG264</f>
        <v>0</v>
      </c>
      <c r="AI264" s="5">
        <f>+$AC264*BH264</f>
        <v>0</v>
      </c>
      <c r="AJ264" s="5">
        <f>+$AC264*BI264</f>
        <v>0</v>
      </c>
      <c r="AK264" s="5">
        <f>+$AC264*BJ264</f>
        <v>0</v>
      </c>
      <c r="AL264" s="5">
        <f>+$AC264*BK264</f>
        <v>0</v>
      </c>
      <c r="AM264" s="5">
        <f>+$AC264*BL264</f>
        <v>0</v>
      </c>
      <c r="AN264" s="5">
        <f>+$AC264*BM264</f>
        <v>0</v>
      </c>
      <c r="AO264" s="5">
        <f>+$AC264*BN264</f>
        <v>0</v>
      </c>
      <c r="AP264" s="5">
        <f>+AC264+P264+C264</f>
        <v>3500</v>
      </c>
      <c r="AQ264" s="1">
        <v>327.34093781485842</v>
      </c>
      <c r="AR264" s="1">
        <v>391.46902471185598</v>
      </c>
      <c r="AS264" s="1">
        <v>346.45295565959412</v>
      </c>
      <c r="AT264" s="1">
        <v>262.42478284251456</v>
      </c>
      <c r="AU264" s="1">
        <v>380.57842830575186</v>
      </c>
      <c r="AV264" s="1">
        <v>311.88359976131511</v>
      </c>
      <c r="AW264" s="1">
        <v>310.50183241899276</v>
      </c>
      <c r="AX264" s="1">
        <v>210.85960060113388</v>
      </c>
      <c r="AY264" s="1">
        <v>312.55721503436871</v>
      </c>
      <c r="AZ264" s="1">
        <v>272.19715524029561</v>
      </c>
      <c r="BA264" s="1">
        <v>277.92361342962937</v>
      </c>
      <c r="BB264" s="1">
        <v>271.45388065171238</v>
      </c>
      <c r="BC264" s="2">
        <v>8.9181565948742242E-2</v>
      </c>
      <c r="BD264" s="2">
        <v>0.10665277883445198</v>
      </c>
      <c r="BE264" s="2">
        <v>9.438849084854764E-2</v>
      </c>
      <c r="BF264" s="2">
        <v>7.149564986855049E-2</v>
      </c>
      <c r="BG264" s="2">
        <v>0.10368571810536763</v>
      </c>
      <c r="BH264" s="2">
        <v>8.4970330952544637E-2</v>
      </c>
      <c r="BI264" s="2">
        <v>8.4593878877262704E-2</v>
      </c>
      <c r="BJ264" s="2">
        <v>5.7447105462779965E-2</v>
      </c>
      <c r="BK264" s="2">
        <v>8.5153852345557474E-2</v>
      </c>
      <c r="BL264" s="2">
        <v>7.4158058913035174E-2</v>
      </c>
      <c r="BM264" s="2">
        <v>7.5718189192107169E-2</v>
      </c>
      <c r="BN264" s="2">
        <v>7.3955559365675619E-2</v>
      </c>
    </row>
    <row r="265" spans="1:66" x14ac:dyDescent="0.25">
      <c r="A265" s="8">
        <v>5199</v>
      </c>
      <c r="B265" s="8" t="s">
        <v>731</v>
      </c>
      <c r="C265" s="5">
        <v>3200</v>
      </c>
      <c r="D265" s="5">
        <f>+$C265*BC265</f>
        <v>285.38101103597518</v>
      </c>
      <c r="E265" s="5">
        <f>+$C265*BD265</f>
        <v>341.28889227024632</v>
      </c>
      <c r="F265" s="5">
        <f>+$C265*BE265</f>
        <v>302.04317071535246</v>
      </c>
      <c r="G265" s="5">
        <f>+$C265*BF265</f>
        <v>228.78607957936157</v>
      </c>
      <c r="H265" s="5">
        <f>+$C265*BG265</f>
        <v>331.7942979371764</v>
      </c>
      <c r="I265" s="5">
        <f>+$C265*BH265</f>
        <v>271.90505904814285</v>
      </c>
      <c r="J265" s="5">
        <f>+$C265*BI265</f>
        <v>270.70041240724066</v>
      </c>
      <c r="K265" s="5">
        <f>+$C265*BJ265</f>
        <v>183.83073748089589</v>
      </c>
      <c r="L265" s="5">
        <f>+$C265*BK265</f>
        <v>272.49232750578392</v>
      </c>
      <c r="M265" s="5">
        <f>+$C265*BL265</f>
        <v>237.30578852171254</v>
      </c>
      <c r="N265" s="5">
        <f>+$C265*BM265</f>
        <v>242.29820541474294</v>
      </c>
      <c r="O265" s="5">
        <f>+$C265*BN265</f>
        <v>236.65778997016199</v>
      </c>
      <c r="P265" s="5">
        <v>0</v>
      </c>
      <c r="Q265" s="5">
        <f>+$P265*BC265</f>
        <v>0</v>
      </c>
      <c r="R265" s="5">
        <f>+$P265*BD265</f>
        <v>0</v>
      </c>
      <c r="S265" s="5">
        <f>+$P265*BE265</f>
        <v>0</v>
      </c>
      <c r="T265" s="5">
        <f>+$P265*BF265</f>
        <v>0</v>
      </c>
      <c r="U265" s="5">
        <f>+$P265*BG265</f>
        <v>0</v>
      </c>
      <c r="V265" s="5">
        <f>+$P265*BH265</f>
        <v>0</v>
      </c>
      <c r="W265" s="5">
        <f>+$P265*BI265</f>
        <v>0</v>
      </c>
      <c r="X265" s="5">
        <f>+$P265*BJ265</f>
        <v>0</v>
      </c>
      <c r="Y265" s="5">
        <f>+$P265*BK265</f>
        <v>0</v>
      </c>
      <c r="Z265" s="5">
        <f>+$P265*BL265</f>
        <v>0</v>
      </c>
      <c r="AA265" s="5">
        <f>+$P265*BM265</f>
        <v>0</v>
      </c>
      <c r="AB265" s="5">
        <f>+$P265*BN265</f>
        <v>0</v>
      </c>
      <c r="AC265" s="5">
        <v>0</v>
      </c>
      <c r="AD265" s="5">
        <f>+$AC265*BC265</f>
        <v>0</v>
      </c>
      <c r="AE265" s="5">
        <f>+$AC265*BD265</f>
        <v>0</v>
      </c>
      <c r="AF265" s="5">
        <f>+$AC265*BE265</f>
        <v>0</v>
      </c>
      <c r="AG265" s="5">
        <f>+$AC265*BF265</f>
        <v>0</v>
      </c>
      <c r="AH265" s="5">
        <f>+$AC265*BG265</f>
        <v>0</v>
      </c>
      <c r="AI265" s="5">
        <f>+$AC265*BH265</f>
        <v>0</v>
      </c>
      <c r="AJ265" s="5">
        <f>+$AC265*BI265</f>
        <v>0</v>
      </c>
      <c r="AK265" s="5">
        <f>+$AC265*BJ265</f>
        <v>0</v>
      </c>
      <c r="AL265" s="5">
        <f>+$AC265*BK265</f>
        <v>0</v>
      </c>
      <c r="AM265" s="5">
        <f>+$AC265*BL265</f>
        <v>0</v>
      </c>
      <c r="AN265" s="5">
        <f>+$AC265*BM265</f>
        <v>0</v>
      </c>
      <c r="AO265" s="5">
        <f>+$AC265*BN265</f>
        <v>0</v>
      </c>
      <c r="AP265" s="5">
        <f>+AC265+P265+C265</f>
        <v>3200</v>
      </c>
      <c r="AQ265" s="1">
        <v>312.13548082059782</v>
      </c>
      <c r="AR265" s="1">
        <v>373.28472592058193</v>
      </c>
      <c r="AS265" s="1">
        <v>330.35971796991674</v>
      </c>
      <c r="AT265" s="1">
        <v>250.23477453992672</v>
      </c>
      <c r="AU265" s="1">
        <v>362.90001336878669</v>
      </c>
      <c r="AV265" s="1">
        <v>297.39615833390621</v>
      </c>
      <c r="AW265" s="1">
        <v>296.07857607041944</v>
      </c>
      <c r="AX265" s="1">
        <v>201.06486911972988</v>
      </c>
      <c r="AY265" s="1">
        <v>298.03848320945116</v>
      </c>
      <c r="AZ265" s="1">
        <v>259.55320619562309</v>
      </c>
      <c r="BA265" s="1">
        <v>265.01366217237506</v>
      </c>
      <c r="BB265" s="1">
        <v>258.84445777986468</v>
      </c>
      <c r="BC265" s="2">
        <v>8.9181565948742242E-2</v>
      </c>
      <c r="BD265" s="2">
        <v>0.10665277883445198</v>
      </c>
      <c r="BE265" s="2">
        <v>9.438849084854764E-2</v>
      </c>
      <c r="BF265" s="2">
        <v>7.149564986855049E-2</v>
      </c>
      <c r="BG265" s="2">
        <v>0.10368571810536763</v>
      </c>
      <c r="BH265" s="2">
        <v>8.4970330952544637E-2</v>
      </c>
      <c r="BI265" s="2">
        <v>8.4593878877262704E-2</v>
      </c>
      <c r="BJ265" s="2">
        <v>5.7447105462779965E-2</v>
      </c>
      <c r="BK265" s="2">
        <v>8.5153852345557474E-2</v>
      </c>
      <c r="BL265" s="2">
        <v>7.4158058913035174E-2</v>
      </c>
      <c r="BM265" s="2">
        <v>7.5718189192107169E-2</v>
      </c>
      <c r="BN265" s="2">
        <v>7.3955559365675619E-2</v>
      </c>
    </row>
    <row r="266" spans="1:66" x14ac:dyDescent="0.25">
      <c r="A266" s="8">
        <v>5343</v>
      </c>
      <c r="B266" s="8" t="s">
        <v>730</v>
      </c>
      <c r="C266" s="5">
        <v>0</v>
      </c>
      <c r="D266" s="5">
        <f>+$C266*BC266</f>
        <v>0</v>
      </c>
      <c r="E266" s="5">
        <f>+$C266*BD266</f>
        <v>0</v>
      </c>
      <c r="F266" s="5">
        <f>+$C266*BE266</f>
        <v>0</v>
      </c>
      <c r="G266" s="5">
        <f>+$C266*BF266</f>
        <v>0</v>
      </c>
      <c r="H266" s="5">
        <f>+$C266*BG266</f>
        <v>0</v>
      </c>
      <c r="I266" s="5">
        <f>+$C266*BH266</f>
        <v>0</v>
      </c>
      <c r="J266" s="5">
        <f>+$C266*BI266</f>
        <v>0</v>
      </c>
      <c r="K266" s="5">
        <f>+$C266*BJ266</f>
        <v>0</v>
      </c>
      <c r="L266" s="5">
        <f>+$C266*BK266</f>
        <v>0</v>
      </c>
      <c r="M266" s="5">
        <f>+$C266*BL266</f>
        <v>0</v>
      </c>
      <c r="N266" s="5">
        <f>+$C266*BM266</f>
        <v>0</v>
      </c>
      <c r="O266" s="5">
        <f>+$C266*BN266</f>
        <v>0</v>
      </c>
      <c r="P266" s="5">
        <v>0</v>
      </c>
      <c r="Q266" s="5">
        <f>+$P266*BC266</f>
        <v>0</v>
      </c>
      <c r="R266" s="5">
        <f>+$P266*BD266</f>
        <v>0</v>
      </c>
      <c r="S266" s="5">
        <f>+$P266*BE266</f>
        <v>0</v>
      </c>
      <c r="T266" s="5">
        <f>+$P266*BF266</f>
        <v>0</v>
      </c>
      <c r="U266" s="5">
        <f>+$P266*BG266</f>
        <v>0</v>
      </c>
      <c r="V266" s="5">
        <f>+$P266*BH266</f>
        <v>0</v>
      </c>
      <c r="W266" s="5">
        <f>+$P266*BI266</f>
        <v>0</v>
      </c>
      <c r="X266" s="5">
        <f>+$P266*BJ266</f>
        <v>0</v>
      </c>
      <c r="Y266" s="5">
        <f>+$P266*BK266</f>
        <v>0</v>
      </c>
      <c r="Z266" s="5">
        <f>+$P266*BL266</f>
        <v>0</v>
      </c>
      <c r="AA266" s="5">
        <f>+$P266*BM266</f>
        <v>0</v>
      </c>
      <c r="AB266" s="5">
        <f>+$P266*BN266</f>
        <v>0</v>
      </c>
      <c r="AC266" s="5">
        <v>0</v>
      </c>
      <c r="AD266" s="5">
        <f>+$AC266*BC266</f>
        <v>0</v>
      </c>
      <c r="AE266" s="5">
        <f>+$AC266*BD266</f>
        <v>0</v>
      </c>
      <c r="AF266" s="5">
        <f>+$AC266*BE266</f>
        <v>0</v>
      </c>
      <c r="AG266" s="5">
        <f>+$AC266*BF266</f>
        <v>0</v>
      </c>
      <c r="AH266" s="5">
        <f>+$AC266*BG266</f>
        <v>0</v>
      </c>
      <c r="AI266" s="5">
        <f>+$AC266*BH266</f>
        <v>0</v>
      </c>
      <c r="AJ266" s="5">
        <f>+$AC266*BI266</f>
        <v>0</v>
      </c>
      <c r="AK266" s="5">
        <f>+$AC266*BJ266</f>
        <v>0</v>
      </c>
      <c r="AL266" s="5">
        <f>+$AC266*BK266</f>
        <v>0</v>
      </c>
      <c r="AM266" s="5">
        <f>+$AC266*BL266</f>
        <v>0</v>
      </c>
      <c r="AN266" s="5">
        <f>+$AC266*BM266</f>
        <v>0</v>
      </c>
      <c r="AO266" s="5">
        <f>+$AC266*BN266</f>
        <v>0</v>
      </c>
      <c r="AP266" s="5">
        <f>+AC266+P266+C266</f>
        <v>0</v>
      </c>
      <c r="AQ266" s="1">
        <v>285.38101103597518</v>
      </c>
      <c r="AR266" s="1">
        <v>341.28889227024632</v>
      </c>
      <c r="AS266" s="1">
        <v>302.04317071535246</v>
      </c>
      <c r="AT266" s="1">
        <v>228.78607957936157</v>
      </c>
      <c r="AU266" s="1">
        <v>331.7942979371764</v>
      </c>
      <c r="AV266" s="1">
        <v>271.90505904814285</v>
      </c>
      <c r="AW266" s="1">
        <v>270.70041240724066</v>
      </c>
      <c r="AX266" s="1">
        <v>183.83073748089589</v>
      </c>
      <c r="AY266" s="1">
        <v>272.49232750578392</v>
      </c>
      <c r="AZ266" s="1">
        <v>237.30578852171254</v>
      </c>
      <c r="BA266" s="1">
        <v>242.29820541474294</v>
      </c>
      <c r="BB266" s="1">
        <v>236.65778997016199</v>
      </c>
      <c r="BC266" s="2">
        <v>8.9181565948742242E-2</v>
      </c>
      <c r="BD266" s="2">
        <v>0.10665277883445198</v>
      </c>
      <c r="BE266" s="2">
        <v>9.438849084854764E-2</v>
      </c>
      <c r="BF266" s="2">
        <v>7.149564986855049E-2</v>
      </c>
      <c r="BG266" s="2">
        <v>0.10368571810536763</v>
      </c>
      <c r="BH266" s="2">
        <v>8.4970330952544637E-2</v>
      </c>
      <c r="BI266" s="2">
        <v>8.4593878877262704E-2</v>
      </c>
      <c r="BJ266" s="2">
        <v>5.7447105462779965E-2</v>
      </c>
      <c r="BK266" s="2">
        <v>8.5153852345557474E-2</v>
      </c>
      <c r="BL266" s="2">
        <v>7.4158058913035174E-2</v>
      </c>
      <c r="BM266" s="2">
        <v>7.5718189192107169E-2</v>
      </c>
      <c r="BN266" s="2">
        <v>7.3955559365675619E-2</v>
      </c>
    </row>
    <row r="267" spans="1:66" x14ac:dyDescent="0.25">
      <c r="A267" s="8">
        <v>29304</v>
      </c>
      <c r="B267" s="8" t="s">
        <v>729</v>
      </c>
      <c r="C267" s="5">
        <v>149.49</v>
      </c>
      <c r="D267" s="5">
        <f>+$C267*BC267</f>
        <v>13.331752293677479</v>
      </c>
      <c r="E267" s="5">
        <f>+$C267*BD267</f>
        <v>15.943523907962229</v>
      </c>
      <c r="F267" s="5">
        <f>+$C267*BE267</f>
        <v>14.110135496949388</v>
      </c>
      <c r="G267" s="5">
        <f>+$C267*BF267</f>
        <v>10.687884698849613</v>
      </c>
      <c r="H267" s="5">
        <f>+$C267*BG267</f>
        <v>15.499977999571408</v>
      </c>
      <c r="I267" s="5">
        <f>+$C267*BH267</f>
        <v>12.702214774095898</v>
      </c>
      <c r="J267" s="5">
        <f>+$C267*BI267</f>
        <v>12.645938953362002</v>
      </c>
      <c r="K267" s="5">
        <f>+$C267*BJ267</f>
        <v>8.5877677956309775</v>
      </c>
      <c r="L267" s="5">
        <f>+$C267*BK267</f>
        <v>12.729649387137387</v>
      </c>
      <c r="M267" s="5">
        <f>+$C267*BL267</f>
        <v>11.085888226909629</v>
      </c>
      <c r="N267" s="5">
        <f>+$C267*BM267</f>
        <v>11.319112102328102</v>
      </c>
      <c r="O267" s="5">
        <f>+$C267*BN267</f>
        <v>11.055616569574848</v>
      </c>
      <c r="P267" s="5">
        <v>0</v>
      </c>
      <c r="Q267" s="5">
        <f>+$P267*BC267</f>
        <v>0</v>
      </c>
      <c r="R267" s="5">
        <f>+$P267*BD267</f>
        <v>0</v>
      </c>
      <c r="S267" s="5">
        <f>+$P267*BE267</f>
        <v>0</v>
      </c>
      <c r="T267" s="5">
        <f>+$P267*BF267</f>
        <v>0</v>
      </c>
      <c r="U267" s="5">
        <f>+$P267*BG267</f>
        <v>0</v>
      </c>
      <c r="V267" s="5">
        <f>+$P267*BH267</f>
        <v>0</v>
      </c>
      <c r="W267" s="5">
        <f>+$P267*BI267</f>
        <v>0</v>
      </c>
      <c r="X267" s="5">
        <f>+$P267*BJ267</f>
        <v>0</v>
      </c>
      <c r="Y267" s="5">
        <f>+$P267*BK267</f>
        <v>0</v>
      </c>
      <c r="Z267" s="5">
        <f>+$P267*BL267</f>
        <v>0</v>
      </c>
      <c r="AA267" s="5">
        <f>+$P267*BM267</f>
        <v>0</v>
      </c>
      <c r="AB267" s="5">
        <f>+$P267*BN267</f>
        <v>0</v>
      </c>
      <c r="AC267" s="5">
        <v>0</v>
      </c>
      <c r="AD267" s="5">
        <f>+$AC267*BC267</f>
        <v>0</v>
      </c>
      <c r="AE267" s="5">
        <f>+$AC267*BD267</f>
        <v>0</v>
      </c>
      <c r="AF267" s="5">
        <f>+$AC267*BE267</f>
        <v>0</v>
      </c>
      <c r="AG267" s="5">
        <f>+$AC267*BF267</f>
        <v>0</v>
      </c>
      <c r="AH267" s="5">
        <f>+$AC267*BG267</f>
        <v>0</v>
      </c>
      <c r="AI267" s="5">
        <f>+$AC267*BH267</f>
        <v>0</v>
      </c>
      <c r="AJ267" s="5">
        <f>+$AC267*BI267</f>
        <v>0</v>
      </c>
      <c r="AK267" s="5">
        <f>+$AC267*BJ267</f>
        <v>0</v>
      </c>
      <c r="AL267" s="5">
        <f>+$AC267*BK267</f>
        <v>0</v>
      </c>
      <c r="AM267" s="5">
        <f>+$AC267*BL267</f>
        <v>0</v>
      </c>
      <c r="AN267" s="5">
        <f>+$AC267*BM267</f>
        <v>0</v>
      </c>
      <c r="AO267" s="5">
        <f>+$AC267*BN267</f>
        <v>0</v>
      </c>
      <c r="AP267" s="5">
        <f>+AC267+P267+C267</f>
        <v>149.49</v>
      </c>
      <c r="AQ267" s="1">
        <v>284.88426971364066</v>
      </c>
      <c r="AR267" s="1">
        <v>340.6948362921384</v>
      </c>
      <c r="AS267" s="1">
        <v>301.51742682132601</v>
      </c>
      <c r="AT267" s="1">
        <v>228.38784880959372</v>
      </c>
      <c r="AU267" s="1">
        <v>331.21676848732949</v>
      </c>
      <c r="AV267" s="1">
        <v>271.43177430473713</v>
      </c>
      <c r="AW267" s="1">
        <v>270.22922450189429</v>
      </c>
      <c r="AX267" s="1">
        <v>183.51075710346819</v>
      </c>
      <c r="AY267" s="1">
        <v>272.01802054821917</v>
      </c>
      <c r="AZ267" s="1">
        <v>236.89272813356695</v>
      </c>
      <c r="BA267" s="1">
        <v>241.87645510094288</v>
      </c>
      <c r="BB267" s="1">
        <v>236.24585750449515</v>
      </c>
      <c r="BC267" s="2">
        <v>8.9181565948742242E-2</v>
      </c>
      <c r="BD267" s="2">
        <v>0.10665277883445198</v>
      </c>
      <c r="BE267" s="2">
        <v>9.438849084854764E-2</v>
      </c>
      <c r="BF267" s="2">
        <v>7.149564986855049E-2</v>
      </c>
      <c r="BG267" s="2">
        <v>0.10368571810536763</v>
      </c>
      <c r="BH267" s="2">
        <v>8.4970330952544637E-2</v>
      </c>
      <c r="BI267" s="2">
        <v>8.4593878877262704E-2</v>
      </c>
      <c r="BJ267" s="2">
        <v>5.7447105462779965E-2</v>
      </c>
      <c r="BK267" s="2">
        <v>8.5153852345557474E-2</v>
      </c>
      <c r="BL267" s="2">
        <v>7.4158058913035174E-2</v>
      </c>
      <c r="BM267" s="2">
        <v>7.5718189192107169E-2</v>
      </c>
      <c r="BN267" s="2">
        <v>7.3955559365675619E-2</v>
      </c>
    </row>
    <row r="268" spans="1:66" x14ac:dyDescent="0.25">
      <c r="A268" s="8">
        <v>3871</v>
      </c>
      <c r="B268" s="8" t="s">
        <v>728</v>
      </c>
      <c r="C268" s="5">
        <v>0</v>
      </c>
      <c r="D268" s="5">
        <f>+$C268*BC268</f>
        <v>0</v>
      </c>
      <c r="E268" s="5">
        <f>+$C268*BD268</f>
        <v>0</v>
      </c>
      <c r="F268" s="5">
        <f>+$C268*BE268</f>
        <v>0</v>
      </c>
      <c r="G268" s="5">
        <f>+$C268*BF268</f>
        <v>0</v>
      </c>
      <c r="H268" s="5">
        <f>+$C268*BG268</f>
        <v>0</v>
      </c>
      <c r="I268" s="5">
        <f>+$C268*BH268</f>
        <v>0</v>
      </c>
      <c r="J268" s="5">
        <f>+$C268*BI268</f>
        <v>0</v>
      </c>
      <c r="K268" s="5">
        <f>+$C268*BJ268</f>
        <v>0</v>
      </c>
      <c r="L268" s="5">
        <f>+$C268*BK268</f>
        <v>0</v>
      </c>
      <c r="M268" s="5">
        <f>+$C268*BL268</f>
        <v>0</v>
      </c>
      <c r="N268" s="5">
        <f>+$C268*BM268</f>
        <v>0</v>
      </c>
      <c r="O268" s="5">
        <f>+$C268*BN268</f>
        <v>0</v>
      </c>
      <c r="P268" s="5">
        <v>3000</v>
      </c>
      <c r="Q268" s="5">
        <f>+$P268*BC268</f>
        <v>267.54469784622671</v>
      </c>
      <c r="R268" s="5">
        <f>+$P268*BD268</f>
        <v>319.95833650335595</v>
      </c>
      <c r="S268" s="5">
        <f>+$P268*BE268</f>
        <v>283.1654725456429</v>
      </c>
      <c r="T268" s="5">
        <f>+$P268*BF268</f>
        <v>214.48694960565146</v>
      </c>
      <c r="U268" s="5">
        <f>+$P268*BG268</f>
        <v>311.05715431610287</v>
      </c>
      <c r="V268" s="5">
        <f>+$P268*BH268</f>
        <v>254.91099285763391</v>
      </c>
      <c r="W268" s="5">
        <f>+$P268*BI268</f>
        <v>253.7816366317881</v>
      </c>
      <c r="X268" s="5">
        <f>+$P268*BJ268</f>
        <v>172.34131638833989</v>
      </c>
      <c r="Y268" s="5">
        <f>+$P268*BK268</f>
        <v>255.46155703667242</v>
      </c>
      <c r="Z268" s="5">
        <f>+$P268*BL268</f>
        <v>222.47417673910553</v>
      </c>
      <c r="AA268" s="5">
        <f>+$P268*BM268</f>
        <v>227.15456757632151</v>
      </c>
      <c r="AB268" s="5">
        <f>+$P268*BN268</f>
        <v>221.86667809702686</v>
      </c>
      <c r="AC268" s="5">
        <v>0</v>
      </c>
      <c r="AD268" s="5">
        <f>+$AC268*BC268</f>
        <v>0</v>
      </c>
      <c r="AE268" s="5">
        <f>+$AC268*BD268</f>
        <v>0</v>
      </c>
      <c r="AF268" s="5">
        <f>+$AC268*BE268</f>
        <v>0</v>
      </c>
      <c r="AG268" s="5">
        <f>+$AC268*BF268</f>
        <v>0</v>
      </c>
      <c r="AH268" s="5">
        <f>+$AC268*BG268</f>
        <v>0</v>
      </c>
      <c r="AI268" s="5">
        <f>+$AC268*BH268</f>
        <v>0</v>
      </c>
      <c r="AJ268" s="5">
        <f>+$AC268*BI268</f>
        <v>0</v>
      </c>
      <c r="AK268" s="5">
        <f>+$AC268*BJ268</f>
        <v>0</v>
      </c>
      <c r="AL268" s="5">
        <f>+$AC268*BK268</f>
        <v>0</v>
      </c>
      <c r="AM268" s="5">
        <f>+$AC268*BL268</f>
        <v>0</v>
      </c>
      <c r="AN268" s="5">
        <f>+$AC268*BM268</f>
        <v>0</v>
      </c>
      <c r="AO268" s="5">
        <f>+$AC268*BN268</f>
        <v>0</v>
      </c>
      <c r="AP268" s="5">
        <f>+AC268+P268+C268</f>
        <v>3000</v>
      </c>
      <c r="AQ268" s="1">
        <v>280.87645013990419</v>
      </c>
      <c r="AR268" s="1">
        <v>335.90186041131813</v>
      </c>
      <c r="AS268" s="1">
        <v>297.2756080425923</v>
      </c>
      <c r="AT268" s="1">
        <v>225.17483430450108</v>
      </c>
      <c r="AU268" s="1">
        <v>326.55713231567427</v>
      </c>
      <c r="AV268" s="1">
        <v>267.61320763172978</v>
      </c>
      <c r="AW268" s="1">
        <v>266.42757558515012</v>
      </c>
      <c r="AX268" s="1">
        <v>180.92908418397087</v>
      </c>
      <c r="AY268" s="1">
        <v>268.19120642380977</v>
      </c>
      <c r="AZ268" s="1">
        <v>233.56006496601515</v>
      </c>
      <c r="BA268" s="1">
        <v>238.4736796786496</v>
      </c>
      <c r="BB268" s="1">
        <v>232.92229466660169</v>
      </c>
      <c r="BC268" s="2">
        <v>8.9181565948742242E-2</v>
      </c>
      <c r="BD268" s="2">
        <v>0.10665277883445198</v>
      </c>
      <c r="BE268" s="2">
        <v>9.438849084854764E-2</v>
      </c>
      <c r="BF268" s="2">
        <v>7.149564986855049E-2</v>
      </c>
      <c r="BG268" s="2">
        <v>0.10368571810536763</v>
      </c>
      <c r="BH268" s="2">
        <v>8.4970330952544637E-2</v>
      </c>
      <c r="BI268" s="2">
        <v>8.4593878877262704E-2</v>
      </c>
      <c r="BJ268" s="2">
        <v>5.7447105462779965E-2</v>
      </c>
      <c r="BK268" s="2">
        <v>8.5153852345557474E-2</v>
      </c>
      <c r="BL268" s="2">
        <v>7.4158058913035174E-2</v>
      </c>
      <c r="BM268" s="2">
        <v>7.5718189192107169E-2</v>
      </c>
      <c r="BN268" s="2">
        <v>7.3955559365675619E-2</v>
      </c>
    </row>
    <row r="269" spans="1:66" x14ac:dyDescent="0.25">
      <c r="A269" s="8">
        <v>2596</v>
      </c>
      <c r="B269" s="8" t="s">
        <v>727</v>
      </c>
      <c r="C269" s="5">
        <v>0</v>
      </c>
      <c r="D269" s="5">
        <f>+$C269*BC269</f>
        <v>0</v>
      </c>
      <c r="E269" s="5">
        <f>+$C269*BD269</f>
        <v>0</v>
      </c>
      <c r="F269" s="5">
        <f>+$C269*BE269</f>
        <v>0</v>
      </c>
      <c r="G269" s="5">
        <f>+$C269*BF269</f>
        <v>0</v>
      </c>
      <c r="H269" s="5">
        <f>+$C269*BG269</f>
        <v>0</v>
      </c>
      <c r="I269" s="5">
        <f>+$C269*BH269</f>
        <v>0</v>
      </c>
      <c r="J269" s="5">
        <f>+$C269*BI269</f>
        <v>0</v>
      </c>
      <c r="K269" s="5">
        <f>+$C269*BJ269</f>
        <v>0</v>
      </c>
      <c r="L269" s="5">
        <f>+$C269*BK269</f>
        <v>0</v>
      </c>
      <c r="M269" s="5">
        <f>+$C269*BL269</f>
        <v>0</v>
      </c>
      <c r="N269" s="5">
        <f>+$C269*BM269</f>
        <v>0</v>
      </c>
      <c r="O269" s="5">
        <f>+$C269*BN269</f>
        <v>0</v>
      </c>
      <c r="P269" s="5">
        <v>0</v>
      </c>
      <c r="Q269" s="5">
        <f>+$P269*BC269</f>
        <v>0</v>
      </c>
      <c r="R269" s="5">
        <f>+$P269*BD269</f>
        <v>0</v>
      </c>
      <c r="S269" s="5">
        <f>+$P269*BE269</f>
        <v>0</v>
      </c>
      <c r="T269" s="5">
        <f>+$P269*BF269</f>
        <v>0</v>
      </c>
      <c r="U269" s="5">
        <f>+$P269*BG269</f>
        <v>0</v>
      </c>
      <c r="V269" s="5">
        <f>+$P269*BH269</f>
        <v>0</v>
      </c>
      <c r="W269" s="5">
        <f>+$P269*BI269</f>
        <v>0</v>
      </c>
      <c r="X269" s="5">
        <f>+$P269*BJ269</f>
        <v>0</v>
      </c>
      <c r="Y269" s="5">
        <f>+$P269*BK269</f>
        <v>0</v>
      </c>
      <c r="Z269" s="5">
        <f>+$P269*BL269</f>
        <v>0</v>
      </c>
      <c r="AA269" s="5">
        <f>+$P269*BM269</f>
        <v>0</v>
      </c>
      <c r="AB269" s="5">
        <f>+$P269*BN269</f>
        <v>0</v>
      </c>
      <c r="AC269" s="5">
        <v>0</v>
      </c>
      <c r="AD269" s="5">
        <f>+$AC269*BC269</f>
        <v>0</v>
      </c>
      <c r="AE269" s="5">
        <f>+$AC269*BD269</f>
        <v>0</v>
      </c>
      <c r="AF269" s="5">
        <f>+$AC269*BE269</f>
        <v>0</v>
      </c>
      <c r="AG269" s="5">
        <f>+$AC269*BF269</f>
        <v>0</v>
      </c>
      <c r="AH269" s="5">
        <f>+$AC269*BG269</f>
        <v>0</v>
      </c>
      <c r="AI269" s="5">
        <f>+$AC269*BH269</f>
        <v>0</v>
      </c>
      <c r="AJ269" s="5">
        <f>+$AC269*BI269</f>
        <v>0</v>
      </c>
      <c r="AK269" s="5">
        <f>+$AC269*BJ269</f>
        <v>0</v>
      </c>
      <c r="AL269" s="5">
        <f>+$AC269*BK269</f>
        <v>0</v>
      </c>
      <c r="AM269" s="5">
        <f>+$AC269*BL269</f>
        <v>0</v>
      </c>
      <c r="AN269" s="5">
        <f>+$AC269*BM269</f>
        <v>0</v>
      </c>
      <c r="AO269" s="5">
        <f>+$AC269*BN269</f>
        <v>0</v>
      </c>
      <c r="AP269" s="5">
        <f>+AC269+P269+C269</f>
        <v>0</v>
      </c>
      <c r="AQ269" s="1">
        <v>298.72275166503891</v>
      </c>
      <c r="AR269" s="1">
        <v>357.24436128943802</v>
      </c>
      <c r="AS269" s="1">
        <v>316.16387772327687</v>
      </c>
      <c r="AT269" s="1">
        <v>239.48197179099645</v>
      </c>
      <c r="AU269" s="1">
        <v>347.30588873717562</v>
      </c>
      <c r="AV269" s="1">
        <v>284.61679049930541</v>
      </c>
      <c r="AW269" s="1">
        <v>283.35582587503689</v>
      </c>
      <c r="AX269" s="1">
        <v>192.4249393523387</v>
      </c>
      <c r="AY269" s="1">
        <v>285.23151412438398</v>
      </c>
      <c r="AZ269" s="1">
        <v>248.39998245122044</v>
      </c>
      <c r="BA269" s="1">
        <v>253.62579795426055</v>
      </c>
      <c r="BB269" s="1">
        <v>247.72168956238576</v>
      </c>
      <c r="BC269" s="2">
        <v>8.9181565948742242E-2</v>
      </c>
      <c r="BD269" s="2">
        <v>0.10665277883445198</v>
      </c>
      <c r="BE269" s="2">
        <v>9.438849084854764E-2</v>
      </c>
      <c r="BF269" s="2">
        <v>7.149564986855049E-2</v>
      </c>
      <c r="BG269" s="2">
        <v>0.10368571810536763</v>
      </c>
      <c r="BH269" s="2">
        <v>8.4970330952544637E-2</v>
      </c>
      <c r="BI269" s="2">
        <v>8.4593878877262704E-2</v>
      </c>
      <c r="BJ269" s="2">
        <v>5.7447105462779965E-2</v>
      </c>
      <c r="BK269" s="2">
        <v>8.5153852345557474E-2</v>
      </c>
      <c r="BL269" s="2">
        <v>7.4158058913035174E-2</v>
      </c>
      <c r="BM269" s="2">
        <v>7.5718189192107169E-2</v>
      </c>
      <c r="BN269" s="2">
        <v>7.3955559365675619E-2</v>
      </c>
    </row>
    <row r="270" spans="1:66" x14ac:dyDescent="0.25">
      <c r="A270" s="8">
        <v>1204</v>
      </c>
      <c r="B270" s="8" t="s">
        <v>726</v>
      </c>
      <c r="C270" s="5">
        <v>0</v>
      </c>
      <c r="D270" s="5">
        <f>+$C270*BC270</f>
        <v>0</v>
      </c>
      <c r="E270" s="5">
        <f>+$C270*BD270</f>
        <v>0</v>
      </c>
      <c r="F270" s="5">
        <f>+$C270*BE270</f>
        <v>0</v>
      </c>
      <c r="G270" s="5">
        <f>+$C270*BF270</f>
        <v>0</v>
      </c>
      <c r="H270" s="5">
        <f>+$C270*BG270</f>
        <v>0</v>
      </c>
      <c r="I270" s="5">
        <f>+$C270*BH270</f>
        <v>0</v>
      </c>
      <c r="J270" s="5">
        <f>+$C270*BI270</f>
        <v>0</v>
      </c>
      <c r="K270" s="5">
        <f>+$C270*BJ270</f>
        <v>0</v>
      </c>
      <c r="L270" s="5">
        <f>+$C270*BK270</f>
        <v>0</v>
      </c>
      <c r="M270" s="5">
        <f>+$C270*BL270</f>
        <v>0</v>
      </c>
      <c r="N270" s="5">
        <f>+$C270*BM270</f>
        <v>0</v>
      </c>
      <c r="O270" s="5">
        <f>+$C270*BN270</f>
        <v>0</v>
      </c>
      <c r="P270" s="5">
        <v>0</v>
      </c>
      <c r="Q270" s="5">
        <f>+$P270*BC270</f>
        <v>0</v>
      </c>
      <c r="R270" s="5">
        <f>+$P270*BD270</f>
        <v>0</v>
      </c>
      <c r="S270" s="5">
        <f>+$P270*BE270</f>
        <v>0</v>
      </c>
      <c r="T270" s="5">
        <f>+$P270*BF270</f>
        <v>0</v>
      </c>
      <c r="U270" s="5">
        <f>+$P270*BG270</f>
        <v>0</v>
      </c>
      <c r="V270" s="5">
        <f>+$P270*BH270</f>
        <v>0</v>
      </c>
      <c r="W270" s="5">
        <f>+$P270*BI270</f>
        <v>0</v>
      </c>
      <c r="X270" s="5">
        <f>+$P270*BJ270</f>
        <v>0</v>
      </c>
      <c r="Y270" s="5">
        <f>+$P270*BK270</f>
        <v>0</v>
      </c>
      <c r="Z270" s="5">
        <f>+$P270*BL270</f>
        <v>0</v>
      </c>
      <c r="AA270" s="5">
        <f>+$P270*BM270</f>
        <v>0</v>
      </c>
      <c r="AB270" s="5">
        <f>+$P270*BN270</f>
        <v>0</v>
      </c>
      <c r="AC270" s="5">
        <v>1000</v>
      </c>
      <c r="AD270" s="5">
        <f>+$AC270*BC270</f>
        <v>89.181565948742247</v>
      </c>
      <c r="AE270" s="5">
        <f>+$AC270*BD270</f>
        <v>106.65277883445198</v>
      </c>
      <c r="AF270" s="5">
        <f>+$AC270*BE270</f>
        <v>94.388490848547647</v>
      </c>
      <c r="AG270" s="5">
        <f>+$AC270*BF270</f>
        <v>71.495649868550487</v>
      </c>
      <c r="AH270" s="5">
        <f>+$AC270*BG270</f>
        <v>103.68571810536763</v>
      </c>
      <c r="AI270" s="5">
        <f>+$AC270*BH270</f>
        <v>84.970330952544643</v>
      </c>
      <c r="AJ270" s="5">
        <f>+$AC270*BI270</f>
        <v>84.593878877262711</v>
      </c>
      <c r="AK270" s="5">
        <f>+$AC270*BJ270</f>
        <v>57.447105462779966</v>
      </c>
      <c r="AL270" s="5">
        <f>+$AC270*BK270</f>
        <v>85.153852345557468</v>
      </c>
      <c r="AM270" s="5">
        <f>+$AC270*BL270</f>
        <v>74.158058913035177</v>
      </c>
      <c r="AN270" s="5">
        <f>+$AC270*BM270</f>
        <v>75.718189192107175</v>
      </c>
      <c r="AO270" s="5">
        <f>+$AC270*BN270</f>
        <v>73.955559365675626</v>
      </c>
      <c r="AP270" s="5">
        <f>+AC270+P270+C270</f>
        <v>1000</v>
      </c>
      <c r="AQ270" s="1">
        <v>271.48340170635294</v>
      </c>
      <c r="AR270" s="1">
        <v>324.6686564805795</v>
      </c>
      <c r="AS270" s="1">
        <v>287.33414024396905</v>
      </c>
      <c r="AT270" s="1">
        <v>217.644554982096</v>
      </c>
      <c r="AU270" s="1">
        <v>315.63643405622645</v>
      </c>
      <c r="AV270" s="1">
        <v>258.66370752415304</v>
      </c>
      <c r="AW270" s="1">
        <v>257.51772529240242</v>
      </c>
      <c r="AX270" s="1">
        <v>174.87846780110357</v>
      </c>
      <c r="AY270" s="1">
        <v>259.22237692551397</v>
      </c>
      <c r="AZ270" s="1">
        <v>225.74936741099972</v>
      </c>
      <c r="BA270" s="1">
        <v>230.49866140199092</v>
      </c>
      <c r="BB270" s="1">
        <v>225.13292537641192</v>
      </c>
      <c r="BC270" s="2">
        <v>8.9181565948742242E-2</v>
      </c>
      <c r="BD270" s="2">
        <v>0.10665277883445198</v>
      </c>
      <c r="BE270" s="2">
        <v>9.438849084854764E-2</v>
      </c>
      <c r="BF270" s="2">
        <v>7.149564986855049E-2</v>
      </c>
      <c r="BG270" s="2">
        <v>0.10368571810536763</v>
      </c>
      <c r="BH270" s="2">
        <v>8.4970330952544637E-2</v>
      </c>
      <c r="BI270" s="2">
        <v>8.4593878877262704E-2</v>
      </c>
      <c r="BJ270" s="2">
        <v>5.7447105462779965E-2</v>
      </c>
      <c r="BK270" s="2">
        <v>8.5153852345557474E-2</v>
      </c>
      <c r="BL270" s="2">
        <v>7.4158058913035174E-2</v>
      </c>
      <c r="BM270" s="2">
        <v>7.5718189192107169E-2</v>
      </c>
      <c r="BN270" s="2">
        <v>7.3955559365675619E-2</v>
      </c>
    </row>
    <row r="271" spans="1:66" x14ac:dyDescent="0.25">
      <c r="A271" s="8">
        <v>1328</v>
      </c>
      <c r="B271" s="8" t="s">
        <v>725</v>
      </c>
      <c r="C271" s="5">
        <v>0</v>
      </c>
      <c r="D271" s="5">
        <f>+$C271*BC271</f>
        <v>0</v>
      </c>
      <c r="E271" s="5">
        <f>+$C271*BD271</f>
        <v>0</v>
      </c>
      <c r="F271" s="5">
        <f>+$C271*BE271</f>
        <v>0</v>
      </c>
      <c r="G271" s="5">
        <f>+$C271*BF271</f>
        <v>0</v>
      </c>
      <c r="H271" s="5">
        <f>+$C271*BG271</f>
        <v>0</v>
      </c>
      <c r="I271" s="5">
        <f>+$C271*BH271</f>
        <v>0</v>
      </c>
      <c r="J271" s="5">
        <f>+$C271*BI271</f>
        <v>0</v>
      </c>
      <c r="K271" s="5">
        <f>+$C271*BJ271</f>
        <v>0</v>
      </c>
      <c r="L271" s="5">
        <f>+$C271*BK271</f>
        <v>0</v>
      </c>
      <c r="M271" s="5">
        <f>+$C271*BL271</f>
        <v>0</v>
      </c>
      <c r="N271" s="5">
        <f>+$C271*BM271</f>
        <v>0</v>
      </c>
      <c r="O271" s="5">
        <f>+$C271*BN271</f>
        <v>0</v>
      </c>
      <c r="P271" s="5">
        <v>3000</v>
      </c>
      <c r="Q271" s="5">
        <f>+$P271*BC271</f>
        <v>267.54469784622671</v>
      </c>
      <c r="R271" s="5">
        <f>+$P271*BD271</f>
        <v>319.95833650335595</v>
      </c>
      <c r="S271" s="5">
        <f>+$P271*BE271</f>
        <v>283.1654725456429</v>
      </c>
      <c r="T271" s="5">
        <f>+$P271*BF271</f>
        <v>214.48694960565146</v>
      </c>
      <c r="U271" s="5">
        <f>+$P271*BG271</f>
        <v>311.05715431610287</v>
      </c>
      <c r="V271" s="5">
        <f>+$P271*BH271</f>
        <v>254.91099285763391</v>
      </c>
      <c r="W271" s="5">
        <f>+$P271*BI271</f>
        <v>253.7816366317881</v>
      </c>
      <c r="X271" s="5">
        <f>+$P271*BJ271</f>
        <v>172.34131638833989</v>
      </c>
      <c r="Y271" s="5">
        <f>+$P271*BK271</f>
        <v>255.46155703667242</v>
      </c>
      <c r="Z271" s="5">
        <f>+$P271*BL271</f>
        <v>222.47417673910553</v>
      </c>
      <c r="AA271" s="5">
        <f>+$P271*BM271</f>
        <v>227.15456757632151</v>
      </c>
      <c r="AB271" s="5">
        <f>+$P271*BN271</f>
        <v>221.86667809702686</v>
      </c>
      <c r="AC271" s="5">
        <v>0</v>
      </c>
      <c r="AD271" s="5">
        <f>+$AC271*BC271</f>
        <v>0</v>
      </c>
      <c r="AE271" s="5">
        <f>+$AC271*BD271</f>
        <v>0</v>
      </c>
      <c r="AF271" s="5">
        <f>+$AC271*BE271</f>
        <v>0</v>
      </c>
      <c r="AG271" s="5">
        <f>+$AC271*BF271</f>
        <v>0</v>
      </c>
      <c r="AH271" s="5">
        <f>+$AC271*BG271</f>
        <v>0</v>
      </c>
      <c r="AI271" s="5">
        <f>+$AC271*BH271</f>
        <v>0</v>
      </c>
      <c r="AJ271" s="5">
        <f>+$AC271*BI271</f>
        <v>0</v>
      </c>
      <c r="AK271" s="5">
        <f>+$AC271*BJ271</f>
        <v>0</v>
      </c>
      <c r="AL271" s="5">
        <f>+$AC271*BK271</f>
        <v>0</v>
      </c>
      <c r="AM271" s="5">
        <f>+$AC271*BL271</f>
        <v>0</v>
      </c>
      <c r="AN271" s="5">
        <f>+$AC271*BM271</f>
        <v>0</v>
      </c>
      <c r="AO271" s="5">
        <f>+$AC271*BN271</f>
        <v>0</v>
      </c>
      <c r="AP271" s="5">
        <f>+AC271+P271+C271</f>
        <v>3000</v>
      </c>
      <c r="AQ271" s="1">
        <v>271.17438758034052</v>
      </c>
      <c r="AR271" s="1">
        <v>324.29910460191815</v>
      </c>
      <c r="AS271" s="1">
        <v>287.0070841231788</v>
      </c>
      <c r="AT271" s="1">
        <v>217.39682255530147</v>
      </c>
      <c r="AU271" s="1">
        <v>315.27716304299133</v>
      </c>
      <c r="AV271" s="1">
        <v>258.36928532740245</v>
      </c>
      <c r="AW271" s="1">
        <v>257.22460750209268</v>
      </c>
      <c r="AX271" s="1">
        <v>174.67941358067503</v>
      </c>
      <c r="AY271" s="1">
        <v>258.92731882713662</v>
      </c>
      <c r="AZ271" s="1">
        <v>225.49240973686605</v>
      </c>
      <c r="BA271" s="1">
        <v>230.23629787644026</v>
      </c>
      <c r="BB271" s="1">
        <v>224.87666936320983</v>
      </c>
      <c r="BC271" s="2">
        <v>8.9181565948742242E-2</v>
      </c>
      <c r="BD271" s="2">
        <v>0.10665277883445198</v>
      </c>
      <c r="BE271" s="2">
        <v>9.438849084854764E-2</v>
      </c>
      <c r="BF271" s="2">
        <v>7.149564986855049E-2</v>
      </c>
      <c r="BG271" s="2">
        <v>0.10368571810536763</v>
      </c>
      <c r="BH271" s="2">
        <v>8.4970330952544637E-2</v>
      </c>
      <c r="BI271" s="2">
        <v>8.4593878877262704E-2</v>
      </c>
      <c r="BJ271" s="2">
        <v>5.7447105462779965E-2</v>
      </c>
      <c r="BK271" s="2">
        <v>8.5153852345557474E-2</v>
      </c>
      <c r="BL271" s="2">
        <v>7.4158058913035174E-2</v>
      </c>
      <c r="BM271" s="2">
        <v>7.5718189192107169E-2</v>
      </c>
      <c r="BN271" s="2">
        <v>7.3955559365675619E-2</v>
      </c>
    </row>
    <row r="272" spans="1:66" x14ac:dyDescent="0.25">
      <c r="A272" s="8">
        <v>1490</v>
      </c>
      <c r="B272" s="8" t="s">
        <v>724</v>
      </c>
      <c r="C272" s="5">
        <v>0</v>
      </c>
      <c r="D272" s="5">
        <f>+$C272*BC272</f>
        <v>0</v>
      </c>
      <c r="E272" s="5">
        <f>+$C272*BD272</f>
        <v>0</v>
      </c>
      <c r="F272" s="5">
        <f>+$C272*BE272</f>
        <v>0</v>
      </c>
      <c r="G272" s="5">
        <f>+$C272*BF272</f>
        <v>0</v>
      </c>
      <c r="H272" s="5">
        <f>+$C272*BG272</f>
        <v>0</v>
      </c>
      <c r="I272" s="5">
        <f>+$C272*BH272</f>
        <v>0</v>
      </c>
      <c r="J272" s="5">
        <f>+$C272*BI272</f>
        <v>0</v>
      </c>
      <c r="K272" s="5">
        <f>+$C272*BJ272</f>
        <v>0</v>
      </c>
      <c r="L272" s="5">
        <f>+$C272*BK272</f>
        <v>0</v>
      </c>
      <c r="M272" s="5">
        <f>+$C272*BL272</f>
        <v>0</v>
      </c>
      <c r="N272" s="5">
        <f>+$C272*BM272</f>
        <v>0</v>
      </c>
      <c r="O272" s="5">
        <f>+$C272*BN272</f>
        <v>0</v>
      </c>
      <c r="P272" s="5">
        <v>2000</v>
      </c>
      <c r="Q272" s="5">
        <f>+$P272*BC272</f>
        <v>178.36313189748449</v>
      </c>
      <c r="R272" s="5">
        <f>+$P272*BD272</f>
        <v>213.30555766890396</v>
      </c>
      <c r="S272" s="5">
        <f>+$P272*BE272</f>
        <v>188.77698169709529</v>
      </c>
      <c r="T272" s="5">
        <f>+$P272*BF272</f>
        <v>142.99129973710097</v>
      </c>
      <c r="U272" s="5">
        <f>+$P272*BG272</f>
        <v>207.37143621073525</v>
      </c>
      <c r="V272" s="5">
        <f>+$P272*BH272</f>
        <v>169.94066190508929</v>
      </c>
      <c r="W272" s="5">
        <f>+$P272*BI272</f>
        <v>169.18775775452542</v>
      </c>
      <c r="X272" s="5">
        <f>+$P272*BJ272</f>
        <v>114.89421092555993</v>
      </c>
      <c r="Y272" s="5">
        <f>+$P272*BK272</f>
        <v>170.30770469111494</v>
      </c>
      <c r="Z272" s="5">
        <f>+$P272*BL272</f>
        <v>148.31611782607035</v>
      </c>
      <c r="AA272" s="5">
        <f>+$P272*BM272</f>
        <v>151.43637838421435</v>
      </c>
      <c r="AB272" s="5">
        <f>+$P272*BN272</f>
        <v>147.91111873135125</v>
      </c>
      <c r="AC272" s="5">
        <v>0</v>
      </c>
      <c r="AD272" s="5">
        <f>+$AC272*BC272</f>
        <v>0</v>
      </c>
      <c r="AE272" s="5">
        <f>+$AC272*BD272</f>
        <v>0</v>
      </c>
      <c r="AF272" s="5">
        <f>+$AC272*BE272</f>
        <v>0</v>
      </c>
      <c r="AG272" s="5">
        <f>+$AC272*BF272</f>
        <v>0</v>
      </c>
      <c r="AH272" s="5">
        <f>+$AC272*BG272</f>
        <v>0</v>
      </c>
      <c r="AI272" s="5">
        <f>+$AC272*BH272</f>
        <v>0</v>
      </c>
      <c r="AJ272" s="5">
        <f>+$AC272*BI272</f>
        <v>0</v>
      </c>
      <c r="AK272" s="5">
        <f>+$AC272*BJ272</f>
        <v>0</v>
      </c>
      <c r="AL272" s="5">
        <f>+$AC272*BK272</f>
        <v>0</v>
      </c>
      <c r="AM272" s="5">
        <f>+$AC272*BL272</f>
        <v>0</v>
      </c>
      <c r="AN272" s="5">
        <f>+$AC272*BM272</f>
        <v>0</v>
      </c>
      <c r="AO272" s="5">
        <f>+$AC272*BN272</f>
        <v>0</v>
      </c>
      <c r="AP272" s="5">
        <f>+AC272+P272+C272</f>
        <v>2000</v>
      </c>
      <c r="AQ272" s="1">
        <v>267.54469784622671</v>
      </c>
      <c r="AR272" s="1">
        <v>319.95833650335595</v>
      </c>
      <c r="AS272" s="1">
        <v>283.1654725456429</v>
      </c>
      <c r="AT272" s="1">
        <v>214.48694960565146</v>
      </c>
      <c r="AU272" s="1">
        <v>311.05715431610287</v>
      </c>
      <c r="AV272" s="1">
        <v>254.91099285763391</v>
      </c>
      <c r="AW272" s="1">
        <v>253.7816366317881</v>
      </c>
      <c r="AX272" s="1">
        <v>172.34131638833989</v>
      </c>
      <c r="AY272" s="1">
        <v>255.46155703667242</v>
      </c>
      <c r="AZ272" s="1">
        <v>222.47417673910553</v>
      </c>
      <c r="BA272" s="1">
        <v>227.15456757632151</v>
      </c>
      <c r="BB272" s="1">
        <v>221.86667809702686</v>
      </c>
      <c r="BC272" s="2">
        <v>8.9181565948742242E-2</v>
      </c>
      <c r="BD272" s="2">
        <v>0.10665277883445198</v>
      </c>
      <c r="BE272" s="2">
        <v>9.438849084854764E-2</v>
      </c>
      <c r="BF272" s="2">
        <v>7.149564986855049E-2</v>
      </c>
      <c r="BG272" s="2">
        <v>0.10368571810536763</v>
      </c>
      <c r="BH272" s="2">
        <v>8.4970330952544637E-2</v>
      </c>
      <c r="BI272" s="2">
        <v>8.4593878877262704E-2</v>
      </c>
      <c r="BJ272" s="2">
        <v>5.7447105462779965E-2</v>
      </c>
      <c r="BK272" s="2">
        <v>8.5153852345557474E-2</v>
      </c>
      <c r="BL272" s="2">
        <v>7.4158058913035174E-2</v>
      </c>
      <c r="BM272" s="2">
        <v>7.5718189192107169E-2</v>
      </c>
      <c r="BN272" s="2">
        <v>7.3955559365675619E-2</v>
      </c>
    </row>
    <row r="273" spans="1:66" x14ac:dyDescent="0.25">
      <c r="A273" s="8">
        <v>2103</v>
      </c>
      <c r="B273" s="8" t="s">
        <v>723</v>
      </c>
      <c r="C273" s="5">
        <v>2500</v>
      </c>
      <c r="D273" s="5">
        <f>+$C273*BC273</f>
        <v>222.9539148718556</v>
      </c>
      <c r="E273" s="5">
        <f>+$C273*BD273</f>
        <v>266.63194708612997</v>
      </c>
      <c r="F273" s="5">
        <f>+$C273*BE273</f>
        <v>235.97122712136911</v>
      </c>
      <c r="G273" s="5">
        <f>+$C273*BF273</f>
        <v>178.73912467137623</v>
      </c>
      <c r="H273" s="5">
        <f>+$C273*BG273</f>
        <v>259.21429526341905</v>
      </c>
      <c r="I273" s="5">
        <f>+$C273*BH273</f>
        <v>212.42582738136159</v>
      </c>
      <c r="J273" s="5">
        <f>+$C273*BI273</f>
        <v>211.48469719315676</v>
      </c>
      <c r="K273" s="5">
        <f>+$C273*BJ273</f>
        <v>143.6177636569499</v>
      </c>
      <c r="L273" s="5">
        <f>+$C273*BK273</f>
        <v>212.88463086389368</v>
      </c>
      <c r="M273" s="5">
        <f>+$C273*BL273</f>
        <v>185.39514728258794</v>
      </c>
      <c r="N273" s="5">
        <f>+$C273*BM273</f>
        <v>189.29547298026793</v>
      </c>
      <c r="O273" s="5">
        <f>+$C273*BN273</f>
        <v>184.88889841418904</v>
      </c>
      <c r="P273" s="5">
        <v>2000</v>
      </c>
      <c r="Q273" s="5">
        <f>+$P273*BC273</f>
        <v>178.36313189748449</v>
      </c>
      <c r="R273" s="5">
        <f>+$P273*BD273</f>
        <v>213.30555766890396</v>
      </c>
      <c r="S273" s="5">
        <f>+$P273*BE273</f>
        <v>188.77698169709529</v>
      </c>
      <c r="T273" s="5">
        <f>+$P273*BF273</f>
        <v>142.99129973710097</v>
      </c>
      <c r="U273" s="5">
        <f>+$P273*BG273</f>
        <v>207.37143621073525</v>
      </c>
      <c r="V273" s="5">
        <f>+$P273*BH273</f>
        <v>169.94066190508929</v>
      </c>
      <c r="W273" s="5">
        <f>+$P273*BI273</f>
        <v>169.18775775452542</v>
      </c>
      <c r="X273" s="5">
        <f>+$P273*BJ273</f>
        <v>114.89421092555993</v>
      </c>
      <c r="Y273" s="5">
        <f>+$P273*BK273</f>
        <v>170.30770469111494</v>
      </c>
      <c r="Z273" s="5">
        <f>+$P273*BL273</f>
        <v>148.31611782607035</v>
      </c>
      <c r="AA273" s="5">
        <f>+$P273*BM273</f>
        <v>151.43637838421435</v>
      </c>
      <c r="AB273" s="5">
        <f>+$P273*BN273</f>
        <v>147.91111873135125</v>
      </c>
      <c r="AC273" s="5">
        <v>0</v>
      </c>
      <c r="AD273" s="5">
        <f>+$AC273*BC273</f>
        <v>0</v>
      </c>
      <c r="AE273" s="5">
        <f>+$AC273*BD273</f>
        <v>0</v>
      </c>
      <c r="AF273" s="5">
        <f>+$AC273*BE273</f>
        <v>0</v>
      </c>
      <c r="AG273" s="5">
        <f>+$AC273*BF273</f>
        <v>0</v>
      </c>
      <c r="AH273" s="5">
        <f>+$AC273*BG273</f>
        <v>0</v>
      </c>
      <c r="AI273" s="5">
        <f>+$AC273*BH273</f>
        <v>0</v>
      </c>
      <c r="AJ273" s="5">
        <f>+$AC273*BI273</f>
        <v>0</v>
      </c>
      <c r="AK273" s="5">
        <f>+$AC273*BJ273</f>
        <v>0</v>
      </c>
      <c r="AL273" s="5">
        <f>+$AC273*BK273</f>
        <v>0</v>
      </c>
      <c r="AM273" s="5">
        <f>+$AC273*BL273</f>
        <v>0</v>
      </c>
      <c r="AN273" s="5">
        <f>+$AC273*BM273</f>
        <v>0</v>
      </c>
      <c r="AO273" s="5">
        <f>+$AC273*BN273</f>
        <v>0</v>
      </c>
      <c r="AP273" s="5">
        <f>+AC273+P273+C273</f>
        <v>4500</v>
      </c>
      <c r="AQ273" s="1">
        <v>267.54469784622671</v>
      </c>
      <c r="AR273" s="1">
        <v>319.95833650335595</v>
      </c>
      <c r="AS273" s="1">
        <v>283.1654725456429</v>
      </c>
      <c r="AT273" s="1">
        <v>214.48694960565146</v>
      </c>
      <c r="AU273" s="1">
        <v>311.05715431610287</v>
      </c>
      <c r="AV273" s="1">
        <v>254.91099285763391</v>
      </c>
      <c r="AW273" s="1">
        <v>253.7816366317881</v>
      </c>
      <c r="AX273" s="1">
        <v>172.34131638833989</v>
      </c>
      <c r="AY273" s="1">
        <v>255.46155703667242</v>
      </c>
      <c r="AZ273" s="1">
        <v>222.47417673910553</v>
      </c>
      <c r="BA273" s="1">
        <v>227.15456757632151</v>
      </c>
      <c r="BB273" s="1">
        <v>221.86667809702686</v>
      </c>
      <c r="BC273" s="2">
        <v>8.9181565948742242E-2</v>
      </c>
      <c r="BD273" s="2">
        <v>0.10665277883445198</v>
      </c>
      <c r="BE273" s="2">
        <v>9.438849084854764E-2</v>
      </c>
      <c r="BF273" s="2">
        <v>7.149564986855049E-2</v>
      </c>
      <c r="BG273" s="2">
        <v>0.10368571810536763</v>
      </c>
      <c r="BH273" s="2">
        <v>8.4970330952544637E-2</v>
      </c>
      <c r="BI273" s="2">
        <v>8.4593878877262704E-2</v>
      </c>
      <c r="BJ273" s="2">
        <v>5.7447105462779965E-2</v>
      </c>
      <c r="BK273" s="2">
        <v>8.5153852345557474E-2</v>
      </c>
      <c r="BL273" s="2">
        <v>7.4158058913035174E-2</v>
      </c>
      <c r="BM273" s="2">
        <v>7.5718189192107169E-2</v>
      </c>
      <c r="BN273" s="2">
        <v>7.3955559365675619E-2</v>
      </c>
    </row>
    <row r="274" spans="1:66" x14ac:dyDescent="0.25">
      <c r="A274" s="8">
        <v>2828</v>
      </c>
      <c r="B274" s="8" t="s">
        <v>722</v>
      </c>
      <c r="C274" s="5">
        <v>3000</v>
      </c>
      <c r="D274" s="5">
        <f>+$C274*BC274</f>
        <v>267.54469784622671</v>
      </c>
      <c r="E274" s="5">
        <f>+$C274*BD274</f>
        <v>319.95833650335595</v>
      </c>
      <c r="F274" s="5">
        <f>+$C274*BE274</f>
        <v>283.1654725456429</v>
      </c>
      <c r="G274" s="5">
        <f>+$C274*BF274</f>
        <v>214.48694960565146</v>
      </c>
      <c r="H274" s="5">
        <f>+$C274*BG274</f>
        <v>311.05715431610287</v>
      </c>
      <c r="I274" s="5">
        <f>+$C274*BH274</f>
        <v>254.91099285763391</v>
      </c>
      <c r="J274" s="5">
        <f>+$C274*BI274</f>
        <v>253.7816366317881</v>
      </c>
      <c r="K274" s="5">
        <f>+$C274*BJ274</f>
        <v>172.34131638833989</v>
      </c>
      <c r="L274" s="5">
        <f>+$C274*BK274</f>
        <v>255.46155703667242</v>
      </c>
      <c r="M274" s="5">
        <f>+$C274*BL274</f>
        <v>222.47417673910553</v>
      </c>
      <c r="N274" s="5">
        <f>+$C274*BM274</f>
        <v>227.15456757632151</v>
      </c>
      <c r="O274" s="5">
        <f>+$C274*BN274</f>
        <v>221.86667809702686</v>
      </c>
      <c r="P274" s="5">
        <v>6000</v>
      </c>
      <c r="Q274" s="5">
        <f>+$P274*BC274</f>
        <v>535.08939569245342</v>
      </c>
      <c r="R274" s="5">
        <f>+$P274*BD274</f>
        <v>639.9166730067119</v>
      </c>
      <c r="S274" s="5">
        <f>+$P274*BE274</f>
        <v>566.3309450912858</v>
      </c>
      <c r="T274" s="5">
        <f>+$P274*BF274</f>
        <v>428.97389921130292</v>
      </c>
      <c r="U274" s="5">
        <f>+$P274*BG274</f>
        <v>622.11430863220573</v>
      </c>
      <c r="V274" s="5">
        <f>+$P274*BH274</f>
        <v>509.82198571526783</v>
      </c>
      <c r="W274" s="5">
        <f>+$P274*BI274</f>
        <v>507.56327326357621</v>
      </c>
      <c r="X274" s="5">
        <f>+$P274*BJ274</f>
        <v>344.68263277667978</v>
      </c>
      <c r="Y274" s="5">
        <f>+$P274*BK274</f>
        <v>510.92311407334483</v>
      </c>
      <c r="Z274" s="5">
        <f>+$P274*BL274</f>
        <v>444.94835347821106</v>
      </c>
      <c r="AA274" s="5">
        <f>+$P274*BM274</f>
        <v>454.30913515264302</v>
      </c>
      <c r="AB274" s="5">
        <f>+$P274*BN274</f>
        <v>443.73335619405373</v>
      </c>
      <c r="AC274" s="5">
        <v>0</v>
      </c>
      <c r="AD274" s="5">
        <f>+$AC274*BC274</f>
        <v>0</v>
      </c>
      <c r="AE274" s="5">
        <f>+$AC274*BD274</f>
        <v>0</v>
      </c>
      <c r="AF274" s="5">
        <f>+$AC274*BE274</f>
        <v>0</v>
      </c>
      <c r="AG274" s="5">
        <f>+$AC274*BF274</f>
        <v>0</v>
      </c>
      <c r="AH274" s="5">
        <f>+$AC274*BG274</f>
        <v>0</v>
      </c>
      <c r="AI274" s="5">
        <f>+$AC274*BH274</f>
        <v>0</v>
      </c>
      <c r="AJ274" s="5">
        <f>+$AC274*BI274</f>
        <v>0</v>
      </c>
      <c r="AK274" s="5">
        <f>+$AC274*BJ274</f>
        <v>0</v>
      </c>
      <c r="AL274" s="5">
        <f>+$AC274*BK274</f>
        <v>0</v>
      </c>
      <c r="AM274" s="5">
        <f>+$AC274*BL274</f>
        <v>0</v>
      </c>
      <c r="AN274" s="5">
        <f>+$AC274*BM274</f>
        <v>0</v>
      </c>
      <c r="AO274" s="5">
        <f>+$AC274*BN274</f>
        <v>0</v>
      </c>
      <c r="AP274" s="5">
        <f>+AC274+P274+C274</f>
        <v>9000</v>
      </c>
      <c r="AQ274" s="1">
        <v>380.54871123589481</v>
      </c>
      <c r="AR274" s="1">
        <v>455.10052557840322</v>
      </c>
      <c r="AS274" s="1">
        <v>402.7673002351271</v>
      </c>
      <c r="AT274" s="1">
        <v>305.08073195403875</v>
      </c>
      <c r="AU274" s="1">
        <v>442.43971249893059</v>
      </c>
      <c r="AV274" s="1">
        <v>362.5788535252151</v>
      </c>
      <c r="AW274" s="1">
        <v>360.97248621638181</v>
      </c>
      <c r="AX274" s="1">
        <v>245.13386500365402</v>
      </c>
      <c r="AY274" s="1">
        <v>363.3619618823322</v>
      </c>
      <c r="AZ274" s="1">
        <v>316.44155882316738</v>
      </c>
      <c r="BA274" s="1">
        <v>323.09882661999188</v>
      </c>
      <c r="BB274" s="1">
        <v>315.57746834713981</v>
      </c>
      <c r="BC274" s="2">
        <v>8.9181565948742242E-2</v>
      </c>
      <c r="BD274" s="2">
        <v>0.10665277883445198</v>
      </c>
      <c r="BE274" s="2">
        <v>9.438849084854764E-2</v>
      </c>
      <c r="BF274" s="2">
        <v>7.149564986855049E-2</v>
      </c>
      <c r="BG274" s="2">
        <v>0.10368571810536763</v>
      </c>
      <c r="BH274" s="2">
        <v>8.4970330952544637E-2</v>
      </c>
      <c r="BI274" s="2">
        <v>8.4593878877262704E-2</v>
      </c>
      <c r="BJ274" s="2">
        <v>5.7447105462779965E-2</v>
      </c>
      <c r="BK274" s="2">
        <v>8.5153852345557474E-2</v>
      </c>
      <c r="BL274" s="2">
        <v>7.4158058913035174E-2</v>
      </c>
      <c r="BM274" s="2">
        <v>7.5718189192107169E-2</v>
      </c>
      <c r="BN274" s="2">
        <v>7.3955559365675619E-2</v>
      </c>
    </row>
    <row r="275" spans="1:66" x14ac:dyDescent="0.25">
      <c r="A275" s="8">
        <v>2947</v>
      </c>
      <c r="B275" s="8" t="s">
        <v>721</v>
      </c>
      <c r="C275" s="5">
        <v>0</v>
      </c>
      <c r="D275" s="5">
        <f>+$C275*BC275</f>
        <v>0</v>
      </c>
      <c r="E275" s="5">
        <f>+$C275*BD275</f>
        <v>0</v>
      </c>
      <c r="F275" s="5">
        <f>+$C275*BE275</f>
        <v>0</v>
      </c>
      <c r="G275" s="5">
        <f>+$C275*BF275</f>
        <v>0</v>
      </c>
      <c r="H275" s="5">
        <f>+$C275*BG275</f>
        <v>0</v>
      </c>
      <c r="I275" s="5">
        <f>+$C275*BH275</f>
        <v>0</v>
      </c>
      <c r="J275" s="5">
        <f>+$C275*BI275</f>
        <v>0</v>
      </c>
      <c r="K275" s="5">
        <f>+$C275*BJ275</f>
        <v>0</v>
      </c>
      <c r="L275" s="5">
        <f>+$C275*BK275</f>
        <v>0</v>
      </c>
      <c r="M275" s="5">
        <f>+$C275*BL275</f>
        <v>0</v>
      </c>
      <c r="N275" s="5">
        <f>+$C275*BM275</f>
        <v>0</v>
      </c>
      <c r="O275" s="5">
        <f>+$C275*BN275</f>
        <v>0</v>
      </c>
      <c r="P275" s="5">
        <v>1500</v>
      </c>
      <c r="Q275" s="5">
        <f>+$P275*BC275</f>
        <v>133.77234892311336</v>
      </c>
      <c r="R275" s="5">
        <f>+$P275*BD275</f>
        <v>159.97916825167798</v>
      </c>
      <c r="S275" s="5">
        <f>+$P275*BE275</f>
        <v>141.58273627282145</v>
      </c>
      <c r="T275" s="5">
        <f>+$P275*BF275</f>
        <v>107.24347480282573</v>
      </c>
      <c r="U275" s="5">
        <f>+$P275*BG275</f>
        <v>155.52857715805143</v>
      </c>
      <c r="V275" s="5">
        <f>+$P275*BH275</f>
        <v>127.45549642881696</v>
      </c>
      <c r="W275" s="5">
        <f>+$P275*BI275</f>
        <v>126.89081831589405</v>
      </c>
      <c r="X275" s="5">
        <f>+$P275*BJ275</f>
        <v>86.170658194169945</v>
      </c>
      <c r="Y275" s="5">
        <f>+$P275*BK275</f>
        <v>127.73077851833621</v>
      </c>
      <c r="Z275" s="5">
        <f>+$P275*BL275</f>
        <v>111.23708836955277</v>
      </c>
      <c r="AA275" s="5">
        <f>+$P275*BM275</f>
        <v>113.57728378816076</v>
      </c>
      <c r="AB275" s="5">
        <f>+$P275*BN275</f>
        <v>110.93333904851343</v>
      </c>
      <c r="AC275" s="5">
        <v>0</v>
      </c>
      <c r="AD275" s="5">
        <f>+$AC275*BC275</f>
        <v>0</v>
      </c>
      <c r="AE275" s="5">
        <f>+$AC275*BD275</f>
        <v>0</v>
      </c>
      <c r="AF275" s="5">
        <f>+$AC275*BE275</f>
        <v>0</v>
      </c>
      <c r="AG275" s="5">
        <f>+$AC275*BF275</f>
        <v>0</v>
      </c>
      <c r="AH275" s="5">
        <f>+$AC275*BG275</f>
        <v>0</v>
      </c>
      <c r="AI275" s="5">
        <f>+$AC275*BH275</f>
        <v>0</v>
      </c>
      <c r="AJ275" s="5">
        <f>+$AC275*BI275</f>
        <v>0</v>
      </c>
      <c r="AK275" s="5">
        <f>+$AC275*BJ275</f>
        <v>0</v>
      </c>
      <c r="AL275" s="5">
        <f>+$AC275*BK275</f>
        <v>0</v>
      </c>
      <c r="AM275" s="5">
        <f>+$AC275*BL275</f>
        <v>0</v>
      </c>
      <c r="AN275" s="5">
        <f>+$AC275*BM275</f>
        <v>0</v>
      </c>
      <c r="AO275" s="5">
        <f>+$AC275*BN275</f>
        <v>0</v>
      </c>
      <c r="AP275" s="5">
        <f>+AC275+P275+C275</f>
        <v>1500</v>
      </c>
      <c r="AQ275" s="1">
        <v>267.54469784622671</v>
      </c>
      <c r="AR275" s="1">
        <v>319.95833650335595</v>
      </c>
      <c r="AS275" s="1">
        <v>283.1654725456429</v>
      </c>
      <c r="AT275" s="1">
        <v>214.48694960565146</v>
      </c>
      <c r="AU275" s="1">
        <v>311.05715431610287</v>
      </c>
      <c r="AV275" s="1">
        <v>254.91099285763391</v>
      </c>
      <c r="AW275" s="1">
        <v>253.7816366317881</v>
      </c>
      <c r="AX275" s="1">
        <v>172.34131638833989</v>
      </c>
      <c r="AY275" s="1">
        <v>255.46155703667242</v>
      </c>
      <c r="AZ275" s="1">
        <v>222.47417673910553</v>
      </c>
      <c r="BA275" s="1">
        <v>227.15456757632151</v>
      </c>
      <c r="BB275" s="1">
        <v>221.86667809702686</v>
      </c>
      <c r="BC275" s="2">
        <v>8.9181565948742242E-2</v>
      </c>
      <c r="BD275" s="2">
        <v>0.10665277883445198</v>
      </c>
      <c r="BE275" s="2">
        <v>9.438849084854764E-2</v>
      </c>
      <c r="BF275" s="2">
        <v>7.149564986855049E-2</v>
      </c>
      <c r="BG275" s="2">
        <v>0.10368571810536763</v>
      </c>
      <c r="BH275" s="2">
        <v>8.4970330952544637E-2</v>
      </c>
      <c r="BI275" s="2">
        <v>8.4593878877262704E-2</v>
      </c>
      <c r="BJ275" s="2">
        <v>5.7447105462779965E-2</v>
      </c>
      <c r="BK275" s="2">
        <v>8.5153852345557474E-2</v>
      </c>
      <c r="BL275" s="2">
        <v>7.4158058913035174E-2</v>
      </c>
      <c r="BM275" s="2">
        <v>7.5718189192107169E-2</v>
      </c>
      <c r="BN275" s="2">
        <v>7.3955559365675619E-2</v>
      </c>
    </row>
    <row r="276" spans="1:66" x14ac:dyDescent="0.25">
      <c r="A276" s="8">
        <v>2953</v>
      </c>
      <c r="B276" s="8" t="s">
        <v>720</v>
      </c>
      <c r="C276" s="5">
        <v>3000</v>
      </c>
      <c r="D276" s="5">
        <f>+$C276*BC276</f>
        <v>267.54469784622671</v>
      </c>
      <c r="E276" s="5">
        <f>+$C276*BD276</f>
        <v>319.95833650335595</v>
      </c>
      <c r="F276" s="5">
        <f>+$C276*BE276</f>
        <v>283.1654725456429</v>
      </c>
      <c r="G276" s="5">
        <f>+$C276*BF276</f>
        <v>214.48694960565146</v>
      </c>
      <c r="H276" s="5">
        <f>+$C276*BG276</f>
        <v>311.05715431610287</v>
      </c>
      <c r="I276" s="5">
        <f>+$C276*BH276</f>
        <v>254.91099285763391</v>
      </c>
      <c r="J276" s="5">
        <f>+$C276*BI276</f>
        <v>253.7816366317881</v>
      </c>
      <c r="K276" s="5">
        <f>+$C276*BJ276</f>
        <v>172.34131638833989</v>
      </c>
      <c r="L276" s="5">
        <f>+$C276*BK276</f>
        <v>255.46155703667242</v>
      </c>
      <c r="M276" s="5">
        <f>+$C276*BL276</f>
        <v>222.47417673910553</v>
      </c>
      <c r="N276" s="5">
        <f>+$C276*BM276</f>
        <v>227.15456757632151</v>
      </c>
      <c r="O276" s="5">
        <f>+$C276*BN276</f>
        <v>221.86667809702686</v>
      </c>
      <c r="P276" s="5">
        <v>0</v>
      </c>
      <c r="Q276" s="5">
        <f>+$P276*BC276</f>
        <v>0</v>
      </c>
      <c r="R276" s="5">
        <f>+$P276*BD276</f>
        <v>0</v>
      </c>
      <c r="S276" s="5">
        <f>+$P276*BE276</f>
        <v>0</v>
      </c>
      <c r="T276" s="5">
        <f>+$P276*BF276</f>
        <v>0</v>
      </c>
      <c r="U276" s="5">
        <f>+$P276*BG276</f>
        <v>0</v>
      </c>
      <c r="V276" s="5">
        <f>+$P276*BH276</f>
        <v>0</v>
      </c>
      <c r="W276" s="5">
        <f>+$P276*BI276</f>
        <v>0</v>
      </c>
      <c r="X276" s="5">
        <f>+$P276*BJ276</f>
        <v>0</v>
      </c>
      <c r="Y276" s="5">
        <f>+$P276*BK276</f>
        <v>0</v>
      </c>
      <c r="Z276" s="5">
        <f>+$P276*BL276</f>
        <v>0</v>
      </c>
      <c r="AA276" s="5">
        <f>+$P276*BM276</f>
        <v>0</v>
      </c>
      <c r="AB276" s="5">
        <f>+$P276*BN276</f>
        <v>0</v>
      </c>
      <c r="AC276" s="5">
        <v>0</v>
      </c>
      <c r="AD276" s="5">
        <f>+$AC276*BC276</f>
        <v>0</v>
      </c>
      <c r="AE276" s="5">
        <f>+$AC276*BD276</f>
        <v>0</v>
      </c>
      <c r="AF276" s="5">
        <f>+$AC276*BE276</f>
        <v>0</v>
      </c>
      <c r="AG276" s="5">
        <f>+$AC276*BF276</f>
        <v>0</v>
      </c>
      <c r="AH276" s="5">
        <f>+$AC276*BG276</f>
        <v>0</v>
      </c>
      <c r="AI276" s="5">
        <f>+$AC276*BH276</f>
        <v>0</v>
      </c>
      <c r="AJ276" s="5">
        <f>+$AC276*BI276</f>
        <v>0</v>
      </c>
      <c r="AK276" s="5">
        <f>+$AC276*BJ276</f>
        <v>0</v>
      </c>
      <c r="AL276" s="5">
        <f>+$AC276*BK276</f>
        <v>0</v>
      </c>
      <c r="AM276" s="5">
        <f>+$AC276*BL276</f>
        <v>0</v>
      </c>
      <c r="AN276" s="5">
        <f>+$AC276*BM276</f>
        <v>0</v>
      </c>
      <c r="AO276" s="5">
        <f>+$AC276*BN276</f>
        <v>0</v>
      </c>
      <c r="AP276" s="5">
        <f>+AC276+P276+C276</f>
        <v>3000</v>
      </c>
      <c r="AQ276" s="1">
        <v>267.54469784622671</v>
      </c>
      <c r="AR276" s="1">
        <v>319.95833650335595</v>
      </c>
      <c r="AS276" s="1">
        <v>283.1654725456429</v>
      </c>
      <c r="AT276" s="1">
        <v>214.48694960565146</v>
      </c>
      <c r="AU276" s="1">
        <v>311.05715431610287</v>
      </c>
      <c r="AV276" s="1">
        <v>254.91099285763391</v>
      </c>
      <c r="AW276" s="1">
        <v>253.7816366317881</v>
      </c>
      <c r="AX276" s="1">
        <v>172.34131638833989</v>
      </c>
      <c r="AY276" s="1">
        <v>255.46155703667242</v>
      </c>
      <c r="AZ276" s="1">
        <v>222.47417673910553</v>
      </c>
      <c r="BA276" s="1">
        <v>227.15456757632151</v>
      </c>
      <c r="BB276" s="1">
        <v>221.86667809702686</v>
      </c>
      <c r="BC276" s="2">
        <v>8.9181565948742242E-2</v>
      </c>
      <c r="BD276" s="2">
        <v>0.10665277883445198</v>
      </c>
      <c r="BE276" s="2">
        <v>9.438849084854764E-2</v>
      </c>
      <c r="BF276" s="2">
        <v>7.149564986855049E-2</v>
      </c>
      <c r="BG276" s="2">
        <v>0.10368571810536763</v>
      </c>
      <c r="BH276" s="2">
        <v>8.4970330952544637E-2</v>
      </c>
      <c r="BI276" s="2">
        <v>8.4593878877262704E-2</v>
      </c>
      <c r="BJ276" s="2">
        <v>5.7447105462779965E-2</v>
      </c>
      <c r="BK276" s="2">
        <v>8.5153852345557474E-2</v>
      </c>
      <c r="BL276" s="2">
        <v>7.4158058913035174E-2</v>
      </c>
      <c r="BM276" s="2">
        <v>7.5718189192107169E-2</v>
      </c>
      <c r="BN276" s="2">
        <v>7.3955559365675619E-2</v>
      </c>
    </row>
    <row r="277" spans="1:66" x14ac:dyDescent="0.25">
      <c r="A277" s="8">
        <v>2955</v>
      </c>
      <c r="B277" s="8" t="s">
        <v>719</v>
      </c>
      <c r="C277" s="5">
        <v>0</v>
      </c>
      <c r="D277" s="5">
        <f>+$C277*BC277</f>
        <v>0</v>
      </c>
      <c r="E277" s="5">
        <f>+$C277*BD277</f>
        <v>0</v>
      </c>
      <c r="F277" s="5">
        <f>+$C277*BE277</f>
        <v>0</v>
      </c>
      <c r="G277" s="5">
        <f>+$C277*BF277</f>
        <v>0</v>
      </c>
      <c r="H277" s="5">
        <f>+$C277*BG277</f>
        <v>0</v>
      </c>
      <c r="I277" s="5">
        <f>+$C277*BH277</f>
        <v>0</v>
      </c>
      <c r="J277" s="5">
        <f>+$C277*BI277</f>
        <v>0</v>
      </c>
      <c r="K277" s="5">
        <f>+$C277*BJ277</f>
        <v>0</v>
      </c>
      <c r="L277" s="5">
        <f>+$C277*BK277</f>
        <v>0</v>
      </c>
      <c r="M277" s="5">
        <f>+$C277*BL277</f>
        <v>0</v>
      </c>
      <c r="N277" s="5">
        <f>+$C277*BM277</f>
        <v>0</v>
      </c>
      <c r="O277" s="5">
        <f>+$C277*BN277</f>
        <v>0</v>
      </c>
      <c r="P277" s="5">
        <v>3000</v>
      </c>
      <c r="Q277" s="5">
        <f>+$P277*BC277</f>
        <v>267.54469784622671</v>
      </c>
      <c r="R277" s="5">
        <f>+$P277*BD277</f>
        <v>319.95833650335595</v>
      </c>
      <c r="S277" s="5">
        <f>+$P277*BE277</f>
        <v>283.1654725456429</v>
      </c>
      <c r="T277" s="5">
        <f>+$P277*BF277</f>
        <v>214.48694960565146</v>
      </c>
      <c r="U277" s="5">
        <f>+$P277*BG277</f>
        <v>311.05715431610287</v>
      </c>
      <c r="V277" s="5">
        <f>+$P277*BH277</f>
        <v>254.91099285763391</v>
      </c>
      <c r="W277" s="5">
        <f>+$P277*BI277</f>
        <v>253.7816366317881</v>
      </c>
      <c r="X277" s="5">
        <f>+$P277*BJ277</f>
        <v>172.34131638833989</v>
      </c>
      <c r="Y277" s="5">
        <f>+$P277*BK277</f>
        <v>255.46155703667242</v>
      </c>
      <c r="Z277" s="5">
        <f>+$P277*BL277</f>
        <v>222.47417673910553</v>
      </c>
      <c r="AA277" s="5">
        <f>+$P277*BM277</f>
        <v>227.15456757632151</v>
      </c>
      <c r="AB277" s="5">
        <f>+$P277*BN277</f>
        <v>221.86667809702686</v>
      </c>
      <c r="AC277" s="5">
        <v>0</v>
      </c>
      <c r="AD277" s="5">
        <f>+$AC277*BC277</f>
        <v>0</v>
      </c>
      <c r="AE277" s="5">
        <f>+$AC277*BD277</f>
        <v>0</v>
      </c>
      <c r="AF277" s="5">
        <f>+$AC277*BE277</f>
        <v>0</v>
      </c>
      <c r="AG277" s="5">
        <f>+$AC277*BF277</f>
        <v>0</v>
      </c>
      <c r="AH277" s="5">
        <f>+$AC277*BG277</f>
        <v>0</v>
      </c>
      <c r="AI277" s="5">
        <f>+$AC277*BH277</f>
        <v>0</v>
      </c>
      <c r="AJ277" s="5">
        <f>+$AC277*BI277</f>
        <v>0</v>
      </c>
      <c r="AK277" s="5">
        <f>+$AC277*BJ277</f>
        <v>0</v>
      </c>
      <c r="AL277" s="5">
        <f>+$AC277*BK277</f>
        <v>0</v>
      </c>
      <c r="AM277" s="5">
        <f>+$AC277*BL277</f>
        <v>0</v>
      </c>
      <c r="AN277" s="5">
        <f>+$AC277*BM277</f>
        <v>0</v>
      </c>
      <c r="AO277" s="5">
        <f>+$AC277*BN277</f>
        <v>0</v>
      </c>
      <c r="AP277" s="5">
        <f>+AC277+P277+C277</f>
        <v>3000</v>
      </c>
      <c r="AQ277" s="1">
        <v>267.54469784622671</v>
      </c>
      <c r="AR277" s="1">
        <v>319.95833650335595</v>
      </c>
      <c r="AS277" s="1">
        <v>283.1654725456429</v>
      </c>
      <c r="AT277" s="1">
        <v>214.48694960565146</v>
      </c>
      <c r="AU277" s="1">
        <v>311.05715431610287</v>
      </c>
      <c r="AV277" s="1">
        <v>254.91099285763391</v>
      </c>
      <c r="AW277" s="1">
        <v>253.7816366317881</v>
      </c>
      <c r="AX277" s="1">
        <v>172.34131638833989</v>
      </c>
      <c r="AY277" s="1">
        <v>255.46155703667242</v>
      </c>
      <c r="AZ277" s="1">
        <v>222.47417673910553</v>
      </c>
      <c r="BA277" s="1">
        <v>227.15456757632151</v>
      </c>
      <c r="BB277" s="1">
        <v>221.86667809702686</v>
      </c>
      <c r="BC277" s="2">
        <v>8.9181565948742242E-2</v>
      </c>
      <c r="BD277" s="2">
        <v>0.10665277883445198</v>
      </c>
      <c r="BE277" s="2">
        <v>9.438849084854764E-2</v>
      </c>
      <c r="BF277" s="2">
        <v>7.149564986855049E-2</v>
      </c>
      <c r="BG277" s="2">
        <v>0.10368571810536763</v>
      </c>
      <c r="BH277" s="2">
        <v>8.4970330952544637E-2</v>
      </c>
      <c r="BI277" s="2">
        <v>8.4593878877262704E-2</v>
      </c>
      <c r="BJ277" s="2">
        <v>5.7447105462779965E-2</v>
      </c>
      <c r="BK277" s="2">
        <v>8.5153852345557474E-2</v>
      </c>
      <c r="BL277" s="2">
        <v>7.4158058913035174E-2</v>
      </c>
      <c r="BM277" s="2">
        <v>7.5718189192107169E-2</v>
      </c>
      <c r="BN277" s="2">
        <v>7.3955559365675619E-2</v>
      </c>
    </row>
    <row r="278" spans="1:66" x14ac:dyDescent="0.25">
      <c r="A278" s="8">
        <v>3438</v>
      </c>
      <c r="B278" s="8" t="s">
        <v>718</v>
      </c>
      <c r="C278" s="5">
        <v>4000</v>
      </c>
      <c r="D278" s="5">
        <f>+$C278*BC278</f>
        <v>356.72626379496899</v>
      </c>
      <c r="E278" s="5">
        <f>+$C278*BD278</f>
        <v>426.61111533780792</v>
      </c>
      <c r="F278" s="5">
        <f>+$C278*BE278</f>
        <v>377.55396339419059</v>
      </c>
      <c r="G278" s="5">
        <f>+$C278*BF278</f>
        <v>285.98259947420195</v>
      </c>
      <c r="H278" s="5">
        <f>+$C278*BG278</f>
        <v>414.74287242147051</v>
      </c>
      <c r="I278" s="5">
        <f>+$C278*BH278</f>
        <v>339.88132381017857</v>
      </c>
      <c r="J278" s="5">
        <f>+$C278*BI278</f>
        <v>338.37551550905084</v>
      </c>
      <c r="K278" s="5">
        <f>+$C278*BJ278</f>
        <v>229.78842185111986</v>
      </c>
      <c r="L278" s="5">
        <f>+$C278*BK278</f>
        <v>340.61540938222987</v>
      </c>
      <c r="M278" s="5">
        <f>+$C278*BL278</f>
        <v>296.63223565214071</v>
      </c>
      <c r="N278" s="5">
        <f>+$C278*BM278</f>
        <v>302.8727567684287</v>
      </c>
      <c r="O278" s="5">
        <f>+$C278*BN278</f>
        <v>295.8222374627025</v>
      </c>
      <c r="P278" s="5">
        <v>0</v>
      </c>
      <c r="Q278" s="5">
        <f>+$P278*BC278</f>
        <v>0</v>
      </c>
      <c r="R278" s="5">
        <f>+$P278*BD278</f>
        <v>0</v>
      </c>
      <c r="S278" s="5">
        <f>+$P278*BE278</f>
        <v>0</v>
      </c>
      <c r="T278" s="5">
        <f>+$P278*BF278</f>
        <v>0</v>
      </c>
      <c r="U278" s="5">
        <f>+$P278*BG278</f>
        <v>0</v>
      </c>
      <c r="V278" s="5">
        <f>+$P278*BH278</f>
        <v>0</v>
      </c>
      <c r="W278" s="5">
        <f>+$P278*BI278</f>
        <v>0</v>
      </c>
      <c r="X278" s="5">
        <f>+$P278*BJ278</f>
        <v>0</v>
      </c>
      <c r="Y278" s="5">
        <f>+$P278*BK278</f>
        <v>0</v>
      </c>
      <c r="Z278" s="5">
        <f>+$P278*BL278</f>
        <v>0</v>
      </c>
      <c r="AA278" s="5">
        <f>+$P278*BM278</f>
        <v>0</v>
      </c>
      <c r="AB278" s="5">
        <f>+$P278*BN278</f>
        <v>0</v>
      </c>
      <c r="AC278" s="5">
        <v>0</v>
      </c>
      <c r="AD278" s="5">
        <f>+$AC278*BC278</f>
        <v>0</v>
      </c>
      <c r="AE278" s="5">
        <f>+$AC278*BD278</f>
        <v>0</v>
      </c>
      <c r="AF278" s="5">
        <f>+$AC278*BE278</f>
        <v>0</v>
      </c>
      <c r="AG278" s="5">
        <f>+$AC278*BF278</f>
        <v>0</v>
      </c>
      <c r="AH278" s="5">
        <f>+$AC278*BG278</f>
        <v>0</v>
      </c>
      <c r="AI278" s="5">
        <f>+$AC278*BH278</f>
        <v>0</v>
      </c>
      <c r="AJ278" s="5">
        <f>+$AC278*BI278</f>
        <v>0</v>
      </c>
      <c r="AK278" s="5">
        <f>+$AC278*BJ278</f>
        <v>0</v>
      </c>
      <c r="AL278" s="5">
        <f>+$AC278*BK278</f>
        <v>0</v>
      </c>
      <c r="AM278" s="5">
        <f>+$AC278*BL278</f>
        <v>0</v>
      </c>
      <c r="AN278" s="5">
        <f>+$AC278*BM278</f>
        <v>0</v>
      </c>
      <c r="AO278" s="5">
        <f>+$AC278*BN278</f>
        <v>0</v>
      </c>
      <c r="AP278" s="5">
        <f>+AC278+P278+C278</f>
        <v>4000</v>
      </c>
      <c r="AQ278" s="1">
        <v>267.54469784622671</v>
      </c>
      <c r="AR278" s="1">
        <v>319.95833650335595</v>
      </c>
      <c r="AS278" s="1">
        <v>283.1654725456429</v>
      </c>
      <c r="AT278" s="1">
        <v>214.48694960565146</v>
      </c>
      <c r="AU278" s="1">
        <v>311.05715431610287</v>
      </c>
      <c r="AV278" s="1">
        <v>254.91099285763391</v>
      </c>
      <c r="AW278" s="1">
        <v>253.7816366317881</v>
      </c>
      <c r="AX278" s="1">
        <v>172.34131638833989</v>
      </c>
      <c r="AY278" s="1">
        <v>255.46155703667242</v>
      </c>
      <c r="AZ278" s="1">
        <v>222.47417673910553</v>
      </c>
      <c r="BA278" s="1">
        <v>227.15456757632151</v>
      </c>
      <c r="BB278" s="1">
        <v>221.86667809702686</v>
      </c>
      <c r="BC278" s="2">
        <v>8.9181565948742242E-2</v>
      </c>
      <c r="BD278" s="2">
        <v>0.10665277883445198</v>
      </c>
      <c r="BE278" s="2">
        <v>9.438849084854764E-2</v>
      </c>
      <c r="BF278" s="2">
        <v>7.149564986855049E-2</v>
      </c>
      <c r="BG278" s="2">
        <v>0.10368571810536763</v>
      </c>
      <c r="BH278" s="2">
        <v>8.4970330952544637E-2</v>
      </c>
      <c r="BI278" s="2">
        <v>8.4593878877262704E-2</v>
      </c>
      <c r="BJ278" s="2">
        <v>5.7447105462779965E-2</v>
      </c>
      <c r="BK278" s="2">
        <v>8.5153852345557474E-2</v>
      </c>
      <c r="BL278" s="2">
        <v>7.4158058913035174E-2</v>
      </c>
      <c r="BM278" s="2">
        <v>7.5718189192107169E-2</v>
      </c>
      <c r="BN278" s="2">
        <v>7.3955559365675619E-2</v>
      </c>
    </row>
    <row r="279" spans="1:66" x14ac:dyDescent="0.25">
      <c r="A279" s="8">
        <v>3710</v>
      </c>
      <c r="B279" s="8" t="s">
        <v>717</v>
      </c>
      <c r="C279" s="5">
        <v>0</v>
      </c>
      <c r="D279" s="5">
        <f>+$C279*BC279</f>
        <v>0</v>
      </c>
      <c r="E279" s="5">
        <f>+$C279*BD279</f>
        <v>0</v>
      </c>
      <c r="F279" s="5">
        <f>+$C279*BE279</f>
        <v>0</v>
      </c>
      <c r="G279" s="5">
        <f>+$C279*BF279</f>
        <v>0</v>
      </c>
      <c r="H279" s="5">
        <f>+$C279*BG279</f>
        <v>0</v>
      </c>
      <c r="I279" s="5">
        <f>+$C279*BH279</f>
        <v>0</v>
      </c>
      <c r="J279" s="5">
        <f>+$C279*BI279</f>
        <v>0</v>
      </c>
      <c r="K279" s="5">
        <f>+$C279*BJ279</f>
        <v>0</v>
      </c>
      <c r="L279" s="5">
        <f>+$C279*BK279</f>
        <v>0</v>
      </c>
      <c r="M279" s="5">
        <f>+$C279*BL279</f>
        <v>0</v>
      </c>
      <c r="N279" s="5">
        <f>+$C279*BM279</f>
        <v>0</v>
      </c>
      <c r="O279" s="5">
        <f>+$C279*BN279</f>
        <v>0</v>
      </c>
      <c r="P279" s="5">
        <v>2000</v>
      </c>
      <c r="Q279" s="5">
        <f>+$P279*BC279</f>
        <v>178.36313189748449</v>
      </c>
      <c r="R279" s="5">
        <f>+$P279*BD279</f>
        <v>213.30555766890396</v>
      </c>
      <c r="S279" s="5">
        <f>+$P279*BE279</f>
        <v>188.77698169709529</v>
      </c>
      <c r="T279" s="5">
        <f>+$P279*BF279</f>
        <v>142.99129973710097</v>
      </c>
      <c r="U279" s="5">
        <f>+$P279*BG279</f>
        <v>207.37143621073525</v>
      </c>
      <c r="V279" s="5">
        <f>+$P279*BH279</f>
        <v>169.94066190508929</v>
      </c>
      <c r="W279" s="5">
        <f>+$P279*BI279</f>
        <v>169.18775775452542</v>
      </c>
      <c r="X279" s="5">
        <f>+$P279*BJ279</f>
        <v>114.89421092555993</v>
      </c>
      <c r="Y279" s="5">
        <f>+$P279*BK279</f>
        <v>170.30770469111494</v>
      </c>
      <c r="Z279" s="5">
        <f>+$P279*BL279</f>
        <v>148.31611782607035</v>
      </c>
      <c r="AA279" s="5">
        <f>+$P279*BM279</f>
        <v>151.43637838421435</v>
      </c>
      <c r="AB279" s="5">
        <f>+$P279*BN279</f>
        <v>147.91111873135125</v>
      </c>
      <c r="AC279" s="5">
        <v>0</v>
      </c>
      <c r="AD279" s="5">
        <f>+$AC279*BC279</f>
        <v>0</v>
      </c>
      <c r="AE279" s="5">
        <f>+$AC279*BD279</f>
        <v>0</v>
      </c>
      <c r="AF279" s="5">
        <f>+$AC279*BE279</f>
        <v>0</v>
      </c>
      <c r="AG279" s="5">
        <f>+$AC279*BF279</f>
        <v>0</v>
      </c>
      <c r="AH279" s="5">
        <f>+$AC279*BG279</f>
        <v>0</v>
      </c>
      <c r="AI279" s="5">
        <f>+$AC279*BH279</f>
        <v>0</v>
      </c>
      <c r="AJ279" s="5">
        <f>+$AC279*BI279</f>
        <v>0</v>
      </c>
      <c r="AK279" s="5">
        <f>+$AC279*BJ279</f>
        <v>0</v>
      </c>
      <c r="AL279" s="5">
        <f>+$AC279*BK279</f>
        <v>0</v>
      </c>
      <c r="AM279" s="5">
        <f>+$AC279*BL279</f>
        <v>0</v>
      </c>
      <c r="AN279" s="5">
        <f>+$AC279*BM279</f>
        <v>0</v>
      </c>
      <c r="AO279" s="5">
        <f>+$AC279*BN279</f>
        <v>0</v>
      </c>
      <c r="AP279" s="5">
        <f>+AC279+P279+C279</f>
        <v>2000</v>
      </c>
      <c r="AQ279" s="1">
        <v>267.54469784622671</v>
      </c>
      <c r="AR279" s="1">
        <v>319.95833650335595</v>
      </c>
      <c r="AS279" s="1">
        <v>283.1654725456429</v>
      </c>
      <c r="AT279" s="1">
        <v>214.48694960565146</v>
      </c>
      <c r="AU279" s="1">
        <v>311.05715431610287</v>
      </c>
      <c r="AV279" s="1">
        <v>254.91099285763391</v>
      </c>
      <c r="AW279" s="1">
        <v>253.7816366317881</v>
      </c>
      <c r="AX279" s="1">
        <v>172.34131638833989</v>
      </c>
      <c r="AY279" s="1">
        <v>255.46155703667242</v>
      </c>
      <c r="AZ279" s="1">
        <v>222.47417673910553</v>
      </c>
      <c r="BA279" s="1">
        <v>227.15456757632151</v>
      </c>
      <c r="BB279" s="1">
        <v>221.86667809702686</v>
      </c>
      <c r="BC279" s="2">
        <v>8.9181565948742242E-2</v>
      </c>
      <c r="BD279" s="2">
        <v>0.10665277883445198</v>
      </c>
      <c r="BE279" s="2">
        <v>9.438849084854764E-2</v>
      </c>
      <c r="BF279" s="2">
        <v>7.149564986855049E-2</v>
      </c>
      <c r="BG279" s="2">
        <v>0.10368571810536763</v>
      </c>
      <c r="BH279" s="2">
        <v>8.4970330952544637E-2</v>
      </c>
      <c r="BI279" s="2">
        <v>8.4593878877262704E-2</v>
      </c>
      <c r="BJ279" s="2">
        <v>5.7447105462779965E-2</v>
      </c>
      <c r="BK279" s="2">
        <v>8.5153852345557474E-2</v>
      </c>
      <c r="BL279" s="2">
        <v>7.4158058913035174E-2</v>
      </c>
      <c r="BM279" s="2">
        <v>7.5718189192107169E-2</v>
      </c>
      <c r="BN279" s="2">
        <v>7.3955559365675619E-2</v>
      </c>
    </row>
    <row r="280" spans="1:66" x14ac:dyDescent="0.25">
      <c r="A280" s="8">
        <v>3861</v>
      </c>
      <c r="B280" s="8" t="s">
        <v>716</v>
      </c>
      <c r="C280" s="5">
        <v>0</v>
      </c>
      <c r="D280" s="5">
        <f>+$C280*BC280</f>
        <v>0</v>
      </c>
      <c r="E280" s="5">
        <f>+$C280*BD280</f>
        <v>0</v>
      </c>
      <c r="F280" s="5">
        <f>+$C280*BE280</f>
        <v>0</v>
      </c>
      <c r="G280" s="5">
        <f>+$C280*BF280</f>
        <v>0</v>
      </c>
      <c r="H280" s="5">
        <f>+$C280*BG280</f>
        <v>0</v>
      </c>
      <c r="I280" s="5">
        <f>+$C280*BH280</f>
        <v>0</v>
      </c>
      <c r="J280" s="5">
        <f>+$C280*BI280</f>
        <v>0</v>
      </c>
      <c r="K280" s="5">
        <f>+$C280*BJ280</f>
        <v>0</v>
      </c>
      <c r="L280" s="5">
        <f>+$C280*BK280</f>
        <v>0</v>
      </c>
      <c r="M280" s="5">
        <f>+$C280*BL280</f>
        <v>0</v>
      </c>
      <c r="N280" s="5">
        <f>+$C280*BM280</f>
        <v>0</v>
      </c>
      <c r="O280" s="5">
        <f>+$C280*BN280</f>
        <v>0</v>
      </c>
      <c r="P280" s="5">
        <v>0</v>
      </c>
      <c r="Q280" s="5">
        <f>+$P280*BC280</f>
        <v>0</v>
      </c>
      <c r="R280" s="5">
        <f>+$P280*BD280</f>
        <v>0</v>
      </c>
      <c r="S280" s="5">
        <f>+$P280*BE280</f>
        <v>0</v>
      </c>
      <c r="T280" s="5">
        <f>+$P280*BF280</f>
        <v>0</v>
      </c>
      <c r="U280" s="5">
        <f>+$P280*BG280</f>
        <v>0</v>
      </c>
      <c r="V280" s="5">
        <f>+$P280*BH280</f>
        <v>0</v>
      </c>
      <c r="W280" s="5">
        <f>+$P280*BI280</f>
        <v>0</v>
      </c>
      <c r="X280" s="5">
        <f>+$P280*BJ280</f>
        <v>0</v>
      </c>
      <c r="Y280" s="5">
        <f>+$P280*BK280</f>
        <v>0</v>
      </c>
      <c r="Z280" s="5">
        <f>+$P280*BL280</f>
        <v>0</v>
      </c>
      <c r="AA280" s="5">
        <f>+$P280*BM280</f>
        <v>0</v>
      </c>
      <c r="AB280" s="5">
        <f>+$P280*BN280</f>
        <v>0</v>
      </c>
      <c r="AC280" s="5">
        <v>0</v>
      </c>
      <c r="AD280" s="5">
        <f>+$AC280*BC280</f>
        <v>0</v>
      </c>
      <c r="AE280" s="5">
        <f>+$AC280*BD280</f>
        <v>0</v>
      </c>
      <c r="AF280" s="5">
        <f>+$AC280*BE280</f>
        <v>0</v>
      </c>
      <c r="AG280" s="5">
        <f>+$AC280*BF280</f>
        <v>0</v>
      </c>
      <c r="AH280" s="5">
        <f>+$AC280*BG280</f>
        <v>0</v>
      </c>
      <c r="AI280" s="5">
        <f>+$AC280*BH280</f>
        <v>0</v>
      </c>
      <c r="AJ280" s="5">
        <f>+$AC280*BI280</f>
        <v>0</v>
      </c>
      <c r="AK280" s="5">
        <f>+$AC280*BJ280</f>
        <v>0</v>
      </c>
      <c r="AL280" s="5">
        <f>+$AC280*BK280</f>
        <v>0</v>
      </c>
      <c r="AM280" s="5">
        <f>+$AC280*BL280</f>
        <v>0</v>
      </c>
      <c r="AN280" s="5">
        <f>+$AC280*BM280</f>
        <v>0</v>
      </c>
      <c r="AO280" s="5">
        <f>+$AC280*BN280</f>
        <v>0</v>
      </c>
      <c r="AP280" s="5">
        <f>+AC280+P280+C280</f>
        <v>0</v>
      </c>
      <c r="AQ280" s="1">
        <v>267.54469784622671</v>
      </c>
      <c r="AR280" s="1">
        <v>319.95833650335595</v>
      </c>
      <c r="AS280" s="1">
        <v>283.1654725456429</v>
      </c>
      <c r="AT280" s="1">
        <v>214.48694960565146</v>
      </c>
      <c r="AU280" s="1">
        <v>311.05715431610287</v>
      </c>
      <c r="AV280" s="1">
        <v>254.91099285763391</v>
      </c>
      <c r="AW280" s="1">
        <v>253.7816366317881</v>
      </c>
      <c r="AX280" s="1">
        <v>172.34131638833989</v>
      </c>
      <c r="AY280" s="1">
        <v>255.46155703667242</v>
      </c>
      <c r="AZ280" s="1">
        <v>222.47417673910553</v>
      </c>
      <c r="BA280" s="1">
        <v>227.15456757632151</v>
      </c>
      <c r="BB280" s="1">
        <v>221.86667809702686</v>
      </c>
      <c r="BC280" s="2">
        <v>8.9181565948742242E-2</v>
      </c>
      <c r="BD280" s="2">
        <v>0.10665277883445198</v>
      </c>
      <c r="BE280" s="2">
        <v>9.438849084854764E-2</v>
      </c>
      <c r="BF280" s="2">
        <v>7.149564986855049E-2</v>
      </c>
      <c r="BG280" s="2">
        <v>0.10368571810536763</v>
      </c>
      <c r="BH280" s="2">
        <v>8.4970330952544637E-2</v>
      </c>
      <c r="BI280" s="2">
        <v>8.4593878877262704E-2</v>
      </c>
      <c r="BJ280" s="2">
        <v>5.7447105462779965E-2</v>
      </c>
      <c r="BK280" s="2">
        <v>8.5153852345557474E-2</v>
      </c>
      <c r="BL280" s="2">
        <v>7.4158058913035174E-2</v>
      </c>
      <c r="BM280" s="2">
        <v>7.5718189192107169E-2</v>
      </c>
      <c r="BN280" s="2">
        <v>7.3955559365675619E-2</v>
      </c>
    </row>
    <row r="281" spans="1:66" x14ac:dyDescent="0.25">
      <c r="A281" s="8">
        <v>3918</v>
      </c>
      <c r="B281" s="8" t="s">
        <v>715</v>
      </c>
      <c r="C281" s="5">
        <v>8000</v>
      </c>
      <c r="D281" s="5">
        <f>+$C281*BC281</f>
        <v>713.45252758993797</v>
      </c>
      <c r="E281" s="5">
        <f>+$C281*BD281</f>
        <v>853.22223067561583</v>
      </c>
      <c r="F281" s="5">
        <f>+$C281*BE281</f>
        <v>755.10792678838118</v>
      </c>
      <c r="G281" s="5">
        <f>+$C281*BF281</f>
        <v>571.96519894840389</v>
      </c>
      <c r="H281" s="5">
        <f>+$C281*BG281</f>
        <v>829.48574484294102</v>
      </c>
      <c r="I281" s="5">
        <f>+$C281*BH281</f>
        <v>679.76264762035714</v>
      </c>
      <c r="J281" s="5">
        <f>+$C281*BI281</f>
        <v>676.75103101810168</v>
      </c>
      <c r="K281" s="5">
        <f>+$C281*BJ281</f>
        <v>459.57684370223973</v>
      </c>
      <c r="L281" s="5">
        <f>+$C281*BK281</f>
        <v>681.23081876445974</v>
      </c>
      <c r="M281" s="5">
        <f>+$C281*BL281</f>
        <v>593.26447130428141</v>
      </c>
      <c r="N281" s="5">
        <f>+$C281*BM281</f>
        <v>605.7455135368574</v>
      </c>
      <c r="O281" s="5">
        <f>+$C281*BN281</f>
        <v>591.64447492540501</v>
      </c>
      <c r="P281" s="5">
        <v>0</v>
      </c>
      <c r="Q281" s="5">
        <f>+$P281*BC281</f>
        <v>0</v>
      </c>
      <c r="R281" s="5">
        <f>+$P281*BD281</f>
        <v>0</v>
      </c>
      <c r="S281" s="5">
        <f>+$P281*BE281</f>
        <v>0</v>
      </c>
      <c r="T281" s="5">
        <f>+$P281*BF281</f>
        <v>0</v>
      </c>
      <c r="U281" s="5">
        <f>+$P281*BG281</f>
        <v>0</v>
      </c>
      <c r="V281" s="5">
        <f>+$P281*BH281</f>
        <v>0</v>
      </c>
      <c r="W281" s="5">
        <f>+$P281*BI281</f>
        <v>0</v>
      </c>
      <c r="X281" s="5">
        <f>+$P281*BJ281</f>
        <v>0</v>
      </c>
      <c r="Y281" s="5">
        <f>+$P281*BK281</f>
        <v>0</v>
      </c>
      <c r="Z281" s="5">
        <f>+$P281*BL281</f>
        <v>0</v>
      </c>
      <c r="AA281" s="5">
        <f>+$P281*BM281</f>
        <v>0</v>
      </c>
      <c r="AB281" s="5">
        <f>+$P281*BN281</f>
        <v>0</v>
      </c>
      <c r="AC281" s="5">
        <v>0</v>
      </c>
      <c r="AD281" s="5">
        <f>+$AC281*BC281</f>
        <v>0</v>
      </c>
      <c r="AE281" s="5">
        <f>+$AC281*BD281</f>
        <v>0</v>
      </c>
      <c r="AF281" s="5">
        <f>+$AC281*BE281</f>
        <v>0</v>
      </c>
      <c r="AG281" s="5">
        <f>+$AC281*BF281</f>
        <v>0</v>
      </c>
      <c r="AH281" s="5">
        <f>+$AC281*BG281</f>
        <v>0</v>
      </c>
      <c r="AI281" s="5">
        <f>+$AC281*BH281</f>
        <v>0</v>
      </c>
      <c r="AJ281" s="5">
        <f>+$AC281*BI281</f>
        <v>0</v>
      </c>
      <c r="AK281" s="5">
        <f>+$AC281*BJ281</f>
        <v>0</v>
      </c>
      <c r="AL281" s="5">
        <f>+$AC281*BK281</f>
        <v>0</v>
      </c>
      <c r="AM281" s="5">
        <f>+$AC281*BL281</f>
        <v>0</v>
      </c>
      <c r="AN281" s="5">
        <f>+$AC281*BM281</f>
        <v>0</v>
      </c>
      <c r="AO281" s="5">
        <f>+$AC281*BN281</f>
        <v>0</v>
      </c>
      <c r="AP281" s="5">
        <f>+AC281+P281+C281</f>
        <v>8000</v>
      </c>
      <c r="AQ281" s="1">
        <v>267.54469784622671</v>
      </c>
      <c r="AR281" s="1">
        <v>319.95833650335595</v>
      </c>
      <c r="AS281" s="1">
        <v>283.1654725456429</v>
      </c>
      <c r="AT281" s="1">
        <v>214.48694960565146</v>
      </c>
      <c r="AU281" s="1">
        <v>311.05715431610287</v>
      </c>
      <c r="AV281" s="1">
        <v>254.91099285763391</v>
      </c>
      <c r="AW281" s="1">
        <v>253.7816366317881</v>
      </c>
      <c r="AX281" s="1">
        <v>172.34131638833989</v>
      </c>
      <c r="AY281" s="1">
        <v>255.46155703667242</v>
      </c>
      <c r="AZ281" s="1">
        <v>222.47417673910553</v>
      </c>
      <c r="BA281" s="1">
        <v>227.15456757632151</v>
      </c>
      <c r="BB281" s="1">
        <v>221.86667809702686</v>
      </c>
      <c r="BC281" s="2">
        <v>8.9181565948742242E-2</v>
      </c>
      <c r="BD281" s="2">
        <v>0.10665277883445198</v>
      </c>
      <c r="BE281" s="2">
        <v>9.438849084854764E-2</v>
      </c>
      <c r="BF281" s="2">
        <v>7.149564986855049E-2</v>
      </c>
      <c r="BG281" s="2">
        <v>0.10368571810536763</v>
      </c>
      <c r="BH281" s="2">
        <v>8.4970330952544637E-2</v>
      </c>
      <c r="BI281" s="2">
        <v>8.4593878877262704E-2</v>
      </c>
      <c r="BJ281" s="2">
        <v>5.7447105462779965E-2</v>
      </c>
      <c r="BK281" s="2">
        <v>8.5153852345557474E-2</v>
      </c>
      <c r="BL281" s="2">
        <v>7.4158058913035174E-2</v>
      </c>
      <c r="BM281" s="2">
        <v>7.5718189192107169E-2</v>
      </c>
      <c r="BN281" s="2">
        <v>7.3955559365675619E-2</v>
      </c>
    </row>
    <row r="282" spans="1:66" x14ac:dyDescent="0.25">
      <c r="A282" s="8">
        <v>3944</v>
      </c>
      <c r="B282" s="8" t="s">
        <v>714</v>
      </c>
      <c r="C282" s="5">
        <v>0</v>
      </c>
      <c r="D282" s="5">
        <f>+$C282*BC282</f>
        <v>0</v>
      </c>
      <c r="E282" s="5">
        <f>+$C282*BD282</f>
        <v>0</v>
      </c>
      <c r="F282" s="5">
        <f>+$C282*BE282</f>
        <v>0</v>
      </c>
      <c r="G282" s="5">
        <f>+$C282*BF282</f>
        <v>0</v>
      </c>
      <c r="H282" s="5">
        <f>+$C282*BG282</f>
        <v>0</v>
      </c>
      <c r="I282" s="5">
        <f>+$C282*BH282</f>
        <v>0</v>
      </c>
      <c r="J282" s="5">
        <f>+$C282*BI282</f>
        <v>0</v>
      </c>
      <c r="K282" s="5">
        <f>+$C282*BJ282</f>
        <v>0</v>
      </c>
      <c r="L282" s="5">
        <f>+$C282*BK282</f>
        <v>0</v>
      </c>
      <c r="M282" s="5">
        <f>+$C282*BL282</f>
        <v>0</v>
      </c>
      <c r="N282" s="5">
        <f>+$C282*BM282</f>
        <v>0</v>
      </c>
      <c r="O282" s="5">
        <f>+$C282*BN282</f>
        <v>0</v>
      </c>
      <c r="P282" s="5">
        <v>0</v>
      </c>
      <c r="Q282" s="5">
        <f>+$P282*BC282</f>
        <v>0</v>
      </c>
      <c r="R282" s="5">
        <f>+$P282*BD282</f>
        <v>0</v>
      </c>
      <c r="S282" s="5">
        <f>+$P282*BE282</f>
        <v>0</v>
      </c>
      <c r="T282" s="5">
        <f>+$P282*BF282</f>
        <v>0</v>
      </c>
      <c r="U282" s="5">
        <f>+$P282*BG282</f>
        <v>0</v>
      </c>
      <c r="V282" s="5">
        <f>+$P282*BH282</f>
        <v>0</v>
      </c>
      <c r="W282" s="5">
        <f>+$P282*BI282</f>
        <v>0</v>
      </c>
      <c r="X282" s="5">
        <f>+$P282*BJ282</f>
        <v>0</v>
      </c>
      <c r="Y282" s="5">
        <f>+$P282*BK282</f>
        <v>0</v>
      </c>
      <c r="Z282" s="5">
        <f>+$P282*BL282</f>
        <v>0</v>
      </c>
      <c r="AA282" s="5">
        <f>+$P282*BM282</f>
        <v>0</v>
      </c>
      <c r="AB282" s="5">
        <f>+$P282*BN282</f>
        <v>0</v>
      </c>
      <c r="AC282" s="5">
        <v>0</v>
      </c>
      <c r="AD282" s="5">
        <f>+$AC282*BC282</f>
        <v>0</v>
      </c>
      <c r="AE282" s="5">
        <f>+$AC282*BD282</f>
        <v>0</v>
      </c>
      <c r="AF282" s="5">
        <f>+$AC282*BE282</f>
        <v>0</v>
      </c>
      <c r="AG282" s="5">
        <f>+$AC282*BF282</f>
        <v>0</v>
      </c>
      <c r="AH282" s="5">
        <f>+$AC282*BG282</f>
        <v>0</v>
      </c>
      <c r="AI282" s="5">
        <f>+$AC282*BH282</f>
        <v>0</v>
      </c>
      <c r="AJ282" s="5">
        <f>+$AC282*BI282</f>
        <v>0</v>
      </c>
      <c r="AK282" s="5">
        <f>+$AC282*BJ282</f>
        <v>0</v>
      </c>
      <c r="AL282" s="5">
        <f>+$AC282*BK282</f>
        <v>0</v>
      </c>
      <c r="AM282" s="5">
        <f>+$AC282*BL282</f>
        <v>0</v>
      </c>
      <c r="AN282" s="5">
        <f>+$AC282*BM282</f>
        <v>0</v>
      </c>
      <c r="AO282" s="5">
        <f>+$AC282*BN282</f>
        <v>0</v>
      </c>
      <c r="AP282" s="5">
        <f>+AC282+P282+C282</f>
        <v>0</v>
      </c>
      <c r="AQ282" s="1">
        <v>267.54469784622671</v>
      </c>
      <c r="AR282" s="1">
        <v>319.95833650335595</v>
      </c>
      <c r="AS282" s="1">
        <v>283.1654725456429</v>
      </c>
      <c r="AT282" s="1">
        <v>214.48694960565146</v>
      </c>
      <c r="AU282" s="1">
        <v>311.05715431610287</v>
      </c>
      <c r="AV282" s="1">
        <v>254.91099285763391</v>
      </c>
      <c r="AW282" s="1">
        <v>253.7816366317881</v>
      </c>
      <c r="AX282" s="1">
        <v>172.34131638833989</v>
      </c>
      <c r="AY282" s="1">
        <v>255.46155703667242</v>
      </c>
      <c r="AZ282" s="1">
        <v>222.47417673910553</v>
      </c>
      <c r="BA282" s="1">
        <v>227.15456757632151</v>
      </c>
      <c r="BB282" s="1">
        <v>221.86667809702686</v>
      </c>
      <c r="BC282" s="2">
        <v>8.9181565948742242E-2</v>
      </c>
      <c r="BD282" s="2">
        <v>0.10665277883445198</v>
      </c>
      <c r="BE282" s="2">
        <v>9.438849084854764E-2</v>
      </c>
      <c r="BF282" s="2">
        <v>7.149564986855049E-2</v>
      </c>
      <c r="BG282" s="2">
        <v>0.10368571810536763</v>
      </c>
      <c r="BH282" s="2">
        <v>8.4970330952544637E-2</v>
      </c>
      <c r="BI282" s="2">
        <v>8.4593878877262704E-2</v>
      </c>
      <c r="BJ282" s="2">
        <v>5.7447105462779965E-2</v>
      </c>
      <c r="BK282" s="2">
        <v>8.5153852345557474E-2</v>
      </c>
      <c r="BL282" s="2">
        <v>7.4158058913035174E-2</v>
      </c>
      <c r="BM282" s="2">
        <v>7.5718189192107169E-2</v>
      </c>
      <c r="BN282" s="2">
        <v>7.3955559365675619E-2</v>
      </c>
    </row>
    <row r="283" spans="1:66" x14ac:dyDescent="0.25">
      <c r="A283" s="8">
        <v>4094</v>
      </c>
      <c r="B283" s="8" t="s">
        <v>713</v>
      </c>
      <c r="C283" s="5">
        <v>0</v>
      </c>
      <c r="D283" s="5">
        <f>+$C283*BC283</f>
        <v>0</v>
      </c>
      <c r="E283" s="5">
        <f>+$C283*BD283</f>
        <v>0</v>
      </c>
      <c r="F283" s="5">
        <f>+$C283*BE283</f>
        <v>0</v>
      </c>
      <c r="G283" s="5">
        <f>+$C283*BF283</f>
        <v>0</v>
      </c>
      <c r="H283" s="5">
        <f>+$C283*BG283</f>
        <v>0</v>
      </c>
      <c r="I283" s="5">
        <f>+$C283*BH283</f>
        <v>0</v>
      </c>
      <c r="J283" s="5">
        <f>+$C283*BI283</f>
        <v>0</v>
      </c>
      <c r="K283" s="5">
        <f>+$C283*BJ283</f>
        <v>0</v>
      </c>
      <c r="L283" s="5">
        <f>+$C283*BK283</f>
        <v>0</v>
      </c>
      <c r="M283" s="5">
        <f>+$C283*BL283</f>
        <v>0</v>
      </c>
      <c r="N283" s="5">
        <f>+$C283*BM283</f>
        <v>0</v>
      </c>
      <c r="O283" s="5">
        <f>+$C283*BN283</f>
        <v>0</v>
      </c>
      <c r="P283" s="5">
        <v>1500</v>
      </c>
      <c r="Q283" s="5">
        <f>+$P283*BC283</f>
        <v>133.77234892311336</v>
      </c>
      <c r="R283" s="5">
        <f>+$P283*BD283</f>
        <v>159.97916825167798</v>
      </c>
      <c r="S283" s="5">
        <f>+$P283*BE283</f>
        <v>141.58273627282145</v>
      </c>
      <c r="T283" s="5">
        <f>+$P283*BF283</f>
        <v>107.24347480282573</v>
      </c>
      <c r="U283" s="5">
        <f>+$P283*BG283</f>
        <v>155.52857715805143</v>
      </c>
      <c r="V283" s="5">
        <f>+$P283*BH283</f>
        <v>127.45549642881696</v>
      </c>
      <c r="W283" s="5">
        <f>+$P283*BI283</f>
        <v>126.89081831589405</v>
      </c>
      <c r="X283" s="5">
        <f>+$P283*BJ283</f>
        <v>86.170658194169945</v>
      </c>
      <c r="Y283" s="5">
        <f>+$P283*BK283</f>
        <v>127.73077851833621</v>
      </c>
      <c r="Z283" s="5">
        <f>+$P283*BL283</f>
        <v>111.23708836955277</v>
      </c>
      <c r="AA283" s="5">
        <f>+$P283*BM283</f>
        <v>113.57728378816076</v>
      </c>
      <c r="AB283" s="5">
        <f>+$P283*BN283</f>
        <v>110.93333904851343</v>
      </c>
      <c r="AC283" s="5">
        <v>0</v>
      </c>
      <c r="AD283" s="5">
        <f>+$AC283*BC283</f>
        <v>0</v>
      </c>
      <c r="AE283" s="5">
        <f>+$AC283*BD283</f>
        <v>0</v>
      </c>
      <c r="AF283" s="5">
        <f>+$AC283*BE283</f>
        <v>0</v>
      </c>
      <c r="AG283" s="5">
        <f>+$AC283*BF283</f>
        <v>0</v>
      </c>
      <c r="AH283" s="5">
        <f>+$AC283*BG283</f>
        <v>0</v>
      </c>
      <c r="AI283" s="5">
        <f>+$AC283*BH283</f>
        <v>0</v>
      </c>
      <c r="AJ283" s="5">
        <f>+$AC283*BI283</f>
        <v>0</v>
      </c>
      <c r="AK283" s="5">
        <f>+$AC283*BJ283</f>
        <v>0</v>
      </c>
      <c r="AL283" s="5">
        <f>+$AC283*BK283</f>
        <v>0</v>
      </c>
      <c r="AM283" s="5">
        <f>+$AC283*BL283</f>
        <v>0</v>
      </c>
      <c r="AN283" s="5">
        <f>+$AC283*BM283</f>
        <v>0</v>
      </c>
      <c r="AO283" s="5">
        <f>+$AC283*BN283</f>
        <v>0</v>
      </c>
      <c r="AP283" s="5">
        <f>+AC283+P283+C283</f>
        <v>1500</v>
      </c>
      <c r="AQ283" s="1">
        <v>267.54469784622671</v>
      </c>
      <c r="AR283" s="1">
        <v>319.95833650335595</v>
      </c>
      <c r="AS283" s="1">
        <v>283.1654725456429</v>
      </c>
      <c r="AT283" s="1">
        <v>214.48694960565146</v>
      </c>
      <c r="AU283" s="1">
        <v>311.05715431610287</v>
      </c>
      <c r="AV283" s="1">
        <v>254.91099285763391</v>
      </c>
      <c r="AW283" s="1">
        <v>253.7816366317881</v>
      </c>
      <c r="AX283" s="1">
        <v>172.34131638833989</v>
      </c>
      <c r="AY283" s="1">
        <v>255.46155703667242</v>
      </c>
      <c r="AZ283" s="1">
        <v>222.47417673910553</v>
      </c>
      <c r="BA283" s="1">
        <v>227.15456757632151</v>
      </c>
      <c r="BB283" s="1">
        <v>221.86667809702686</v>
      </c>
      <c r="BC283" s="2">
        <v>8.9181565948742242E-2</v>
      </c>
      <c r="BD283" s="2">
        <v>0.10665277883445198</v>
      </c>
      <c r="BE283" s="2">
        <v>9.438849084854764E-2</v>
      </c>
      <c r="BF283" s="2">
        <v>7.149564986855049E-2</v>
      </c>
      <c r="BG283" s="2">
        <v>0.10368571810536763</v>
      </c>
      <c r="BH283" s="2">
        <v>8.4970330952544637E-2</v>
      </c>
      <c r="BI283" s="2">
        <v>8.4593878877262704E-2</v>
      </c>
      <c r="BJ283" s="2">
        <v>5.7447105462779965E-2</v>
      </c>
      <c r="BK283" s="2">
        <v>8.5153852345557474E-2</v>
      </c>
      <c r="BL283" s="2">
        <v>7.4158058913035174E-2</v>
      </c>
      <c r="BM283" s="2">
        <v>7.5718189192107169E-2</v>
      </c>
      <c r="BN283" s="2">
        <v>7.3955559365675619E-2</v>
      </c>
    </row>
    <row r="284" spans="1:66" x14ac:dyDescent="0.25">
      <c r="A284" s="8">
        <v>4184</v>
      </c>
      <c r="B284" s="8" t="s">
        <v>712</v>
      </c>
      <c r="C284" s="5">
        <v>500</v>
      </c>
      <c r="D284" s="5">
        <f>+$C284*BC284</f>
        <v>44.590782974371123</v>
      </c>
      <c r="E284" s="5">
        <f>+$C284*BD284</f>
        <v>53.32638941722599</v>
      </c>
      <c r="F284" s="5">
        <f>+$C284*BE284</f>
        <v>47.194245424273824</v>
      </c>
      <c r="G284" s="5">
        <f>+$C284*BF284</f>
        <v>35.747824934275243</v>
      </c>
      <c r="H284" s="5">
        <f>+$C284*BG284</f>
        <v>51.842859052683814</v>
      </c>
      <c r="I284" s="5">
        <f>+$C284*BH284</f>
        <v>42.485165476272321</v>
      </c>
      <c r="J284" s="5">
        <f>+$C284*BI284</f>
        <v>42.296939438631355</v>
      </c>
      <c r="K284" s="5">
        <f>+$C284*BJ284</f>
        <v>28.723552731389983</v>
      </c>
      <c r="L284" s="5">
        <f>+$C284*BK284</f>
        <v>42.576926172778734</v>
      </c>
      <c r="M284" s="5">
        <f>+$C284*BL284</f>
        <v>37.079029456517588</v>
      </c>
      <c r="N284" s="5">
        <f>+$C284*BM284</f>
        <v>37.859094596053588</v>
      </c>
      <c r="O284" s="5">
        <f>+$C284*BN284</f>
        <v>36.977779682837813</v>
      </c>
      <c r="P284" s="5">
        <v>0</v>
      </c>
      <c r="Q284" s="5">
        <f>+$P284*BC284</f>
        <v>0</v>
      </c>
      <c r="R284" s="5">
        <f>+$P284*BD284</f>
        <v>0</v>
      </c>
      <c r="S284" s="5">
        <f>+$P284*BE284</f>
        <v>0</v>
      </c>
      <c r="T284" s="5">
        <f>+$P284*BF284</f>
        <v>0</v>
      </c>
      <c r="U284" s="5">
        <f>+$P284*BG284</f>
        <v>0</v>
      </c>
      <c r="V284" s="5">
        <f>+$P284*BH284</f>
        <v>0</v>
      </c>
      <c r="W284" s="5">
        <f>+$P284*BI284</f>
        <v>0</v>
      </c>
      <c r="X284" s="5">
        <f>+$P284*BJ284</f>
        <v>0</v>
      </c>
      <c r="Y284" s="5">
        <f>+$P284*BK284</f>
        <v>0</v>
      </c>
      <c r="Z284" s="5">
        <f>+$P284*BL284</f>
        <v>0</v>
      </c>
      <c r="AA284" s="5">
        <f>+$P284*BM284</f>
        <v>0</v>
      </c>
      <c r="AB284" s="5">
        <f>+$P284*BN284</f>
        <v>0</v>
      </c>
      <c r="AC284" s="5">
        <v>0</v>
      </c>
      <c r="AD284" s="5">
        <f>+$AC284*BC284</f>
        <v>0</v>
      </c>
      <c r="AE284" s="5">
        <f>+$AC284*BD284</f>
        <v>0</v>
      </c>
      <c r="AF284" s="5">
        <f>+$AC284*BE284</f>
        <v>0</v>
      </c>
      <c r="AG284" s="5">
        <f>+$AC284*BF284</f>
        <v>0</v>
      </c>
      <c r="AH284" s="5">
        <f>+$AC284*BG284</f>
        <v>0</v>
      </c>
      <c r="AI284" s="5">
        <f>+$AC284*BH284</f>
        <v>0</v>
      </c>
      <c r="AJ284" s="5">
        <f>+$AC284*BI284</f>
        <v>0</v>
      </c>
      <c r="AK284" s="5">
        <f>+$AC284*BJ284</f>
        <v>0</v>
      </c>
      <c r="AL284" s="5">
        <f>+$AC284*BK284</f>
        <v>0</v>
      </c>
      <c r="AM284" s="5">
        <f>+$AC284*BL284</f>
        <v>0</v>
      </c>
      <c r="AN284" s="5">
        <f>+$AC284*BM284</f>
        <v>0</v>
      </c>
      <c r="AO284" s="5">
        <f>+$AC284*BN284</f>
        <v>0</v>
      </c>
      <c r="AP284" s="5">
        <f>+AC284+P284+C284</f>
        <v>500</v>
      </c>
      <c r="AQ284" s="1">
        <v>267.54469784622671</v>
      </c>
      <c r="AR284" s="1">
        <v>319.95833650335595</v>
      </c>
      <c r="AS284" s="1">
        <v>283.1654725456429</v>
      </c>
      <c r="AT284" s="1">
        <v>214.48694960565146</v>
      </c>
      <c r="AU284" s="1">
        <v>311.05715431610287</v>
      </c>
      <c r="AV284" s="1">
        <v>254.91099285763391</v>
      </c>
      <c r="AW284" s="1">
        <v>253.7816366317881</v>
      </c>
      <c r="AX284" s="1">
        <v>172.34131638833989</v>
      </c>
      <c r="AY284" s="1">
        <v>255.46155703667242</v>
      </c>
      <c r="AZ284" s="1">
        <v>222.47417673910553</v>
      </c>
      <c r="BA284" s="1">
        <v>227.15456757632151</v>
      </c>
      <c r="BB284" s="1">
        <v>221.86667809702686</v>
      </c>
      <c r="BC284" s="2">
        <v>8.9181565948742242E-2</v>
      </c>
      <c r="BD284" s="2">
        <v>0.10665277883445198</v>
      </c>
      <c r="BE284" s="2">
        <v>9.438849084854764E-2</v>
      </c>
      <c r="BF284" s="2">
        <v>7.149564986855049E-2</v>
      </c>
      <c r="BG284" s="2">
        <v>0.10368571810536763</v>
      </c>
      <c r="BH284" s="2">
        <v>8.4970330952544637E-2</v>
      </c>
      <c r="BI284" s="2">
        <v>8.4593878877262704E-2</v>
      </c>
      <c r="BJ284" s="2">
        <v>5.7447105462779965E-2</v>
      </c>
      <c r="BK284" s="2">
        <v>8.5153852345557474E-2</v>
      </c>
      <c r="BL284" s="2">
        <v>7.4158058913035174E-2</v>
      </c>
      <c r="BM284" s="2">
        <v>7.5718189192107169E-2</v>
      </c>
      <c r="BN284" s="2">
        <v>7.3955559365675619E-2</v>
      </c>
    </row>
    <row r="285" spans="1:66" x14ac:dyDescent="0.25">
      <c r="A285" s="8">
        <v>4379</v>
      </c>
      <c r="B285" s="8" t="s">
        <v>711</v>
      </c>
      <c r="C285" s="5">
        <v>4000</v>
      </c>
      <c r="D285" s="5">
        <f>+$C285*BC285</f>
        <v>356.72626379496899</v>
      </c>
      <c r="E285" s="5">
        <f>+$C285*BD285</f>
        <v>426.61111533780792</v>
      </c>
      <c r="F285" s="5">
        <f>+$C285*BE285</f>
        <v>377.55396339419059</v>
      </c>
      <c r="G285" s="5">
        <f>+$C285*BF285</f>
        <v>285.98259947420195</v>
      </c>
      <c r="H285" s="5">
        <f>+$C285*BG285</f>
        <v>414.74287242147051</v>
      </c>
      <c r="I285" s="5">
        <f>+$C285*BH285</f>
        <v>339.88132381017857</v>
      </c>
      <c r="J285" s="5">
        <f>+$C285*BI285</f>
        <v>338.37551550905084</v>
      </c>
      <c r="K285" s="5">
        <f>+$C285*BJ285</f>
        <v>229.78842185111986</v>
      </c>
      <c r="L285" s="5">
        <f>+$C285*BK285</f>
        <v>340.61540938222987</v>
      </c>
      <c r="M285" s="5">
        <f>+$C285*BL285</f>
        <v>296.63223565214071</v>
      </c>
      <c r="N285" s="5">
        <f>+$C285*BM285</f>
        <v>302.8727567684287</v>
      </c>
      <c r="O285" s="5">
        <f>+$C285*BN285</f>
        <v>295.8222374627025</v>
      </c>
      <c r="P285" s="5">
        <v>0</v>
      </c>
      <c r="Q285" s="5">
        <f>+$P285*BC285</f>
        <v>0</v>
      </c>
      <c r="R285" s="5">
        <f>+$P285*BD285</f>
        <v>0</v>
      </c>
      <c r="S285" s="5">
        <f>+$P285*BE285</f>
        <v>0</v>
      </c>
      <c r="T285" s="5">
        <f>+$P285*BF285</f>
        <v>0</v>
      </c>
      <c r="U285" s="5">
        <f>+$P285*BG285</f>
        <v>0</v>
      </c>
      <c r="V285" s="5">
        <f>+$P285*BH285</f>
        <v>0</v>
      </c>
      <c r="W285" s="5">
        <f>+$P285*BI285</f>
        <v>0</v>
      </c>
      <c r="X285" s="5">
        <f>+$P285*BJ285</f>
        <v>0</v>
      </c>
      <c r="Y285" s="5">
        <f>+$P285*BK285</f>
        <v>0</v>
      </c>
      <c r="Z285" s="5">
        <f>+$P285*BL285</f>
        <v>0</v>
      </c>
      <c r="AA285" s="5">
        <f>+$P285*BM285</f>
        <v>0</v>
      </c>
      <c r="AB285" s="5">
        <f>+$P285*BN285</f>
        <v>0</v>
      </c>
      <c r="AC285" s="5">
        <v>0</v>
      </c>
      <c r="AD285" s="5">
        <f>+$AC285*BC285</f>
        <v>0</v>
      </c>
      <c r="AE285" s="5">
        <f>+$AC285*BD285</f>
        <v>0</v>
      </c>
      <c r="AF285" s="5">
        <f>+$AC285*BE285</f>
        <v>0</v>
      </c>
      <c r="AG285" s="5">
        <f>+$AC285*BF285</f>
        <v>0</v>
      </c>
      <c r="AH285" s="5">
        <f>+$AC285*BG285</f>
        <v>0</v>
      </c>
      <c r="AI285" s="5">
        <f>+$AC285*BH285</f>
        <v>0</v>
      </c>
      <c r="AJ285" s="5">
        <f>+$AC285*BI285</f>
        <v>0</v>
      </c>
      <c r="AK285" s="5">
        <f>+$AC285*BJ285</f>
        <v>0</v>
      </c>
      <c r="AL285" s="5">
        <f>+$AC285*BK285</f>
        <v>0</v>
      </c>
      <c r="AM285" s="5">
        <f>+$AC285*BL285</f>
        <v>0</v>
      </c>
      <c r="AN285" s="5">
        <f>+$AC285*BM285</f>
        <v>0</v>
      </c>
      <c r="AO285" s="5">
        <f>+$AC285*BN285</f>
        <v>0</v>
      </c>
      <c r="AP285" s="5">
        <f>+AC285+P285+C285</f>
        <v>4000</v>
      </c>
      <c r="AQ285" s="1">
        <v>267.54469784622671</v>
      </c>
      <c r="AR285" s="1">
        <v>319.95833650335595</v>
      </c>
      <c r="AS285" s="1">
        <v>283.1654725456429</v>
      </c>
      <c r="AT285" s="1">
        <v>214.48694960565146</v>
      </c>
      <c r="AU285" s="1">
        <v>311.05715431610287</v>
      </c>
      <c r="AV285" s="1">
        <v>254.91099285763391</v>
      </c>
      <c r="AW285" s="1">
        <v>253.7816366317881</v>
      </c>
      <c r="AX285" s="1">
        <v>172.34131638833989</v>
      </c>
      <c r="AY285" s="1">
        <v>255.46155703667242</v>
      </c>
      <c r="AZ285" s="1">
        <v>222.47417673910553</v>
      </c>
      <c r="BA285" s="1">
        <v>227.15456757632151</v>
      </c>
      <c r="BB285" s="1">
        <v>221.86667809702686</v>
      </c>
      <c r="BC285" s="2">
        <v>8.9181565948742242E-2</v>
      </c>
      <c r="BD285" s="2">
        <v>0.10665277883445198</v>
      </c>
      <c r="BE285" s="2">
        <v>9.438849084854764E-2</v>
      </c>
      <c r="BF285" s="2">
        <v>7.149564986855049E-2</v>
      </c>
      <c r="BG285" s="2">
        <v>0.10368571810536763</v>
      </c>
      <c r="BH285" s="2">
        <v>8.4970330952544637E-2</v>
      </c>
      <c r="BI285" s="2">
        <v>8.4593878877262704E-2</v>
      </c>
      <c r="BJ285" s="2">
        <v>5.7447105462779965E-2</v>
      </c>
      <c r="BK285" s="2">
        <v>8.5153852345557474E-2</v>
      </c>
      <c r="BL285" s="2">
        <v>7.4158058913035174E-2</v>
      </c>
      <c r="BM285" s="2">
        <v>7.5718189192107169E-2</v>
      </c>
      <c r="BN285" s="2">
        <v>7.3955559365675619E-2</v>
      </c>
    </row>
    <row r="286" spans="1:66" x14ac:dyDescent="0.25">
      <c r="A286" s="8">
        <v>4588</v>
      </c>
      <c r="B286" s="8" t="s">
        <v>710</v>
      </c>
      <c r="C286" s="5">
        <v>3000</v>
      </c>
      <c r="D286" s="5">
        <f>+$C286*BC286</f>
        <v>267.54469784622671</v>
      </c>
      <c r="E286" s="5">
        <f>+$C286*BD286</f>
        <v>319.95833650335595</v>
      </c>
      <c r="F286" s="5">
        <f>+$C286*BE286</f>
        <v>283.1654725456429</v>
      </c>
      <c r="G286" s="5">
        <f>+$C286*BF286</f>
        <v>214.48694960565146</v>
      </c>
      <c r="H286" s="5">
        <f>+$C286*BG286</f>
        <v>311.05715431610287</v>
      </c>
      <c r="I286" s="5">
        <f>+$C286*BH286</f>
        <v>254.91099285763391</v>
      </c>
      <c r="J286" s="5">
        <f>+$C286*BI286</f>
        <v>253.7816366317881</v>
      </c>
      <c r="K286" s="5">
        <f>+$C286*BJ286</f>
        <v>172.34131638833989</v>
      </c>
      <c r="L286" s="5">
        <f>+$C286*BK286</f>
        <v>255.46155703667242</v>
      </c>
      <c r="M286" s="5">
        <f>+$C286*BL286</f>
        <v>222.47417673910553</v>
      </c>
      <c r="N286" s="5">
        <f>+$C286*BM286</f>
        <v>227.15456757632151</v>
      </c>
      <c r="O286" s="5">
        <f>+$C286*BN286</f>
        <v>221.86667809702686</v>
      </c>
      <c r="P286" s="5">
        <v>0</v>
      </c>
      <c r="Q286" s="5">
        <f>+$P286*BC286</f>
        <v>0</v>
      </c>
      <c r="R286" s="5">
        <f>+$P286*BD286</f>
        <v>0</v>
      </c>
      <c r="S286" s="5">
        <f>+$P286*BE286</f>
        <v>0</v>
      </c>
      <c r="T286" s="5">
        <f>+$P286*BF286</f>
        <v>0</v>
      </c>
      <c r="U286" s="5">
        <f>+$P286*BG286</f>
        <v>0</v>
      </c>
      <c r="V286" s="5">
        <f>+$P286*BH286</f>
        <v>0</v>
      </c>
      <c r="W286" s="5">
        <f>+$P286*BI286</f>
        <v>0</v>
      </c>
      <c r="X286" s="5">
        <f>+$P286*BJ286</f>
        <v>0</v>
      </c>
      <c r="Y286" s="5">
        <f>+$P286*BK286</f>
        <v>0</v>
      </c>
      <c r="Z286" s="5">
        <f>+$P286*BL286</f>
        <v>0</v>
      </c>
      <c r="AA286" s="5">
        <f>+$P286*BM286</f>
        <v>0</v>
      </c>
      <c r="AB286" s="5">
        <f>+$P286*BN286</f>
        <v>0</v>
      </c>
      <c r="AC286" s="5">
        <v>0</v>
      </c>
      <c r="AD286" s="5">
        <f>+$AC286*BC286</f>
        <v>0</v>
      </c>
      <c r="AE286" s="5">
        <f>+$AC286*BD286</f>
        <v>0</v>
      </c>
      <c r="AF286" s="5">
        <f>+$AC286*BE286</f>
        <v>0</v>
      </c>
      <c r="AG286" s="5">
        <f>+$AC286*BF286</f>
        <v>0</v>
      </c>
      <c r="AH286" s="5">
        <f>+$AC286*BG286</f>
        <v>0</v>
      </c>
      <c r="AI286" s="5">
        <f>+$AC286*BH286</f>
        <v>0</v>
      </c>
      <c r="AJ286" s="5">
        <f>+$AC286*BI286</f>
        <v>0</v>
      </c>
      <c r="AK286" s="5">
        <f>+$AC286*BJ286</f>
        <v>0</v>
      </c>
      <c r="AL286" s="5">
        <f>+$AC286*BK286</f>
        <v>0</v>
      </c>
      <c r="AM286" s="5">
        <f>+$AC286*BL286</f>
        <v>0</v>
      </c>
      <c r="AN286" s="5">
        <f>+$AC286*BM286</f>
        <v>0</v>
      </c>
      <c r="AO286" s="5">
        <f>+$AC286*BN286</f>
        <v>0</v>
      </c>
      <c r="AP286" s="5">
        <f>+AC286+P286+C286</f>
        <v>3000</v>
      </c>
      <c r="AQ286" s="1">
        <v>267.54469784622671</v>
      </c>
      <c r="AR286" s="1">
        <v>319.95833650335595</v>
      </c>
      <c r="AS286" s="1">
        <v>283.1654725456429</v>
      </c>
      <c r="AT286" s="1">
        <v>214.48694960565146</v>
      </c>
      <c r="AU286" s="1">
        <v>311.05715431610287</v>
      </c>
      <c r="AV286" s="1">
        <v>254.91099285763391</v>
      </c>
      <c r="AW286" s="1">
        <v>253.7816366317881</v>
      </c>
      <c r="AX286" s="1">
        <v>172.34131638833989</v>
      </c>
      <c r="AY286" s="1">
        <v>255.46155703667242</v>
      </c>
      <c r="AZ286" s="1">
        <v>222.47417673910553</v>
      </c>
      <c r="BA286" s="1">
        <v>227.15456757632151</v>
      </c>
      <c r="BB286" s="1">
        <v>221.86667809702686</v>
      </c>
      <c r="BC286" s="2">
        <v>8.9181565948742242E-2</v>
      </c>
      <c r="BD286" s="2">
        <v>0.10665277883445198</v>
      </c>
      <c r="BE286" s="2">
        <v>9.438849084854764E-2</v>
      </c>
      <c r="BF286" s="2">
        <v>7.149564986855049E-2</v>
      </c>
      <c r="BG286" s="2">
        <v>0.10368571810536763</v>
      </c>
      <c r="BH286" s="2">
        <v>8.4970330952544637E-2</v>
      </c>
      <c r="BI286" s="2">
        <v>8.4593878877262704E-2</v>
      </c>
      <c r="BJ286" s="2">
        <v>5.7447105462779965E-2</v>
      </c>
      <c r="BK286" s="2">
        <v>8.5153852345557474E-2</v>
      </c>
      <c r="BL286" s="2">
        <v>7.4158058913035174E-2</v>
      </c>
      <c r="BM286" s="2">
        <v>7.5718189192107169E-2</v>
      </c>
      <c r="BN286" s="2">
        <v>7.3955559365675619E-2</v>
      </c>
    </row>
    <row r="287" spans="1:66" x14ac:dyDescent="0.25">
      <c r="A287" s="8">
        <v>4842</v>
      </c>
      <c r="B287" s="8" t="s">
        <v>709</v>
      </c>
      <c r="C287" s="5">
        <v>8000</v>
      </c>
      <c r="D287" s="5">
        <f>+$C287*BC287</f>
        <v>713.45252758993797</v>
      </c>
      <c r="E287" s="5">
        <f>+$C287*BD287</f>
        <v>853.22223067561583</v>
      </c>
      <c r="F287" s="5">
        <f>+$C287*BE287</f>
        <v>755.10792678838118</v>
      </c>
      <c r="G287" s="5">
        <f>+$C287*BF287</f>
        <v>571.96519894840389</v>
      </c>
      <c r="H287" s="5">
        <f>+$C287*BG287</f>
        <v>829.48574484294102</v>
      </c>
      <c r="I287" s="5">
        <f>+$C287*BH287</f>
        <v>679.76264762035714</v>
      </c>
      <c r="J287" s="5">
        <f>+$C287*BI287</f>
        <v>676.75103101810168</v>
      </c>
      <c r="K287" s="5">
        <f>+$C287*BJ287</f>
        <v>459.57684370223973</v>
      </c>
      <c r="L287" s="5">
        <f>+$C287*BK287</f>
        <v>681.23081876445974</v>
      </c>
      <c r="M287" s="5">
        <f>+$C287*BL287</f>
        <v>593.26447130428141</v>
      </c>
      <c r="N287" s="5">
        <f>+$C287*BM287</f>
        <v>605.7455135368574</v>
      </c>
      <c r="O287" s="5">
        <f>+$C287*BN287</f>
        <v>591.64447492540501</v>
      </c>
      <c r="P287" s="5">
        <v>0</v>
      </c>
      <c r="Q287" s="5">
        <f>+$P287*BC287</f>
        <v>0</v>
      </c>
      <c r="R287" s="5">
        <f>+$P287*BD287</f>
        <v>0</v>
      </c>
      <c r="S287" s="5">
        <f>+$P287*BE287</f>
        <v>0</v>
      </c>
      <c r="T287" s="5">
        <f>+$P287*BF287</f>
        <v>0</v>
      </c>
      <c r="U287" s="5">
        <f>+$P287*BG287</f>
        <v>0</v>
      </c>
      <c r="V287" s="5">
        <f>+$P287*BH287</f>
        <v>0</v>
      </c>
      <c r="W287" s="5">
        <f>+$P287*BI287</f>
        <v>0</v>
      </c>
      <c r="X287" s="5">
        <f>+$P287*BJ287</f>
        <v>0</v>
      </c>
      <c r="Y287" s="5">
        <f>+$P287*BK287</f>
        <v>0</v>
      </c>
      <c r="Z287" s="5">
        <f>+$P287*BL287</f>
        <v>0</v>
      </c>
      <c r="AA287" s="5">
        <f>+$P287*BM287</f>
        <v>0</v>
      </c>
      <c r="AB287" s="5">
        <f>+$P287*BN287</f>
        <v>0</v>
      </c>
      <c r="AC287" s="5">
        <v>0</v>
      </c>
      <c r="AD287" s="5">
        <f>+$AC287*BC287</f>
        <v>0</v>
      </c>
      <c r="AE287" s="5">
        <f>+$AC287*BD287</f>
        <v>0</v>
      </c>
      <c r="AF287" s="5">
        <f>+$AC287*BE287</f>
        <v>0</v>
      </c>
      <c r="AG287" s="5">
        <f>+$AC287*BF287</f>
        <v>0</v>
      </c>
      <c r="AH287" s="5">
        <f>+$AC287*BG287</f>
        <v>0</v>
      </c>
      <c r="AI287" s="5">
        <f>+$AC287*BH287</f>
        <v>0</v>
      </c>
      <c r="AJ287" s="5">
        <f>+$AC287*BI287</f>
        <v>0</v>
      </c>
      <c r="AK287" s="5">
        <f>+$AC287*BJ287</f>
        <v>0</v>
      </c>
      <c r="AL287" s="5">
        <f>+$AC287*BK287</f>
        <v>0</v>
      </c>
      <c r="AM287" s="5">
        <f>+$AC287*BL287</f>
        <v>0</v>
      </c>
      <c r="AN287" s="5">
        <f>+$AC287*BM287</f>
        <v>0</v>
      </c>
      <c r="AO287" s="5">
        <f>+$AC287*BN287</f>
        <v>0</v>
      </c>
      <c r="AP287" s="5">
        <f>+AC287+P287+C287</f>
        <v>8000</v>
      </c>
      <c r="AQ287" s="1">
        <v>269.33697977709863</v>
      </c>
      <c r="AR287" s="1">
        <v>322.10173739959197</v>
      </c>
      <c r="AS287" s="1">
        <v>285.06239804622618</v>
      </c>
      <c r="AT287" s="1">
        <v>215.92379768105974</v>
      </c>
      <c r="AU287" s="1">
        <v>313.14092619286646</v>
      </c>
      <c r="AV287" s="1">
        <v>256.61864159878724</v>
      </c>
      <c r="AW287" s="1">
        <v>255.48171981558448</v>
      </c>
      <c r="AX287" s="1">
        <v>173.4958308668254</v>
      </c>
      <c r="AY287" s="1">
        <v>257.17289400726111</v>
      </c>
      <c r="AZ287" s="1">
        <v>223.96453124908081</v>
      </c>
      <c r="BA287" s="1">
        <v>228.67627602451529</v>
      </c>
      <c r="BB287" s="1">
        <v>223.35296297359886</v>
      </c>
      <c r="BC287" s="2">
        <v>8.9181565948742242E-2</v>
      </c>
      <c r="BD287" s="2">
        <v>0.10665277883445198</v>
      </c>
      <c r="BE287" s="2">
        <v>9.438849084854764E-2</v>
      </c>
      <c r="BF287" s="2">
        <v>7.149564986855049E-2</v>
      </c>
      <c r="BG287" s="2">
        <v>0.10368571810536763</v>
      </c>
      <c r="BH287" s="2">
        <v>8.4970330952544637E-2</v>
      </c>
      <c r="BI287" s="2">
        <v>8.4593878877262704E-2</v>
      </c>
      <c r="BJ287" s="2">
        <v>5.7447105462779965E-2</v>
      </c>
      <c r="BK287" s="2">
        <v>8.5153852345557474E-2</v>
      </c>
      <c r="BL287" s="2">
        <v>7.4158058913035174E-2</v>
      </c>
      <c r="BM287" s="2">
        <v>7.5718189192107169E-2</v>
      </c>
      <c r="BN287" s="2">
        <v>7.3955559365675619E-2</v>
      </c>
    </row>
    <row r="288" spans="1:66" x14ac:dyDescent="0.25">
      <c r="A288" s="8">
        <v>4938</v>
      </c>
      <c r="B288" s="8" t="s">
        <v>708</v>
      </c>
      <c r="C288" s="5">
        <v>8000</v>
      </c>
      <c r="D288" s="5">
        <f>+$C288*BC288</f>
        <v>713.45252758993797</v>
      </c>
      <c r="E288" s="5">
        <f>+$C288*BD288</f>
        <v>853.22223067561583</v>
      </c>
      <c r="F288" s="5">
        <f>+$C288*BE288</f>
        <v>755.10792678838118</v>
      </c>
      <c r="G288" s="5">
        <f>+$C288*BF288</f>
        <v>571.96519894840389</v>
      </c>
      <c r="H288" s="5">
        <f>+$C288*BG288</f>
        <v>829.48574484294102</v>
      </c>
      <c r="I288" s="5">
        <f>+$C288*BH288</f>
        <v>679.76264762035714</v>
      </c>
      <c r="J288" s="5">
        <f>+$C288*BI288</f>
        <v>676.75103101810168</v>
      </c>
      <c r="K288" s="5">
        <f>+$C288*BJ288</f>
        <v>459.57684370223973</v>
      </c>
      <c r="L288" s="5">
        <f>+$C288*BK288</f>
        <v>681.23081876445974</v>
      </c>
      <c r="M288" s="5">
        <f>+$C288*BL288</f>
        <v>593.26447130428141</v>
      </c>
      <c r="N288" s="5">
        <f>+$C288*BM288</f>
        <v>605.7455135368574</v>
      </c>
      <c r="O288" s="5">
        <f>+$C288*BN288</f>
        <v>591.64447492540501</v>
      </c>
      <c r="P288" s="5">
        <v>0</v>
      </c>
      <c r="Q288" s="5">
        <f>+$P288*BC288</f>
        <v>0</v>
      </c>
      <c r="R288" s="5">
        <f>+$P288*BD288</f>
        <v>0</v>
      </c>
      <c r="S288" s="5">
        <f>+$P288*BE288</f>
        <v>0</v>
      </c>
      <c r="T288" s="5">
        <f>+$P288*BF288</f>
        <v>0</v>
      </c>
      <c r="U288" s="5">
        <f>+$P288*BG288</f>
        <v>0</v>
      </c>
      <c r="V288" s="5">
        <f>+$P288*BH288</f>
        <v>0</v>
      </c>
      <c r="W288" s="5">
        <f>+$P288*BI288</f>
        <v>0</v>
      </c>
      <c r="X288" s="5">
        <f>+$P288*BJ288</f>
        <v>0</v>
      </c>
      <c r="Y288" s="5">
        <f>+$P288*BK288</f>
        <v>0</v>
      </c>
      <c r="Z288" s="5">
        <f>+$P288*BL288</f>
        <v>0</v>
      </c>
      <c r="AA288" s="5">
        <f>+$P288*BM288</f>
        <v>0</v>
      </c>
      <c r="AB288" s="5">
        <f>+$P288*BN288</f>
        <v>0</v>
      </c>
      <c r="AC288" s="5">
        <v>0</v>
      </c>
      <c r="AD288" s="5">
        <f>+$AC288*BC288</f>
        <v>0</v>
      </c>
      <c r="AE288" s="5">
        <f>+$AC288*BD288</f>
        <v>0</v>
      </c>
      <c r="AF288" s="5">
        <f>+$AC288*BE288</f>
        <v>0</v>
      </c>
      <c r="AG288" s="5">
        <f>+$AC288*BF288</f>
        <v>0</v>
      </c>
      <c r="AH288" s="5">
        <f>+$AC288*BG288</f>
        <v>0</v>
      </c>
      <c r="AI288" s="5">
        <f>+$AC288*BH288</f>
        <v>0</v>
      </c>
      <c r="AJ288" s="5">
        <f>+$AC288*BI288</f>
        <v>0</v>
      </c>
      <c r="AK288" s="5">
        <f>+$AC288*BJ288</f>
        <v>0</v>
      </c>
      <c r="AL288" s="5">
        <f>+$AC288*BK288</f>
        <v>0</v>
      </c>
      <c r="AM288" s="5">
        <f>+$AC288*BL288</f>
        <v>0</v>
      </c>
      <c r="AN288" s="5">
        <f>+$AC288*BM288</f>
        <v>0</v>
      </c>
      <c r="AO288" s="5">
        <f>+$AC288*BN288</f>
        <v>0</v>
      </c>
      <c r="AP288" s="5">
        <f>+AC288+P288+C288</f>
        <v>8000</v>
      </c>
      <c r="AQ288" s="1">
        <v>289.61713541854044</v>
      </c>
      <c r="AR288" s="1">
        <v>346.35489926488282</v>
      </c>
      <c r="AS288" s="1">
        <v>306.52662403065847</v>
      </c>
      <c r="AT288" s="1">
        <v>232.18212294811772</v>
      </c>
      <c r="AU288" s="1">
        <v>336.71936954718137</v>
      </c>
      <c r="AV288" s="1">
        <v>275.9411497683887</v>
      </c>
      <c r="AW288" s="1">
        <v>274.71862165391065</v>
      </c>
      <c r="AX288" s="1">
        <v>186.55947499037794</v>
      </c>
      <c r="AY288" s="1">
        <v>276.53713549219788</v>
      </c>
      <c r="AZ288" s="1">
        <v>240.82829632008173</v>
      </c>
      <c r="BA288" s="1">
        <v>245.89481940136804</v>
      </c>
      <c r="BB288" s="1">
        <v>240.17067904003156</v>
      </c>
      <c r="BC288" s="2">
        <v>8.9181565948742242E-2</v>
      </c>
      <c r="BD288" s="2">
        <v>0.10665277883445198</v>
      </c>
      <c r="BE288" s="2">
        <v>9.438849084854764E-2</v>
      </c>
      <c r="BF288" s="2">
        <v>7.149564986855049E-2</v>
      </c>
      <c r="BG288" s="2">
        <v>0.10368571810536763</v>
      </c>
      <c r="BH288" s="2">
        <v>8.4970330952544637E-2</v>
      </c>
      <c r="BI288" s="2">
        <v>8.4593878877262704E-2</v>
      </c>
      <c r="BJ288" s="2">
        <v>5.7447105462779965E-2</v>
      </c>
      <c r="BK288" s="2">
        <v>8.5153852345557474E-2</v>
      </c>
      <c r="BL288" s="2">
        <v>7.4158058913035174E-2</v>
      </c>
      <c r="BM288" s="2">
        <v>7.5718189192107169E-2</v>
      </c>
      <c r="BN288" s="2">
        <v>7.3955559365675619E-2</v>
      </c>
    </row>
    <row r="289" spans="1:66" x14ac:dyDescent="0.25">
      <c r="A289" s="8">
        <v>5010</v>
      </c>
      <c r="B289" s="8" t="s">
        <v>707</v>
      </c>
      <c r="C289" s="5">
        <v>2500</v>
      </c>
      <c r="D289" s="5">
        <f>+$C289*BC289</f>
        <v>222.9539148718556</v>
      </c>
      <c r="E289" s="5">
        <f>+$C289*BD289</f>
        <v>266.63194708612997</v>
      </c>
      <c r="F289" s="5">
        <f>+$C289*BE289</f>
        <v>235.97122712136911</v>
      </c>
      <c r="G289" s="5">
        <f>+$C289*BF289</f>
        <v>178.73912467137623</v>
      </c>
      <c r="H289" s="5">
        <f>+$C289*BG289</f>
        <v>259.21429526341905</v>
      </c>
      <c r="I289" s="5">
        <f>+$C289*BH289</f>
        <v>212.42582738136159</v>
      </c>
      <c r="J289" s="5">
        <f>+$C289*BI289</f>
        <v>211.48469719315676</v>
      </c>
      <c r="K289" s="5">
        <f>+$C289*BJ289</f>
        <v>143.6177636569499</v>
      </c>
      <c r="L289" s="5">
        <f>+$C289*BK289</f>
        <v>212.88463086389368</v>
      </c>
      <c r="M289" s="5">
        <f>+$C289*BL289</f>
        <v>185.39514728258794</v>
      </c>
      <c r="N289" s="5">
        <f>+$C289*BM289</f>
        <v>189.29547298026793</v>
      </c>
      <c r="O289" s="5">
        <f>+$C289*BN289</f>
        <v>184.88889841418904</v>
      </c>
      <c r="P289" s="5">
        <v>0</v>
      </c>
      <c r="Q289" s="5">
        <f>+$P289*BC289</f>
        <v>0</v>
      </c>
      <c r="R289" s="5">
        <f>+$P289*BD289</f>
        <v>0</v>
      </c>
      <c r="S289" s="5">
        <f>+$P289*BE289</f>
        <v>0</v>
      </c>
      <c r="T289" s="5">
        <f>+$P289*BF289</f>
        <v>0</v>
      </c>
      <c r="U289" s="5">
        <f>+$P289*BG289</f>
        <v>0</v>
      </c>
      <c r="V289" s="5">
        <f>+$P289*BH289</f>
        <v>0</v>
      </c>
      <c r="W289" s="5">
        <f>+$P289*BI289</f>
        <v>0</v>
      </c>
      <c r="X289" s="5">
        <f>+$P289*BJ289</f>
        <v>0</v>
      </c>
      <c r="Y289" s="5">
        <f>+$P289*BK289</f>
        <v>0</v>
      </c>
      <c r="Z289" s="5">
        <f>+$P289*BL289</f>
        <v>0</v>
      </c>
      <c r="AA289" s="5">
        <f>+$P289*BM289</f>
        <v>0</v>
      </c>
      <c r="AB289" s="5">
        <f>+$P289*BN289</f>
        <v>0</v>
      </c>
      <c r="AC289" s="5">
        <v>0</v>
      </c>
      <c r="AD289" s="5">
        <f>+$AC289*BC289</f>
        <v>0</v>
      </c>
      <c r="AE289" s="5">
        <f>+$AC289*BD289</f>
        <v>0</v>
      </c>
      <c r="AF289" s="5">
        <f>+$AC289*BE289</f>
        <v>0</v>
      </c>
      <c r="AG289" s="5">
        <f>+$AC289*BF289</f>
        <v>0</v>
      </c>
      <c r="AH289" s="5">
        <f>+$AC289*BG289</f>
        <v>0</v>
      </c>
      <c r="AI289" s="5">
        <f>+$AC289*BH289</f>
        <v>0</v>
      </c>
      <c r="AJ289" s="5">
        <f>+$AC289*BI289</f>
        <v>0</v>
      </c>
      <c r="AK289" s="5">
        <f>+$AC289*BJ289</f>
        <v>0</v>
      </c>
      <c r="AL289" s="5">
        <f>+$AC289*BK289</f>
        <v>0</v>
      </c>
      <c r="AM289" s="5">
        <f>+$AC289*BL289</f>
        <v>0</v>
      </c>
      <c r="AN289" s="5">
        <f>+$AC289*BM289</f>
        <v>0</v>
      </c>
      <c r="AO289" s="5">
        <f>+$AC289*BN289</f>
        <v>0</v>
      </c>
      <c r="AP289" s="5">
        <f>+AC289+P289+C289</f>
        <v>2500</v>
      </c>
      <c r="AQ289" s="1">
        <v>270.70547090658204</v>
      </c>
      <c r="AR289" s="1">
        <v>323.73832429080659</v>
      </c>
      <c r="AS289" s="1">
        <v>286.51078943829714</v>
      </c>
      <c r="AT289" s="1">
        <v>217.02089842829264</v>
      </c>
      <c r="AU289" s="1">
        <v>314.73198353719334</v>
      </c>
      <c r="AV289" s="1">
        <v>257.92251132725397</v>
      </c>
      <c r="AW289" s="1">
        <v>256.77981288695605</v>
      </c>
      <c r="AX289" s="1">
        <v>174.37735670015175</v>
      </c>
      <c r="AY289" s="1">
        <v>258.47957987150369</v>
      </c>
      <c r="AZ289" s="1">
        <v>225.1024866631013</v>
      </c>
      <c r="BA289" s="1">
        <v>229.83817163766818</v>
      </c>
      <c r="BB289" s="1">
        <v>224.48781103206514</v>
      </c>
      <c r="BC289" s="2">
        <v>8.9181565948742242E-2</v>
      </c>
      <c r="BD289" s="2">
        <v>0.10665277883445198</v>
      </c>
      <c r="BE289" s="2">
        <v>9.438849084854764E-2</v>
      </c>
      <c r="BF289" s="2">
        <v>7.149564986855049E-2</v>
      </c>
      <c r="BG289" s="2">
        <v>0.10368571810536763</v>
      </c>
      <c r="BH289" s="2">
        <v>8.4970330952544637E-2</v>
      </c>
      <c r="BI289" s="2">
        <v>8.4593878877262704E-2</v>
      </c>
      <c r="BJ289" s="2">
        <v>5.7447105462779965E-2</v>
      </c>
      <c r="BK289" s="2">
        <v>8.5153852345557474E-2</v>
      </c>
      <c r="BL289" s="2">
        <v>7.4158058913035174E-2</v>
      </c>
      <c r="BM289" s="2">
        <v>7.5718189192107169E-2</v>
      </c>
      <c r="BN289" s="2">
        <v>7.3955559365675619E-2</v>
      </c>
    </row>
    <row r="290" spans="1:66" x14ac:dyDescent="0.25">
      <c r="A290" s="8">
        <v>5278</v>
      </c>
      <c r="B290" s="8" t="s">
        <v>706</v>
      </c>
      <c r="C290" s="5">
        <v>0</v>
      </c>
      <c r="D290" s="5">
        <f>+$C290*BC290</f>
        <v>0</v>
      </c>
      <c r="E290" s="5">
        <f>+$C290*BD290</f>
        <v>0</v>
      </c>
      <c r="F290" s="5">
        <f>+$C290*BE290</f>
        <v>0</v>
      </c>
      <c r="G290" s="5">
        <f>+$C290*BF290</f>
        <v>0</v>
      </c>
      <c r="H290" s="5">
        <f>+$C290*BG290</f>
        <v>0</v>
      </c>
      <c r="I290" s="5">
        <f>+$C290*BH290</f>
        <v>0</v>
      </c>
      <c r="J290" s="5">
        <f>+$C290*BI290</f>
        <v>0</v>
      </c>
      <c r="K290" s="5">
        <f>+$C290*BJ290</f>
        <v>0</v>
      </c>
      <c r="L290" s="5">
        <f>+$C290*BK290</f>
        <v>0</v>
      </c>
      <c r="M290" s="5">
        <f>+$C290*BL290</f>
        <v>0</v>
      </c>
      <c r="N290" s="5">
        <f>+$C290*BM290</f>
        <v>0</v>
      </c>
      <c r="O290" s="5">
        <f>+$C290*BN290</f>
        <v>0</v>
      </c>
      <c r="P290" s="5">
        <v>0</v>
      </c>
      <c r="Q290" s="5">
        <f>+$P290*BC290</f>
        <v>0</v>
      </c>
      <c r="R290" s="5">
        <f>+$P290*BD290</f>
        <v>0</v>
      </c>
      <c r="S290" s="5">
        <f>+$P290*BE290</f>
        <v>0</v>
      </c>
      <c r="T290" s="5">
        <f>+$P290*BF290</f>
        <v>0</v>
      </c>
      <c r="U290" s="5">
        <f>+$P290*BG290</f>
        <v>0</v>
      </c>
      <c r="V290" s="5">
        <f>+$P290*BH290</f>
        <v>0</v>
      </c>
      <c r="W290" s="5">
        <f>+$P290*BI290</f>
        <v>0</v>
      </c>
      <c r="X290" s="5">
        <f>+$P290*BJ290</f>
        <v>0</v>
      </c>
      <c r="Y290" s="5">
        <f>+$P290*BK290</f>
        <v>0</v>
      </c>
      <c r="Z290" s="5">
        <f>+$P290*BL290</f>
        <v>0</v>
      </c>
      <c r="AA290" s="5">
        <f>+$P290*BM290</f>
        <v>0</v>
      </c>
      <c r="AB290" s="5">
        <f>+$P290*BN290</f>
        <v>0</v>
      </c>
      <c r="AC290" s="5">
        <v>0</v>
      </c>
      <c r="AD290" s="5">
        <f>+$AC290*BC290</f>
        <v>0</v>
      </c>
      <c r="AE290" s="5">
        <f>+$AC290*BD290</f>
        <v>0</v>
      </c>
      <c r="AF290" s="5">
        <f>+$AC290*BE290</f>
        <v>0</v>
      </c>
      <c r="AG290" s="5">
        <f>+$AC290*BF290</f>
        <v>0</v>
      </c>
      <c r="AH290" s="5">
        <f>+$AC290*BG290</f>
        <v>0</v>
      </c>
      <c r="AI290" s="5">
        <f>+$AC290*BH290</f>
        <v>0</v>
      </c>
      <c r="AJ290" s="5">
        <f>+$AC290*BI290</f>
        <v>0</v>
      </c>
      <c r="AK290" s="5">
        <f>+$AC290*BJ290</f>
        <v>0</v>
      </c>
      <c r="AL290" s="5">
        <f>+$AC290*BK290</f>
        <v>0</v>
      </c>
      <c r="AM290" s="5">
        <f>+$AC290*BL290</f>
        <v>0</v>
      </c>
      <c r="AN290" s="5">
        <f>+$AC290*BM290</f>
        <v>0</v>
      </c>
      <c r="AO290" s="5">
        <f>+$AC290*BN290</f>
        <v>0</v>
      </c>
      <c r="AP290" s="5">
        <f>+AC290+P290+C290</f>
        <v>0</v>
      </c>
      <c r="AQ290" s="1">
        <v>267.54469784622671</v>
      </c>
      <c r="AR290" s="1">
        <v>319.95833650335595</v>
      </c>
      <c r="AS290" s="1">
        <v>283.1654725456429</v>
      </c>
      <c r="AT290" s="1">
        <v>214.48694960565146</v>
      </c>
      <c r="AU290" s="1">
        <v>311.05715431610287</v>
      </c>
      <c r="AV290" s="1">
        <v>254.91099285763391</v>
      </c>
      <c r="AW290" s="1">
        <v>253.7816366317881</v>
      </c>
      <c r="AX290" s="1">
        <v>172.34131638833989</v>
      </c>
      <c r="AY290" s="1">
        <v>255.46155703667242</v>
      </c>
      <c r="AZ290" s="1">
        <v>222.47417673910553</v>
      </c>
      <c r="BA290" s="1">
        <v>227.15456757632151</v>
      </c>
      <c r="BB290" s="1">
        <v>221.86667809702686</v>
      </c>
      <c r="BC290" s="2">
        <v>8.9181565948742242E-2</v>
      </c>
      <c r="BD290" s="2">
        <v>0.10665277883445198</v>
      </c>
      <c r="BE290" s="2">
        <v>9.438849084854764E-2</v>
      </c>
      <c r="BF290" s="2">
        <v>7.149564986855049E-2</v>
      </c>
      <c r="BG290" s="2">
        <v>0.10368571810536763</v>
      </c>
      <c r="BH290" s="2">
        <v>8.4970330952544637E-2</v>
      </c>
      <c r="BI290" s="2">
        <v>8.4593878877262704E-2</v>
      </c>
      <c r="BJ290" s="2">
        <v>5.7447105462779965E-2</v>
      </c>
      <c r="BK290" s="2">
        <v>8.5153852345557474E-2</v>
      </c>
      <c r="BL290" s="2">
        <v>7.4158058913035174E-2</v>
      </c>
      <c r="BM290" s="2">
        <v>7.5718189192107169E-2</v>
      </c>
      <c r="BN290" s="2">
        <v>7.3955559365675619E-2</v>
      </c>
    </row>
    <row r="291" spans="1:66" x14ac:dyDescent="0.25">
      <c r="A291" s="8">
        <v>5292</v>
      </c>
      <c r="B291" s="8" t="s">
        <v>705</v>
      </c>
      <c r="C291" s="5">
        <v>0</v>
      </c>
      <c r="D291" s="5">
        <f>+$C291*BC291</f>
        <v>0</v>
      </c>
      <c r="E291" s="5">
        <f>+$C291*BD291</f>
        <v>0</v>
      </c>
      <c r="F291" s="5">
        <f>+$C291*BE291</f>
        <v>0</v>
      </c>
      <c r="G291" s="5">
        <f>+$C291*BF291</f>
        <v>0</v>
      </c>
      <c r="H291" s="5">
        <f>+$C291*BG291</f>
        <v>0</v>
      </c>
      <c r="I291" s="5">
        <f>+$C291*BH291</f>
        <v>0</v>
      </c>
      <c r="J291" s="5">
        <f>+$C291*BI291</f>
        <v>0</v>
      </c>
      <c r="K291" s="5">
        <f>+$C291*BJ291</f>
        <v>0</v>
      </c>
      <c r="L291" s="5">
        <f>+$C291*BK291</f>
        <v>0</v>
      </c>
      <c r="M291" s="5">
        <f>+$C291*BL291</f>
        <v>0</v>
      </c>
      <c r="N291" s="5">
        <f>+$C291*BM291</f>
        <v>0</v>
      </c>
      <c r="O291" s="5">
        <f>+$C291*BN291</f>
        <v>0</v>
      </c>
      <c r="P291" s="5">
        <v>0</v>
      </c>
      <c r="Q291" s="5">
        <f>+$P291*BC291</f>
        <v>0</v>
      </c>
      <c r="R291" s="5">
        <f>+$P291*BD291</f>
        <v>0</v>
      </c>
      <c r="S291" s="5">
        <f>+$P291*BE291</f>
        <v>0</v>
      </c>
      <c r="T291" s="5">
        <f>+$P291*BF291</f>
        <v>0</v>
      </c>
      <c r="U291" s="5">
        <f>+$P291*BG291</f>
        <v>0</v>
      </c>
      <c r="V291" s="5">
        <f>+$P291*BH291</f>
        <v>0</v>
      </c>
      <c r="W291" s="5">
        <f>+$P291*BI291</f>
        <v>0</v>
      </c>
      <c r="X291" s="5">
        <f>+$P291*BJ291</f>
        <v>0</v>
      </c>
      <c r="Y291" s="5">
        <f>+$P291*BK291</f>
        <v>0</v>
      </c>
      <c r="Z291" s="5">
        <f>+$P291*BL291</f>
        <v>0</v>
      </c>
      <c r="AA291" s="5">
        <f>+$P291*BM291</f>
        <v>0</v>
      </c>
      <c r="AB291" s="5">
        <f>+$P291*BN291</f>
        <v>0</v>
      </c>
      <c r="AC291" s="5">
        <v>2500</v>
      </c>
      <c r="AD291" s="5">
        <f>+$AC291*BC291</f>
        <v>222.9539148718556</v>
      </c>
      <c r="AE291" s="5">
        <f>+$AC291*BD291</f>
        <v>266.63194708612997</v>
      </c>
      <c r="AF291" s="5">
        <f>+$AC291*BE291</f>
        <v>235.97122712136911</v>
      </c>
      <c r="AG291" s="5">
        <f>+$AC291*BF291</f>
        <v>178.73912467137623</v>
      </c>
      <c r="AH291" s="5">
        <f>+$AC291*BG291</f>
        <v>259.21429526341905</v>
      </c>
      <c r="AI291" s="5">
        <f>+$AC291*BH291</f>
        <v>212.42582738136159</v>
      </c>
      <c r="AJ291" s="5">
        <f>+$AC291*BI291</f>
        <v>211.48469719315676</v>
      </c>
      <c r="AK291" s="5">
        <f>+$AC291*BJ291</f>
        <v>143.6177636569499</v>
      </c>
      <c r="AL291" s="5">
        <f>+$AC291*BK291</f>
        <v>212.88463086389368</v>
      </c>
      <c r="AM291" s="5">
        <f>+$AC291*BL291</f>
        <v>185.39514728258794</v>
      </c>
      <c r="AN291" s="5">
        <f>+$AC291*BM291</f>
        <v>189.29547298026793</v>
      </c>
      <c r="AO291" s="5">
        <f>+$AC291*BN291</f>
        <v>184.88889841418904</v>
      </c>
      <c r="AP291" s="5">
        <f>+AC291+P291+C291</f>
        <v>2500</v>
      </c>
      <c r="AQ291" s="1">
        <v>267.54469784622671</v>
      </c>
      <c r="AR291" s="1">
        <v>319.95833650335595</v>
      </c>
      <c r="AS291" s="1">
        <v>283.1654725456429</v>
      </c>
      <c r="AT291" s="1">
        <v>214.48694960565146</v>
      </c>
      <c r="AU291" s="1">
        <v>311.05715431610287</v>
      </c>
      <c r="AV291" s="1">
        <v>254.91099285763391</v>
      </c>
      <c r="AW291" s="1">
        <v>253.7816366317881</v>
      </c>
      <c r="AX291" s="1">
        <v>172.34131638833989</v>
      </c>
      <c r="AY291" s="1">
        <v>255.46155703667242</v>
      </c>
      <c r="AZ291" s="1">
        <v>222.47417673910553</v>
      </c>
      <c r="BA291" s="1">
        <v>227.15456757632151</v>
      </c>
      <c r="BB291" s="1">
        <v>221.86667809702686</v>
      </c>
      <c r="BC291" s="2">
        <v>8.9181565948742242E-2</v>
      </c>
      <c r="BD291" s="2">
        <v>0.10665277883445198</v>
      </c>
      <c r="BE291" s="2">
        <v>9.438849084854764E-2</v>
      </c>
      <c r="BF291" s="2">
        <v>7.149564986855049E-2</v>
      </c>
      <c r="BG291" s="2">
        <v>0.10368571810536763</v>
      </c>
      <c r="BH291" s="2">
        <v>8.4970330952544637E-2</v>
      </c>
      <c r="BI291" s="2">
        <v>8.4593878877262704E-2</v>
      </c>
      <c r="BJ291" s="2">
        <v>5.7447105462779965E-2</v>
      </c>
      <c r="BK291" s="2">
        <v>8.5153852345557474E-2</v>
      </c>
      <c r="BL291" s="2">
        <v>7.4158058913035174E-2</v>
      </c>
      <c r="BM291" s="2">
        <v>7.5718189192107169E-2</v>
      </c>
      <c r="BN291" s="2">
        <v>7.3955559365675619E-2</v>
      </c>
    </row>
    <row r="292" spans="1:66" x14ac:dyDescent="0.25">
      <c r="A292" s="8">
        <v>5486</v>
      </c>
      <c r="B292" s="8" t="s">
        <v>704</v>
      </c>
      <c r="C292" s="5">
        <v>0</v>
      </c>
      <c r="D292" s="5">
        <f>+$C292*BC292</f>
        <v>0</v>
      </c>
      <c r="E292" s="5">
        <f>+$C292*BD292</f>
        <v>0</v>
      </c>
      <c r="F292" s="5">
        <f>+$C292*BE292</f>
        <v>0</v>
      </c>
      <c r="G292" s="5">
        <f>+$C292*BF292</f>
        <v>0</v>
      </c>
      <c r="H292" s="5">
        <f>+$C292*BG292</f>
        <v>0</v>
      </c>
      <c r="I292" s="5">
        <f>+$C292*BH292</f>
        <v>0</v>
      </c>
      <c r="J292" s="5">
        <f>+$C292*BI292</f>
        <v>0</v>
      </c>
      <c r="K292" s="5">
        <f>+$C292*BJ292</f>
        <v>0</v>
      </c>
      <c r="L292" s="5">
        <f>+$C292*BK292</f>
        <v>0</v>
      </c>
      <c r="M292" s="5">
        <f>+$C292*BL292</f>
        <v>0</v>
      </c>
      <c r="N292" s="5">
        <f>+$C292*BM292</f>
        <v>0</v>
      </c>
      <c r="O292" s="5">
        <f>+$C292*BN292</f>
        <v>0</v>
      </c>
      <c r="P292" s="5">
        <v>0</v>
      </c>
      <c r="Q292" s="5">
        <f>+$P292*BC292</f>
        <v>0</v>
      </c>
      <c r="R292" s="5">
        <f>+$P292*BD292</f>
        <v>0</v>
      </c>
      <c r="S292" s="5">
        <f>+$P292*BE292</f>
        <v>0</v>
      </c>
      <c r="T292" s="5">
        <f>+$P292*BF292</f>
        <v>0</v>
      </c>
      <c r="U292" s="5">
        <f>+$P292*BG292</f>
        <v>0</v>
      </c>
      <c r="V292" s="5">
        <f>+$P292*BH292</f>
        <v>0</v>
      </c>
      <c r="W292" s="5">
        <f>+$P292*BI292</f>
        <v>0</v>
      </c>
      <c r="X292" s="5">
        <f>+$P292*BJ292</f>
        <v>0</v>
      </c>
      <c r="Y292" s="5">
        <f>+$P292*BK292</f>
        <v>0</v>
      </c>
      <c r="Z292" s="5">
        <f>+$P292*BL292</f>
        <v>0</v>
      </c>
      <c r="AA292" s="5">
        <f>+$P292*BM292</f>
        <v>0</v>
      </c>
      <c r="AB292" s="5">
        <f>+$P292*BN292</f>
        <v>0</v>
      </c>
      <c r="AC292" s="5">
        <v>0</v>
      </c>
      <c r="AD292" s="5">
        <f>+$AC292*BC292</f>
        <v>0</v>
      </c>
      <c r="AE292" s="5">
        <f>+$AC292*BD292</f>
        <v>0</v>
      </c>
      <c r="AF292" s="5">
        <f>+$AC292*BE292</f>
        <v>0</v>
      </c>
      <c r="AG292" s="5">
        <f>+$AC292*BF292</f>
        <v>0</v>
      </c>
      <c r="AH292" s="5">
        <f>+$AC292*BG292</f>
        <v>0</v>
      </c>
      <c r="AI292" s="5">
        <f>+$AC292*BH292</f>
        <v>0</v>
      </c>
      <c r="AJ292" s="5">
        <f>+$AC292*BI292</f>
        <v>0</v>
      </c>
      <c r="AK292" s="5">
        <f>+$AC292*BJ292</f>
        <v>0</v>
      </c>
      <c r="AL292" s="5">
        <f>+$AC292*BK292</f>
        <v>0</v>
      </c>
      <c r="AM292" s="5">
        <f>+$AC292*BL292</f>
        <v>0</v>
      </c>
      <c r="AN292" s="5">
        <f>+$AC292*BM292</f>
        <v>0</v>
      </c>
      <c r="AO292" s="5">
        <f>+$AC292*BN292</f>
        <v>0</v>
      </c>
      <c r="AP292" s="5">
        <f>+AC292+P292+C292</f>
        <v>0</v>
      </c>
      <c r="AQ292" s="1">
        <v>267.54469784622671</v>
      </c>
      <c r="AR292" s="1">
        <v>319.95833650335595</v>
      </c>
      <c r="AS292" s="1">
        <v>283.1654725456429</v>
      </c>
      <c r="AT292" s="1">
        <v>214.48694960565146</v>
      </c>
      <c r="AU292" s="1">
        <v>311.05715431610287</v>
      </c>
      <c r="AV292" s="1">
        <v>254.91099285763391</v>
      </c>
      <c r="AW292" s="1">
        <v>253.7816366317881</v>
      </c>
      <c r="AX292" s="1">
        <v>172.34131638833989</v>
      </c>
      <c r="AY292" s="1">
        <v>255.46155703667242</v>
      </c>
      <c r="AZ292" s="1">
        <v>222.47417673910553</v>
      </c>
      <c r="BA292" s="1">
        <v>227.15456757632151</v>
      </c>
      <c r="BB292" s="1">
        <v>221.86667809702686</v>
      </c>
      <c r="BC292" s="2">
        <v>8.9181565948742242E-2</v>
      </c>
      <c r="BD292" s="2">
        <v>0.10665277883445198</v>
      </c>
      <c r="BE292" s="2">
        <v>9.438849084854764E-2</v>
      </c>
      <c r="BF292" s="2">
        <v>7.149564986855049E-2</v>
      </c>
      <c r="BG292" s="2">
        <v>0.10368571810536763</v>
      </c>
      <c r="BH292" s="2">
        <v>8.4970330952544637E-2</v>
      </c>
      <c r="BI292" s="2">
        <v>8.4593878877262704E-2</v>
      </c>
      <c r="BJ292" s="2">
        <v>5.7447105462779965E-2</v>
      </c>
      <c r="BK292" s="2">
        <v>8.5153852345557474E-2</v>
      </c>
      <c r="BL292" s="2">
        <v>7.4158058913035174E-2</v>
      </c>
      <c r="BM292" s="2">
        <v>7.5718189192107169E-2</v>
      </c>
      <c r="BN292" s="2">
        <v>7.3955559365675619E-2</v>
      </c>
    </row>
    <row r="293" spans="1:66" x14ac:dyDescent="0.25">
      <c r="A293" s="8">
        <v>5496</v>
      </c>
      <c r="B293" s="8" t="s">
        <v>703</v>
      </c>
      <c r="C293" s="5">
        <v>3000</v>
      </c>
      <c r="D293" s="5">
        <f>+$C293*BC293</f>
        <v>267.54469784622671</v>
      </c>
      <c r="E293" s="5">
        <f>+$C293*BD293</f>
        <v>319.95833650335595</v>
      </c>
      <c r="F293" s="5">
        <f>+$C293*BE293</f>
        <v>283.1654725456429</v>
      </c>
      <c r="G293" s="5">
        <f>+$C293*BF293</f>
        <v>214.48694960565146</v>
      </c>
      <c r="H293" s="5">
        <f>+$C293*BG293</f>
        <v>311.05715431610287</v>
      </c>
      <c r="I293" s="5">
        <f>+$C293*BH293</f>
        <v>254.91099285763391</v>
      </c>
      <c r="J293" s="5">
        <f>+$C293*BI293</f>
        <v>253.7816366317881</v>
      </c>
      <c r="K293" s="5">
        <f>+$C293*BJ293</f>
        <v>172.34131638833989</v>
      </c>
      <c r="L293" s="5">
        <f>+$C293*BK293</f>
        <v>255.46155703667242</v>
      </c>
      <c r="M293" s="5">
        <f>+$C293*BL293</f>
        <v>222.47417673910553</v>
      </c>
      <c r="N293" s="5">
        <f>+$C293*BM293</f>
        <v>227.15456757632151</v>
      </c>
      <c r="O293" s="5">
        <f>+$C293*BN293</f>
        <v>221.86667809702686</v>
      </c>
      <c r="P293" s="5">
        <v>0</v>
      </c>
      <c r="Q293" s="5">
        <f>+$P293*BC293</f>
        <v>0</v>
      </c>
      <c r="R293" s="5">
        <f>+$P293*BD293</f>
        <v>0</v>
      </c>
      <c r="S293" s="5">
        <f>+$P293*BE293</f>
        <v>0</v>
      </c>
      <c r="T293" s="5">
        <f>+$P293*BF293</f>
        <v>0</v>
      </c>
      <c r="U293" s="5">
        <f>+$P293*BG293</f>
        <v>0</v>
      </c>
      <c r="V293" s="5">
        <f>+$P293*BH293</f>
        <v>0</v>
      </c>
      <c r="W293" s="5">
        <f>+$P293*BI293</f>
        <v>0</v>
      </c>
      <c r="X293" s="5">
        <f>+$P293*BJ293</f>
        <v>0</v>
      </c>
      <c r="Y293" s="5">
        <f>+$P293*BK293</f>
        <v>0</v>
      </c>
      <c r="Z293" s="5">
        <f>+$P293*BL293</f>
        <v>0</v>
      </c>
      <c r="AA293" s="5">
        <f>+$P293*BM293</f>
        <v>0</v>
      </c>
      <c r="AB293" s="5">
        <f>+$P293*BN293</f>
        <v>0</v>
      </c>
      <c r="AC293" s="5">
        <v>0</v>
      </c>
      <c r="AD293" s="5">
        <f>+$AC293*BC293</f>
        <v>0</v>
      </c>
      <c r="AE293" s="5">
        <f>+$AC293*BD293</f>
        <v>0</v>
      </c>
      <c r="AF293" s="5">
        <f>+$AC293*BE293</f>
        <v>0</v>
      </c>
      <c r="AG293" s="5">
        <f>+$AC293*BF293</f>
        <v>0</v>
      </c>
      <c r="AH293" s="5">
        <f>+$AC293*BG293</f>
        <v>0</v>
      </c>
      <c r="AI293" s="5">
        <f>+$AC293*BH293</f>
        <v>0</v>
      </c>
      <c r="AJ293" s="5">
        <f>+$AC293*BI293</f>
        <v>0</v>
      </c>
      <c r="AK293" s="5">
        <f>+$AC293*BJ293</f>
        <v>0</v>
      </c>
      <c r="AL293" s="5">
        <f>+$AC293*BK293</f>
        <v>0</v>
      </c>
      <c r="AM293" s="5">
        <f>+$AC293*BL293</f>
        <v>0</v>
      </c>
      <c r="AN293" s="5">
        <f>+$AC293*BM293</f>
        <v>0</v>
      </c>
      <c r="AO293" s="5">
        <f>+$AC293*BN293</f>
        <v>0</v>
      </c>
      <c r="AP293" s="5">
        <f>+AC293+P293+C293</f>
        <v>3000</v>
      </c>
      <c r="AQ293" s="1">
        <v>267.54469784622671</v>
      </c>
      <c r="AR293" s="1">
        <v>319.95833650335595</v>
      </c>
      <c r="AS293" s="1">
        <v>283.1654725456429</v>
      </c>
      <c r="AT293" s="1">
        <v>214.48694960565146</v>
      </c>
      <c r="AU293" s="1">
        <v>311.05715431610287</v>
      </c>
      <c r="AV293" s="1">
        <v>254.91099285763391</v>
      </c>
      <c r="AW293" s="1">
        <v>253.7816366317881</v>
      </c>
      <c r="AX293" s="1">
        <v>172.34131638833989</v>
      </c>
      <c r="AY293" s="1">
        <v>255.46155703667242</v>
      </c>
      <c r="AZ293" s="1">
        <v>222.47417673910553</v>
      </c>
      <c r="BA293" s="1">
        <v>227.15456757632151</v>
      </c>
      <c r="BB293" s="1">
        <v>221.86667809702686</v>
      </c>
      <c r="BC293" s="2">
        <v>8.9181565948742242E-2</v>
      </c>
      <c r="BD293" s="2">
        <v>0.10665277883445198</v>
      </c>
      <c r="BE293" s="2">
        <v>9.438849084854764E-2</v>
      </c>
      <c r="BF293" s="2">
        <v>7.149564986855049E-2</v>
      </c>
      <c r="BG293" s="2">
        <v>0.10368571810536763</v>
      </c>
      <c r="BH293" s="2">
        <v>8.4970330952544637E-2</v>
      </c>
      <c r="BI293" s="2">
        <v>8.4593878877262704E-2</v>
      </c>
      <c r="BJ293" s="2">
        <v>5.7447105462779965E-2</v>
      </c>
      <c r="BK293" s="2">
        <v>8.5153852345557474E-2</v>
      </c>
      <c r="BL293" s="2">
        <v>7.4158058913035174E-2</v>
      </c>
      <c r="BM293" s="2">
        <v>7.5718189192107169E-2</v>
      </c>
      <c r="BN293" s="2">
        <v>7.3955559365675619E-2</v>
      </c>
    </row>
    <row r="294" spans="1:66" x14ac:dyDescent="0.25">
      <c r="A294" s="8">
        <v>6554</v>
      </c>
      <c r="B294" s="8" t="s">
        <v>702</v>
      </c>
      <c r="C294" s="5">
        <v>0</v>
      </c>
      <c r="D294" s="5">
        <f>+$C294*BC294</f>
        <v>0</v>
      </c>
      <c r="E294" s="5">
        <f>+$C294*BD294</f>
        <v>0</v>
      </c>
      <c r="F294" s="5">
        <f>+$C294*BE294</f>
        <v>0</v>
      </c>
      <c r="G294" s="5">
        <f>+$C294*BF294</f>
        <v>0</v>
      </c>
      <c r="H294" s="5">
        <f>+$C294*BG294</f>
        <v>0</v>
      </c>
      <c r="I294" s="5">
        <f>+$C294*BH294</f>
        <v>0</v>
      </c>
      <c r="J294" s="5">
        <f>+$C294*BI294</f>
        <v>0</v>
      </c>
      <c r="K294" s="5">
        <f>+$C294*BJ294</f>
        <v>0</v>
      </c>
      <c r="L294" s="5">
        <f>+$C294*BK294</f>
        <v>0</v>
      </c>
      <c r="M294" s="5">
        <f>+$C294*BL294</f>
        <v>0</v>
      </c>
      <c r="N294" s="5">
        <f>+$C294*BM294</f>
        <v>0</v>
      </c>
      <c r="O294" s="5">
        <f>+$C294*BN294</f>
        <v>0</v>
      </c>
      <c r="P294" s="5">
        <v>0</v>
      </c>
      <c r="Q294" s="5">
        <f>+$P294*BC294</f>
        <v>0</v>
      </c>
      <c r="R294" s="5">
        <f>+$P294*BD294</f>
        <v>0</v>
      </c>
      <c r="S294" s="5">
        <f>+$P294*BE294</f>
        <v>0</v>
      </c>
      <c r="T294" s="5">
        <f>+$P294*BF294</f>
        <v>0</v>
      </c>
      <c r="U294" s="5">
        <f>+$P294*BG294</f>
        <v>0</v>
      </c>
      <c r="V294" s="5">
        <f>+$P294*BH294</f>
        <v>0</v>
      </c>
      <c r="W294" s="5">
        <f>+$P294*BI294</f>
        <v>0</v>
      </c>
      <c r="X294" s="5">
        <f>+$P294*BJ294</f>
        <v>0</v>
      </c>
      <c r="Y294" s="5">
        <f>+$P294*BK294</f>
        <v>0</v>
      </c>
      <c r="Z294" s="5">
        <f>+$P294*BL294</f>
        <v>0</v>
      </c>
      <c r="AA294" s="5">
        <f>+$P294*BM294</f>
        <v>0</v>
      </c>
      <c r="AB294" s="5">
        <f>+$P294*BN294</f>
        <v>0</v>
      </c>
      <c r="AC294" s="5">
        <v>1500</v>
      </c>
      <c r="AD294" s="5">
        <f>+$AC294*BC294</f>
        <v>133.77234892311336</v>
      </c>
      <c r="AE294" s="5">
        <f>+$AC294*BD294</f>
        <v>159.97916825167798</v>
      </c>
      <c r="AF294" s="5">
        <f>+$AC294*BE294</f>
        <v>141.58273627282145</v>
      </c>
      <c r="AG294" s="5">
        <f>+$AC294*BF294</f>
        <v>107.24347480282573</v>
      </c>
      <c r="AH294" s="5">
        <f>+$AC294*BG294</f>
        <v>155.52857715805143</v>
      </c>
      <c r="AI294" s="5">
        <f>+$AC294*BH294</f>
        <v>127.45549642881696</v>
      </c>
      <c r="AJ294" s="5">
        <f>+$AC294*BI294</f>
        <v>126.89081831589405</v>
      </c>
      <c r="AK294" s="5">
        <f>+$AC294*BJ294</f>
        <v>86.170658194169945</v>
      </c>
      <c r="AL294" s="5">
        <f>+$AC294*BK294</f>
        <v>127.73077851833621</v>
      </c>
      <c r="AM294" s="5">
        <f>+$AC294*BL294</f>
        <v>111.23708836955277</v>
      </c>
      <c r="AN294" s="5">
        <f>+$AC294*BM294</f>
        <v>113.57728378816076</v>
      </c>
      <c r="AO294" s="5">
        <f>+$AC294*BN294</f>
        <v>110.93333904851343</v>
      </c>
      <c r="AP294" s="5">
        <f>+AC294+P294+C294</f>
        <v>1500</v>
      </c>
      <c r="AQ294" s="1">
        <v>267.54469784622671</v>
      </c>
      <c r="AR294" s="1">
        <v>319.95833650335595</v>
      </c>
      <c r="AS294" s="1">
        <v>283.1654725456429</v>
      </c>
      <c r="AT294" s="1">
        <v>214.48694960565146</v>
      </c>
      <c r="AU294" s="1">
        <v>311.05715431610287</v>
      </c>
      <c r="AV294" s="1">
        <v>254.91099285763391</v>
      </c>
      <c r="AW294" s="1">
        <v>253.7816366317881</v>
      </c>
      <c r="AX294" s="1">
        <v>172.34131638833989</v>
      </c>
      <c r="AY294" s="1">
        <v>255.46155703667242</v>
      </c>
      <c r="AZ294" s="1">
        <v>222.47417673910553</v>
      </c>
      <c r="BA294" s="1">
        <v>227.15456757632151</v>
      </c>
      <c r="BB294" s="1">
        <v>221.86667809702686</v>
      </c>
      <c r="BC294" s="2">
        <v>8.9181565948742242E-2</v>
      </c>
      <c r="BD294" s="2">
        <v>0.10665277883445198</v>
      </c>
      <c r="BE294" s="2">
        <v>9.438849084854764E-2</v>
      </c>
      <c r="BF294" s="2">
        <v>7.149564986855049E-2</v>
      </c>
      <c r="BG294" s="2">
        <v>0.10368571810536763</v>
      </c>
      <c r="BH294" s="2">
        <v>8.4970330952544637E-2</v>
      </c>
      <c r="BI294" s="2">
        <v>8.4593878877262704E-2</v>
      </c>
      <c r="BJ294" s="2">
        <v>5.7447105462779965E-2</v>
      </c>
      <c r="BK294" s="2">
        <v>8.5153852345557474E-2</v>
      </c>
      <c r="BL294" s="2">
        <v>7.4158058913035174E-2</v>
      </c>
      <c r="BM294" s="2">
        <v>7.5718189192107169E-2</v>
      </c>
      <c r="BN294" s="2">
        <v>7.3955559365675619E-2</v>
      </c>
    </row>
    <row r="295" spans="1:66" x14ac:dyDescent="0.25">
      <c r="A295" s="8">
        <v>6703</v>
      </c>
      <c r="B295" s="8" t="s">
        <v>701</v>
      </c>
      <c r="C295" s="5">
        <v>0</v>
      </c>
      <c r="D295" s="5">
        <f>+$C295*BC295</f>
        <v>0</v>
      </c>
      <c r="E295" s="5">
        <f>+$C295*BD295</f>
        <v>0</v>
      </c>
      <c r="F295" s="5">
        <f>+$C295*BE295</f>
        <v>0</v>
      </c>
      <c r="G295" s="5">
        <f>+$C295*BF295</f>
        <v>0</v>
      </c>
      <c r="H295" s="5">
        <f>+$C295*BG295</f>
        <v>0</v>
      </c>
      <c r="I295" s="5">
        <f>+$C295*BH295</f>
        <v>0</v>
      </c>
      <c r="J295" s="5">
        <f>+$C295*BI295</f>
        <v>0</v>
      </c>
      <c r="K295" s="5">
        <f>+$C295*BJ295</f>
        <v>0</v>
      </c>
      <c r="L295" s="5">
        <f>+$C295*BK295</f>
        <v>0</v>
      </c>
      <c r="M295" s="5">
        <f>+$C295*BL295</f>
        <v>0</v>
      </c>
      <c r="N295" s="5">
        <f>+$C295*BM295</f>
        <v>0</v>
      </c>
      <c r="O295" s="5">
        <f>+$C295*BN295</f>
        <v>0</v>
      </c>
      <c r="P295" s="5">
        <v>0</v>
      </c>
      <c r="Q295" s="5">
        <f>+$P295*BC295</f>
        <v>0</v>
      </c>
      <c r="R295" s="5">
        <f>+$P295*BD295</f>
        <v>0</v>
      </c>
      <c r="S295" s="5">
        <f>+$P295*BE295</f>
        <v>0</v>
      </c>
      <c r="T295" s="5">
        <f>+$P295*BF295</f>
        <v>0</v>
      </c>
      <c r="U295" s="5">
        <f>+$P295*BG295</f>
        <v>0</v>
      </c>
      <c r="V295" s="5">
        <f>+$P295*BH295</f>
        <v>0</v>
      </c>
      <c r="W295" s="5">
        <f>+$P295*BI295</f>
        <v>0</v>
      </c>
      <c r="X295" s="5">
        <f>+$P295*BJ295</f>
        <v>0</v>
      </c>
      <c r="Y295" s="5">
        <f>+$P295*BK295</f>
        <v>0</v>
      </c>
      <c r="Z295" s="5">
        <f>+$P295*BL295</f>
        <v>0</v>
      </c>
      <c r="AA295" s="5">
        <f>+$P295*BM295</f>
        <v>0</v>
      </c>
      <c r="AB295" s="5">
        <f>+$P295*BN295</f>
        <v>0</v>
      </c>
      <c r="AC295" s="5">
        <v>2500</v>
      </c>
      <c r="AD295" s="5">
        <f>+$AC295*BC295</f>
        <v>222.9539148718556</v>
      </c>
      <c r="AE295" s="5">
        <f>+$AC295*BD295</f>
        <v>266.63194708612997</v>
      </c>
      <c r="AF295" s="5">
        <f>+$AC295*BE295</f>
        <v>235.97122712136911</v>
      </c>
      <c r="AG295" s="5">
        <f>+$AC295*BF295</f>
        <v>178.73912467137623</v>
      </c>
      <c r="AH295" s="5">
        <f>+$AC295*BG295</f>
        <v>259.21429526341905</v>
      </c>
      <c r="AI295" s="5">
        <f>+$AC295*BH295</f>
        <v>212.42582738136159</v>
      </c>
      <c r="AJ295" s="5">
        <f>+$AC295*BI295</f>
        <v>211.48469719315676</v>
      </c>
      <c r="AK295" s="5">
        <f>+$AC295*BJ295</f>
        <v>143.6177636569499</v>
      </c>
      <c r="AL295" s="5">
        <f>+$AC295*BK295</f>
        <v>212.88463086389368</v>
      </c>
      <c r="AM295" s="5">
        <f>+$AC295*BL295</f>
        <v>185.39514728258794</v>
      </c>
      <c r="AN295" s="5">
        <f>+$AC295*BM295</f>
        <v>189.29547298026793</v>
      </c>
      <c r="AO295" s="5">
        <f>+$AC295*BN295</f>
        <v>184.88889841418904</v>
      </c>
      <c r="AP295" s="5">
        <f>+AC295+P295+C295</f>
        <v>2500</v>
      </c>
      <c r="AQ295" s="1">
        <v>267.54469784622671</v>
      </c>
      <c r="AR295" s="1">
        <v>319.95833650335595</v>
      </c>
      <c r="AS295" s="1">
        <v>283.1654725456429</v>
      </c>
      <c r="AT295" s="1">
        <v>214.48694960565146</v>
      </c>
      <c r="AU295" s="1">
        <v>311.05715431610287</v>
      </c>
      <c r="AV295" s="1">
        <v>254.91099285763391</v>
      </c>
      <c r="AW295" s="1">
        <v>253.7816366317881</v>
      </c>
      <c r="AX295" s="1">
        <v>172.34131638833989</v>
      </c>
      <c r="AY295" s="1">
        <v>255.46155703667242</v>
      </c>
      <c r="AZ295" s="1">
        <v>222.47417673910553</v>
      </c>
      <c r="BA295" s="1">
        <v>227.15456757632151</v>
      </c>
      <c r="BB295" s="1">
        <v>221.86667809702686</v>
      </c>
      <c r="BC295" s="2">
        <v>8.9181565948742242E-2</v>
      </c>
      <c r="BD295" s="2">
        <v>0.10665277883445198</v>
      </c>
      <c r="BE295" s="2">
        <v>9.438849084854764E-2</v>
      </c>
      <c r="BF295" s="2">
        <v>7.149564986855049E-2</v>
      </c>
      <c r="BG295" s="2">
        <v>0.10368571810536763</v>
      </c>
      <c r="BH295" s="2">
        <v>8.4970330952544637E-2</v>
      </c>
      <c r="BI295" s="2">
        <v>8.4593878877262704E-2</v>
      </c>
      <c r="BJ295" s="2">
        <v>5.7447105462779965E-2</v>
      </c>
      <c r="BK295" s="2">
        <v>8.5153852345557474E-2</v>
      </c>
      <c r="BL295" s="2">
        <v>7.4158058913035174E-2</v>
      </c>
      <c r="BM295" s="2">
        <v>7.5718189192107169E-2</v>
      </c>
      <c r="BN295" s="2">
        <v>7.3955559365675619E-2</v>
      </c>
    </row>
    <row r="296" spans="1:66" x14ac:dyDescent="0.25">
      <c r="A296" s="8">
        <v>22352</v>
      </c>
      <c r="B296" s="8" t="s">
        <v>700</v>
      </c>
      <c r="C296" s="5">
        <v>10000</v>
      </c>
      <c r="D296" s="5">
        <f>+$C296*BC296</f>
        <v>891.81565948742241</v>
      </c>
      <c r="E296" s="5">
        <f>+$C296*BD296</f>
        <v>1066.5277883445199</v>
      </c>
      <c r="F296" s="5">
        <f>+$C296*BE296</f>
        <v>943.88490848547644</v>
      </c>
      <c r="G296" s="5">
        <f>+$C296*BF296</f>
        <v>714.95649868550493</v>
      </c>
      <c r="H296" s="5">
        <f>+$C296*BG296</f>
        <v>1036.8571810536762</v>
      </c>
      <c r="I296" s="5">
        <f>+$C296*BH296</f>
        <v>849.70330952544634</v>
      </c>
      <c r="J296" s="5">
        <f>+$C296*BI296</f>
        <v>845.93878877262705</v>
      </c>
      <c r="K296" s="5">
        <f>+$C296*BJ296</f>
        <v>574.47105462779962</v>
      </c>
      <c r="L296" s="5">
        <f>+$C296*BK296</f>
        <v>851.5385234555747</v>
      </c>
      <c r="M296" s="5">
        <f>+$C296*BL296</f>
        <v>741.58058913035177</v>
      </c>
      <c r="N296" s="5">
        <f>+$C296*BM296</f>
        <v>757.18189192107172</v>
      </c>
      <c r="O296" s="5">
        <f>+$C296*BN296</f>
        <v>739.55559365675617</v>
      </c>
      <c r="P296" s="5">
        <v>0</v>
      </c>
      <c r="Q296" s="5">
        <f>+$P296*BC296</f>
        <v>0</v>
      </c>
      <c r="R296" s="5">
        <f>+$P296*BD296</f>
        <v>0</v>
      </c>
      <c r="S296" s="5">
        <f>+$P296*BE296</f>
        <v>0</v>
      </c>
      <c r="T296" s="5">
        <f>+$P296*BF296</f>
        <v>0</v>
      </c>
      <c r="U296" s="5">
        <f>+$P296*BG296</f>
        <v>0</v>
      </c>
      <c r="V296" s="5">
        <f>+$P296*BH296</f>
        <v>0</v>
      </c>
      <c r="W296" s="5">
        <f>+$P296*BI296</f>
        <v>0</v>
      </c>
      <c r="X296" s="5">
        <f>+$P296*BJ296</f>
        <v>0</v>
      </c>
      <c r="Y296" s="5">
        <f>+$P296*BK296</f>
        <v>0</v>
      </c>
      <c r="Z296" s="5">
        <f>+$P296*BL296</f>
        <v>0</v>
      </c>
      <c r="AA296" s="5">
        <f>+$P296*BM296</f>
        <v>0</v>
      </c>
      <c r="AB296" s="5">
        <f>+$P296*BN296</f>
        <v>0</v>
      </c>
      <c r="AC296" s="5">
        <v>0</v>
      </c>
      <c r="AD296" s="5">
        <f>+$AC296*BC296</f>
        <v>0</v>
      </c>
      <c r="AE296" s="5">
        <f>+$AC296*BD296</f>
        <v>0</v>
      </c>
      <c r="AF296" s="5">
        <f>+$AC296*BE296</f>
        <v>0</v>
      </c>
      <c r="AG296" s="5">
        <f>+$AC296*BF296</f>
        <v>0</v>
      </c>
      <c r="AH296" s="5">
        <f>+$AC296*BG296</f>
        <v>0</v>
      </c>
      <c r="AI296" s="5">
        <f>+$AC296*BH296</f>
        <v>0</v>
      </c>
      <c r="AJ296" s="5">
        <f>+$AC296*BI296</f>
        <v>0</v>
      </c>
      <c r="AK296" s="5">
        <f>+$AC296*BJ296</f>
        <v>0</v>
      </c>
      <c r="AL296" s="5">
        <f>+$AC296*BK296</f>
        <v>0</v>
      </c>
      <c r="AM296" s="5">
        <f>+$AC296*BL296</f>
        <v>0</v>
      </c>
      <c r="AN296" s="5">
        <f>+$AC296*BM296</f>
        <v>0</v>
      </c>
      <c r="AO296" s="5">
        <f>+$AC296*BN296</f>
        <v>0</v>
      </c>
      <c r="AP296" s="5">
        <f>+AC296+P296+C296</f>
        <v>10000</v>
      </c>
      <c r="AQ296" s="1">
        <v>267.54469784622671</v>
      </c>
      <c r="AR296" s="1">
        <v>319.95833650335595</v>
      </c>
      <c r="AS296" s="1">
        <v>283.1654725456429</v>
      </c>
      <c r="AT296" s="1">
        <v>214.48694960565146</v>
      </c>
      <c r="AU296" s="1">
        <v>311.05715431610287</v>
      </c>
      <c r="AV296" s="1">
        <v>254.91099285763391</v>
      </c>
      <c r="AW296" s="1">
        <v>253.7816366317881</v>
      </c>
      <c r="AX296" s="1">
        <v>172.34131638833989</v>
      </c>
      <c r="AY296" s="1">
        <v>255.46155703667242</v>
      </c>
      <c r="AZ296" s="1">
        <v>222.47417673910553</v>
      </c>
      <c r="BA296" s="1">
        <v>227.15456757632151</v>
      </c>
      <c r="BB296" s="1">
        <v>221.86667809702686</v>
      </c>
      <c r="BC296" s="2">
        <v>8.9181565948742242E-2</v>
      </c>
      <c r="BD296" s="2">
        <v>0.10665277883445198</v>
      </c>
      <c r="BE296" s="2">
        <v>9.438849084854764E-2</v>
      </c>
      <c r="BF296" s="2">
        <v>7.149564986855049E-2</v>
      </c>
      <c r="BG296" s="2">
        <v>0.10368571810536763</v>
      </c>
      <c r="BH296" s="2">
        <v>8.4970330952544637E-2</v>
      </c>
      <c r="BI296" s="2">
        <v>8.4593878877262704E-2</v>
      </c>
      <c r="BJ296" s="2">
        <v>5.7447105462779965E-2</v>
      </c>
      <c r="BK296" s="2">
        <v>8.5153852345557474E-2</v>
      </c>
      <c r="BL296" s="2">
        <v>7.4158058913035174E-2</v>
      </c>
      <c r="BM296" s="2">
        <v>7.5718189192107169E-2</v>
      </c>
      <c r="BN296" s="2">
        <v>7.3955559365675619E-2</v>
      </c>
    </row>
    <row r="297" spans="1:66" x14ac:dyDescent="0.25">
      <c r="A297" s="8">
        <v>22401</v>
      </c>
      <c r="B297" s="8" t="s">
        <v>699</v>
      </c>
      <c r="C297" s="5">
        <v>3000</v>
      </c>
      <c r="D297" s="5">
        <f>+$C297*BC297</f>
        <v>267.54469784622671</v>
      </c>
      <c r="E297" s="5">
        <f>+$C297*BD297</f>
        <v>319.95833650335595</v>
      </c>
      <c r="F297" s="5">
        <f>+$C297*BE297</f>
        <v>283.1654725456429</v>
      </c>
      <c r="G297" s="5">
        <f>+$C297*BF297</f>
        <v>214.48694960565146</v>
      </c>
      <c r="H297" s="5">
        <f>+$C297*BG297</f>
        <v>311.05715431610287</v>
      </c>
      <c r="I297" s="5">
        <f>+$C297*BH297</f>
        <v>254.91099285763391</v>
      </c>
      <c r="J297" s="5">
        <f>+$C297*BI297</f>
        <v>253.7816366317881</v>
      </c>
      <c r="K297" s="5">
        <f>+$C297*BJ297</f>
        <v>172.34131638833989</v>
      </c>
      <c r="L297" s="5">
        <f>+$C297*BK297</f>
        <v>255.46155703667242</v>
      </c>
      <c r="M297" s="5">
        <f>+$C297*BL297</f>
        <v>222.47417673910553</v>
      </c>
      <c r="N297" s="5">
        <f>+$C297*BM297</f>
        <v>227.15456757632151</v>
      </c>
      <c r="O297" s="5">
        <f>+$C297*BN297</f>
        <v>221.86667809702686</v>
      </c>
      <c r="P297" s="5">
        <v>0</v>
      </c>
      <c r="Q297" s="5">
        <f>+$P297*BC297</f>
        <v>0</v>
      </c>
      <c r="R297" s="5">
        <f>+$P297*BD297</f>
        <v>0</v>
      </c>
      <c r="S297" s="5">
        <f>+$P297*BE297</f>
        <v>0</v>
      </c>
      <c r="T297" s="5">
        <f>+$P297*BF297</f>
        <v>0</v>
      </c>
      <c r="U297" s="5">
        <f>+$P297*BG297</f>
        <v>0</v>
      </c>
      <c r="V297" s="5">
        <f>+$P297*BH297</f>
        <v>0</v>
      </c>
      <c r="W297" s="5">
        <f>+$P297*BI297</f>
        <v>0</v>
      </c>
      <c r="X297" s="5">
        <f>+$P297*BJ297</f>
        <v>0</v>
      </c>
      <c r="Y297" s="5">
        <f>+$P297*BK297</f>
        <v>0</v>
      </c>
      <c r="Z297" s="5">
        <f>+$P297*BL297</f>
        <v>0</v>
      </c>
      <c r="AA297" s="5">
        <f>+$P297*BM297</f>
        <v>0</v>
      </c>
      <c r="AB297" s="5">
        <f>+$P297*BN297</f>
        <v>0</v>
      </c>
      <c r="AC297" s="5">
        <v>0</v>
      </c>
      <c r="AD297" s="5">
        <f>+$AC297*BC297</f>
        <v>0</v>
      </c>
      <c r="AE297" s="5">
        <f>+$AC297*BD297</f>
        <v>0</v>
      </c>
      <c r="AF297" s="5">
        <f>+$AC297*BE297</f>
        <v>0</v>
      </c>
      <c r="AG297" s="5">
        <f>+$AC297*BF297</f>
        <v>0</v>
      </c>
      <c r="AH297" s="5">
        <f>+$AC297*BG297</f>
        <v>0</v>
      </c>
      <c r="AI297" s="5">
        <f>+$AC297*BH297</f>
        <v>0</v>
      </c>
      <c r="AJ297" s="5">
        <f>+$AC297*BI297</f>
        <v>0</v>
      </c>
      <c r="AK297" s="5">
        <f>+$AC297*BJ297</f>
        <v>0</v>
      </c>
      <c r="AL297" s="5">
        <f>+$AC297*BK297</f>
        <v>0</v>
      </c>
      <c r="AM297" s="5">
        <f>+$AC297*BL297</f>
        <v>0</v>
      </c>
      <c r="AN297" s="5">
        <f>+$AC297*BM297</f>
        <v>0</v>
      </c>
      <c r="AO297" s="5">
        <f>+$AC297*BN297</f>
        <v>0</v>
      </c>
      <c r="AP297" s="5">
        <f>+AC297+P297+C297</f>
        <v>3000</v>
      </c>
      <c r="AQ297" s="1">
        <v>267.54469784622671</v>
      </c>
      <c r="AR297" s="1">
        <v>319.95833650335595</v>
      </c>
      <c r="AS297" s="1">
        <v>283.1654725456429</v>
      </c>
      <c r="AT297" s="1">
        <v>214.48694960565146</v>
      </c>
      <c r="AU297" s="1">
        <v>311.05715431610287</v>
      </c>
      <c r="AV297" s="1">
        <v>254.91099285763391</v>
      </c>
      <c r="AW297" s="1">
        <v>253.7816366317881</v>
      </c>
      <c r="AX297" s="1">
        <v>172.34131638833989</v>
      </c>
      <c r="AY297" s="1">
        <v>255.46155703667242</v>
      </c>
      <c r="AZ297" s="1">
        <v>222.47417673910553</v>
      </c>
      <c r="BA297" s="1">
        <v>227.15456757632151</v>
      </c>
      <c r="BB297" s="1">
        <v>221.86667809702686</v>
      </c>
      <c r="BC297" s="2">
        <v>8.9181565948742242E-2</v>
      </c>
      <c r="BD297" s="2">
        <v>0.10665277883445198</v>
      </c>
      <c r="BE297" s="2">
        <v>9.438849084854764E-2</v>
      </c>
      <c r="BF297" s="2">
        <v>7.149564986855049E-2</v>
      </c>
      <c r="BG297" s="2">
        <v>0.10368571810536763</v>
      </c>
      <c r="BH297" s="2">
        <v>8.4970330952544637E-2</v>
      </c>
      <c r="BI297" s="2">
        <v>8.4593878877262704E-2</v>
      </c>
      <c r="BJ297" s="2">
        <v>5.7447105462779965E-2</v>
      </c>
      <c r="BK297" s="2">
        <v>8.5153852345557474E-2</v>
      </c>
      <c r="BL297" s="2">
        <v>7.4158058913035174E-2</v>
      </c>
      <c r="BM297" s="2">
        <v>7.5718189192107169E-2</v>
      </c>
      <c r="BN297" s="2">
        <v>7.3955559365675619E-2</v>
      </c>
    </row>
    <row r="298" spans="1:66" x14ac:dyDescent="0.25">
      <c r="A298" s="8">
        <v>27015</v>
      </c>
      <c r="B298" s="8" t="s">
        <v>698</v>
      </c>
      <c r="C298" s="5">
        <v>0</v>
      </c>
      <c r="D298" s="5">
        <f>+$C298*BC298</f>
        <v>0</v>
      </c>
      <c r="E298" s="5">
        <f>+$C298*BD298</f>
        <v>0</v>
      </c>
      <c r="F298" s="5">
        <f>+$C298*BE298</f>
        <v>0</v>
      </c>
      <c r="G298" s="5">
        <f>+$C298*BF298</f>
        <v>0</v>
      </c>
      <c r="H298" s="5">
        <f>+$C298*BG298</f>
        <v>0</v>
      </c>
      <c r="I298" s="5">
        <f>+$C298*BH298</f>
        <v>0</v>
      </c>
      <c r="J298" s="5">
        <f>+$C298*BI298</f>
        <v>0</v>
      </c>
      <c r="K298" s="5">
        <f>+$C298*BJ298</f>
        <v>0</v>
      </c>
      <c r="L298" s="5">
        <f>+$C298*BK298</f>
        <v>0</v>
      </c>
      <c r="M298" s="5">
        <f>+$C298*BL298</f>
        <v>0</v>
      </c>
      <c r="N298" s="5">
        <f>+$C298*BM298</f>
        <v>0</v>
      </c>
      <c r="O298" s="5">
        <f>+$C298*BN298</f>
        <v>0</v>
      </c>
      <c r="P298" s="5">
        <v>2000</v>
      </c>
      <c r="Q298" s="5">
        <f>+$P298*BC298</f>
        <v>178.36313189748449</v>
      </c>
      <c r="R298" s="5">
        <f>+$P298*BD298</f>
        <v>213.30555766890396</v>
      </c>
      <c r="S298" s="5">
        <f>+$P298*BE298</f>
        <v>188.77698169709529</v>
      </c>
      <c r="T298" s="5">
        <f>+$P298*BF298</f>
        <v>142.99129973710097</v>
      </c>
      <c r="U298" s="5">
        <f>+$P298*BG298</f>
        <v>207.37143621073525</v>
      </c>
      <c r="V298" s="5">
        <f>+$P298*BH298</f>
        <v>169.94066190508929</v>
      </c>
      <c r="W298" s="5">
        <f>+$P298*BI298</f>
        <v>169.18775775452542</v>
      </c>
      <c r="X298" s="5">
        <f>+$P298*BJ298</f>
        <v>114.89421092555993</v>
      </c>
      <c r="Y298" s="5">
        <f>+$P298*BK298</f>
        <v>170.30770469111494</v>
      </c>
      <c r="Z298" s="5">
        <f>+$P298*BL298</f>
        <v>148.31611782607035</v>
      </c>
      <c r="AA298" s="5">
        <f>+$P298*BM298</f>
        <v>151.43637838421435</v>
      </c>
      <c r="AB298" s="5">
        <f>+$P298*BN298</f>
        <v>147.91111873135125</v>
      </c>
      <c r="AC298" s="5">
        <v>0</v>
      </c>
      <c r="AD298" s="5">
        <f>+$AC298*BC298</f>
        <v>0</v>
      </c>
      <c r="AE298" s="5">
        <f>+$AC298*BD298</f>
        <v>0</v>
      </c>
      <c r="AF298" s="5">
        <f>+$AC298*BE298</f>
        <v>0</v>
      </c>
      <c r="AG298" s="5">
        <f>+$AC298*BF298</f>
        <v>0</v>
      </c>
      <c r="AH298" s="5">
        <f>+$AC298*BG298</f>
        <v>0</v>
      </c>
      <c r="AI298" s="5">
        <f>+$AC298*BH298</f>
        <v>0</v>
      </c>
      <c r="AJ298" s="5">
        <f>+$AC298*BI298</f>
        <v>0</v>
      </c>
      <c r="AK298" s="5">
        <f>+$AC298*BJ298</f>
        <v>0</v>
      </c>
      <c r="AL298" s="5">
        <f>+$AC298*BK298</f>
        <v>0</v>
      </c>
      <c r="AM298" s="5">
        <f>+$AC298*BL298</f>
        <v>0</v>
      </c>
      <c r="AN298" s="5">
        <f>+$AC298*BM298</f>
        <v>0</v>
      </c>
      <c r="AO298" s="5">
        <f>+$AC298*BN298</f>
        <v>0</v>
      </c>
      <c r="AP298" s="5">
        <f>+AC298+P298+C298</f>
        <v>2000</v>
      </c>
      <c r="AQ298" s="1">
        <v>267.54469784622671</v>
      </c>
      <c r="AR298" s="1">
        <v>319.95833650335595</v>
      </c>
      <c r="AS298" s="1">
        <v>283.1654725456429</v>
      </c>
      <c r="AT298" s="1">
        <v>214.48694960565146</v>
      </c>
      <c r="AU298" s="1">
        <v>311.05715431610287</v>
      </c>
      <c r="AV298" s="1">
        <v>254.91099285763391</v>
      </c>
      <c r="AW298" s="1">
        <v>253.7816366317881</v>
      </c>
      <c r="AX298" s="1">
        <v>172.34131638833989</v>
      </c>
      <c r="AY298" s="1">
        <v>255.46155703667242</v>
      </c>
      <c r="AZ298" s="1">
        <v>222.47417673910553</v>
      </c>
      <c r="BA298" s="1">
        <v>227.15456757632151</v>
      </c>
      <c r="BB298" s="1">
        <v>221.86667809702686</v>
      </c>
      <c r="BC298" s="2">
        <v>8.9181565948742242E-2</v>
      </c>
      <c r="BD298" s="2">
        <v>0.10665277883445198</v>
      </c>
      <c r="BE298" s="2">
        <v>9.438849084854764E-2</v>
      </c>
      <c r="BF298" s="2">
        <v>7.149564986855049E-2</v>
      </c>
      <c r="BG298" s="2">
        <v>0.10368571810536763</v>
      </c>
      <c r="BH298" s="2">
        <v>8.4970330952544637E-2</v>
      </c>
      <c r="BI298" s="2">
        <v>8.4593878877262704E-2</v>
      </c>
      <c r="BJ298" s="2">
        <v>5.7447105462779965E-2</v>
      </c>
      <c r="BK298" s="2">
        <v>8.5153852345557474E-2</v>
      </c>
      <c r="BL298" s="2">
        <v>7.4158058913035174E-2</v>
      </c>
      <c r="BM298" s="2">
        <v>7.5718189192107169E-2</v>
      </c>
      <c r="BN298" s="2">
        <v>7.3955559365675619E-2</v>
      </c>
    </row>
    <row r="299" spans="1:66" x14ac:dyDescent="0.25">
      <c r="A299" s="8">
        <v>27103</v>
      </c>
      <c r="B299" s="8" t="s">
        <v>697</v>
      </c>
      <c r="C299" s="5">
        <v>0</v>
      </c>
      <c r="D299" s="5">
        <f>+$C299*BC299</f>
        <v>0</v>
      </c>
      <c r="E299" s="5">
        <f>+$C299*BD299</f>
        <v>0</v>
      </c>
      <c r="F299" s="5">
        <f>+$C299*BE299</f>
        <v>0</v>
      </c>
      <c r="G299" s="5">
        <f>+$C299*BF299</f>
        <v>0</v>
      </c>
      <c r="H299" s="5">
        <f>+$C299*BG299</f>
        <v>0</v>
      </c>
      <c r="I299" s="5">
        <f>+$C299*BH299</f>
        <v>0</v>
      </c>
      <c r="J299" s="5">
        <f>+$C299*BI299</f>
        <v>0</v>
      </c>
      <c r="K299" s="5">
        <f>+$C299*BJ299</f>
        <v>0</v>
      </c>
      <c r="L299" s="5">
        <f>+$C299*BK299</f>
        <v>0</v>
      </c>
      <c r="M299" s="5">
        <f>+$C299*BL299</f>
        <v>0</v>
      </c>
      <c r="N299" s="5">
        <f>+$C299*BM299</f>
        <v>0</v>
      </c>
      <c r="O299" s="5">
        <f>+$C299*BN299</f>
        <v>0</v>
      </c>
      <c r="P299" s="5">
        <v>4000</v>
      </c>
      <c r="Q299" s="5">
        <f>+$P299*BC299</f>
        <v>356.72626379496899</v>
      </c>
      <c r="R299" s="5">
        <f>+$P299*BD299</f>
        <v>426.61111533780792</v>
      </c>
      <c r="S299" s="5">
        <f>+$P299*BE299</f>
        <v>377.55396339419059</v>
      </c>
      <c r="T299" s="5">
        <f>+$P299*BF299</f>
        <v>285.98259947420195</v>
      </c>
      <c r="U299" s="5">
        <f>+$P299*BG299</f>
        <v>414.74287242147051</v>
      </c>
      <c r="V299" s="5">
        <f>+$P299*BH299</f>
        <v>339.88132381017857</v>
      </c>
      <c r="W299" s="5">
        <f>+$P299*BI299</f>
        <v>338.37551550905084</v>
      </c>
      <c r="X299" s="5">
        <f>+$P299*BJ299</f>
        <v>229.78842185111986</v>
      </c>
      <c r="Y299" s="5">
        <f>+$P299*BK299</f>
        <v>340.61540938222987</v>
      </c>
      <c r="Z299" s="5">
        <f>+$P299*BL299</f>
        <v>296.63223565214071</v>
      </c>
      <c r="AA299" s="5">
        <f>+$P299*BM299</f>
        <v>302.8727567684287</v>
      </c>
      <c r="AB299" s="5">
        <f>+$P299*BN299</f>
        <v>295.8222374627025</v>
      </c>
      <c r="AC299" s="5">
        <v>0</v>
      </c>
      <c r="AD299" s="5">
        <f>+$AC299*BC299</f>
        <v>0</v>
      </c>
      <c r="AE299" s="5">
        <f>+$AC299*BD299</f>
        <v>0</v>
      </c>
      <c r="AF299" s="5">
        <f>+$AC299*BE299</f>
        <v>0</v>
      </c>
      <c r="AG299" s="5">
        <f>+$AC299*BF299</f>
        <v>0</v>
      </c>
      <c r="AH299" s="5">
        <f>+$AC299*BG299</f>
        <v>0</v>
      </c>
      <c r="AI299" s="5">
        <f>+$AC299*BH299</f>
        <v>0</v>
      </c>
      <c r="AJ299" s="5">
        <f>+$AC299*BI299</f>
        <v>0</v>
      </c>
      <c r="AK299" s="5">
        <f>+$AC299*BJ299</f>
        <v>0</v>
      </c>
      <c r="AL299" s="5">
        <f>+$AC299*BK299</f>
        <v>0</v>
      </c>
      <c r="AM299" s="5">
        <f>+$AC299*BL299</f>
        <v>0</v>
      </c>
      <c r="AN299" s="5">
        <f>+$AC299*BM299</f>
        <v>0</v>
      </c>
      <c r="AO299" s="5">
        <f>+$AC299*BN299</f>
        <v>0</v>
      </c>
      <c r="AP299" s="5">
        <f>+AC299+P299+C299</f>
        <v>4000</v>
      </c>
      <c r="AQ299" s="1">
        <v>267.54469784622671</v>
      </c>
      <c r="AR299" s="1">
        <v>319.95833650335595</v>
      </c>
      <c r="AS299" s="1">
        <v>283.1654725456429</v>
      </c>
      <c r="AT299" s="1">
        <v>214.48694960565146</v>
      </c>
      <c r="AU299" s="1">
        <v>311.05715431610287</v>
      </c>
      <c r="AV299" s="1">
        <v>254.91099285763391</v>
      </c>
      <c r="AW299" s="1">
        <v>253.7816366317881</v>
      </c>
      <c r="AX299" s="1">
        <v>172.34131638833989</v>
      </c>
      <c r="AY299" s="1">
        <v>255.46155703667242</v>
      </c>
      <c r="AZ299" s="1">
        <v>222.47417673910553</v>
      </c>
      <c r="BA299" s="1">
        <v>227.15456757632151</v>
      </c>
      <c r="BB299" s="1">
        <v>221.86667809702686</v>
      </c>
      <c r="BC299" s="2">
        <v>8.9181565948742242E-2</v>
      </c>
      <c r="BD299" s="2">
        <v>0.10665277883445198</v>
      </c>
      <c r="BE299" s="2">
        <v>9.438849084854764E-2</v>
      </c>
      <c r="BF299" s="2">
        <v>7.149564986855049E-2</v>
      </c>
      <c r="BG299" s="2">
        <v>0.10368571810536763</v>
      </c>
      <c r="BH299" s="2">
        <v>8.4970330952544637E-2</v>
      </c>
      <c r="BI299" s="2">
        <v>8.4593878877262704E-2</v>
      </c>
      <c r="BJ299" s="2">
        <v>5.7447105462779965E-2</v>
      </c>
      <c r="BK299" s="2">
        <v>8.5153852345557474E-2</v>
      </c>
      <c r="BL299" s="2">
        <v>7.4158058913035174E-2</v>
      </c>
      <c r="BM299" s="2">
        <v>7.5718189192107169E-2</v>
      </c>
      <c r="BN299" s="2">
        <v>7.3955559365675619E-2</v>
      </c>
    </row>
    <row r="300" spans="1:66" x14ac:dyDescent="0.25">
      <c r="A300" s="8">
        <v>1778</v>
      </c>
      <c r="B300" s="8" t="s">
        <v>696</v>
      </c>
      <c r="C300" s="5">
        <v>0</v>
      </c>
      <c r="D300" s="5">
        <f>+$C300*BC300</f>
        <v>0</v>
      </c>
      <c r="E300" s="5">
        <f>+$C300*BD300</f>
        <v>0</v>
      </c>
      <c r="F300" s="5">
        <f>+$C300*BE300</f>
        <v>0</v>
      </c>
      <c r="G300" s="5">
        <f>+$C300*BF300</f>
        <v>0</v>
      </c>
      <c r="H300" s="5">
        <f>+$C300*BG300</f>
        <v>0</v>
      </c>
      <c r="I300" s="5">
        <f>+$C300*BH300</f>
        <v>0</v>
      </c>
      <c r="J300" s="5">
        <f>+$C300*BI300</f>
        <v>0</v>
      </c>
      <c r="K300" s="5">
        <f>+$C300*BJ300</f>
        <v>0</v>
      </c>
      <c r="L300" s="5">
        <f>+$C300*BK300</f>
        <v>0</v>
      </c>
      <c r="M300" s="5">
        <f>+$C300*BL300</f>
        <v>0</v>
      </c>
      <c r="N300" s="5">
        <f>+$C300*BM300</f>
        <v>0</v>
      </c>
      <c r="O300" s="5">
        <f>+$C300*BN300</f>
        <v>0</v>
      </c>
      <c r="P300" s="5">
        <v>1500</v>
      </c>
      <c r="Q300" s="5">
        <f>+$P300*BC300</f>
        <v>133.77234892311336</v>
      </c>
      <c r="R300" s="5">
        <f>+$P300*BD300</f>
        <v>159.97916825167798</v>
      </c>
      <c r="S300" s="5">
        <f>+$P300*BE300</f>
        <v>141.58273627282145</v>
      </c>
      <c r="T300" s="5">
        <f>+$P300*BF300</f>
        <v>107.24347480282573</v>
      </c>
      <c r="U300" s="5">
        <f>+$P300*BG300</f>
        <v>155.52857715805143</v>
      </c>
      <c r="V300" s="5">
        <f>+$P300*BH300</f>
        <v>127.45549642881696</v>
      </c>
      <c r="W300" s="5">
        <f>+$P300*BI300</f>
        <v>126.89081831589405</v>
      </c>
      <c r="X300" s="5">
        <f>+$P300*BJ300</f>
        <v>86.170658194169945</v>
      </c>
      <c r="Y300" s="5">
        <f>+$P300*BK300</f>
        <v>127.73077851833621</v>
      </c>
      <c r="Z300" s="5">
        <f>+$P300*BL300</f>
        <v>111.23708836955277</v>
      </c>
      <c r="AA300" s="5">
        <f>+$P300*BM300</f>
        <v>113.57728378816076</v>
      </c>
      <c r="AB300" s="5">
        <f>+$P300*BN300</f>
        <v>110.93333904851343</v>
      </c>
      <c r="AC300" s="5">
        <v>0</v>
      </c>
      <c r="AD300" s="5">
        <f>+$AC300*BC300</f>
        <v>0</v>
      </c>
      <c r="AE300" s="5">
        <f>+$AC300*BD300</f>
        <v>0</v>
      </c>
      <c r="AF300" s="5">
        <f>+$AC300*BE300</f>
        <v>0</v>
      </c>
      <c r="AG300" s="5">
        <f>+$AC300*BF300</f>
        <v>0</v>
      </c>
      <c r="AH300" s="5">
        <f>+$AC300*BG300</f>
        <v>0</v>
      </c>
      <c r="AI300" s="5">
        <f>+$AC300*BH300</f>
        <v>0</v>
      </c>
      <c r="AJ300" s="5">
        <f>+$AC300*BI300</f>
        <v>0</v>
      </c>
      <c r="AK300" s="5">
        <f>+$AC300*BJ300</f>
        <v>0</v>
      </c>
      <c r="AL300" s="5">
        <f>+$AC300*BK300</f>
        <v>0</v>
      </c>
      <c r="AM300" s="5">
        <f>+$AC300*BL300</f>
        <v>0</v>
      </c>
      <c r="AN300" s="5">
        <f>+$AC300*BM300</f>
        <v>0</v>
      </c>
      <c r="AO300" s="5">
        <f>+$AC300*BN300</f>
        <v>0</v>
      </c>
      <c r="AP300" s="5">
        <f>+AC300+P300+C300</f>
        <v>1500</v>
      </c>
      <c r="AQ300" s="1">
        <v>267.54469784622671</v>
      </c>
      <c r="AR300" s="1">
        <v>319.95833650335595</v>
      </c>
      <c r="AS300" s="1">
        <v>283.1654725456429</v>
      </c>
      <c r="AT300" s="1">
        <v>214.48694960565146</v>
      </c>
      <c r="AU300" s="1">
        <v>311.05715431610287</v>
      </c>
      <c r="AV300" s="1">
        <v>254.91099285763391</v>
      </c>
      <c r="AW300" s="1">
        <v>253.7816366317881</v>
      </c>
      <c r="AX300" s="1">
        <v>172.34131638833989</v>
      </c>
      <c r="AY300" s="1">
        <v>255.46155703667242</v>
      </c>
      <c r="AZ300" s="1">
        <v>222.47417673910553</v>
      </c>
      <c r="BA300" s="1">
        <v>227.15456757632151</v>
      </c>
      <c r="BB300" s="1">
        <v>221.86667809702686</v>
      </c>
      <c r="BC300" s="2">
        <v>8.9181565948742242E-2</v>
      </c>
      <c r="BD300" s="2">
        <v>0.10665277883445198</v>
      </c>
      <c r="BE300" s="2">
        <v>9.438849084854764E-2</v>
      </c>
      <c r="BF300" s="2">
        <v>7.149564986855049E-2</v>
      </c>
      <c r="BG300" s="2">
        <v>0.10368571810536763</v>
      </c>
      <c r="BH300" s="2">
        <v>8.4970330952544637E-2</v>
      </c>
      <c r="BI300" s="2">
        <v>8.4593878877262704E-2</v>
      </c>
      <c r="BJ300" s="2">
        <v>5.7447105462779965E-2</v>
      </c>
      <c r="BK300" s="2">
        <v>8.5153852345557474E-2</v>
      </c>
      <c r="BL300" s="2">
        <v>7.4158058913035174E-2</v>
      </c>
      <c r="BM300" s="2">
        <v>7.5718189192107169E-2</v>
      </c>
      <c r="BN300" s="2">
        <v>7.3955559365675619E-2</v>
      </c>
    </row>
    <row r="301" spans="1:66" x14ac:dyDescent="0.25">
      <c r="A301" s="8">
        <v>2185</v>
      </c>
      <c r="B301" s="8" t="s">
        <v>695</v>
      </c>
      <c r="C301" s="5">
        <v>500</v>
      </c>
      <c r="D301" s="5">
        <f>+$C301*BC301</f>
        <v>44.590782974371123</v>
      </c>
      <c r="E301" s="5">
        <f>+$C301*BD301</f>
        <v>53.32638941722599</v>
      </c>
      <c r="F301" s="5">
        <f>+$C301*BE301</f>
        <v>47.194245424273824</v>
      </c>
      <c r="G301" s="5">
        <f>+$C301*BF301</f>
        <v>35.747824934275243</v>
      </c>
      <c r="H301" s="5">
        <f>+$C301*BG301</f>
        <v>51.842859052683814</v>
      </c>
      <c r="I301" s="5">
        <f>+$C301*BH301</f>
        <v>42.485165476272321</v>
      </c>
      <c r="J301" s="5">
        <f>+$C301*BI301</f>
        <v>42.296939438631355</v>
      </c>
      <c r="K301" s="5">
        <f>+$C301*BJ301</f>
        <v>28.723552731389983</v>
      </c>
      <c r="L301" s="5">
        <f>+$C301*BK301</f>
        <v>42.576926172778734</v>
      </c>
      <c r="M301" s="5">
        <f>+$C301*BL301</f>
        <v>37.079029456517588</v>
      </c>
      <c r="N301" s="5">
        <f>+$C301*BM301</f>
        <v>37.859094596053588</v>
      </c>
      <c r="O301" s="5">
        <f>+$C301*BN301</f>
        <v>36.977779682837813</v>
      </c>
      <c r="P301" s="5">
        <v>6000</v>
      </c>
      <c r="Q301" s="5">
        <f>+$P301*BC301</f>
        <v>535.08939569245342</v>
      </c>
      <c r="R301" s="5">
        <f>+$P301*BD301</f>
        <v>639.9166730067119</v>
      </c>
      <c r="S301" s="5">
        <f>+$P301*BE301</f>
        <v>566.3309450912858</v>
      </c>
      <c r="T301" s="5">
        <f>+$P301*BF301</f>
        <v>428.97389921130292</v>
      </c>
      <c r="U301" s="5">
        <f>+$P301*BG301</f>
        <v>622.11430863220573</v>
      </c>
      <c r="V301" s="5">
        <f>+$P301*BH301</f>
        <v>509.82198571526783</v>
      </c>
      <c r="W301" s="5">
        <f>+$P301*BI301</f>
        <v>507.56327326357621</v>
      </c>
      <c r="X301" s="5">
        <f>+$P301*BJ301</f>
        <v>344.68263277667978</v>
      </c>
      <c r="Y301" s="5">
        <f>+$P301*BK301</f>
        <v>510.92311407334483</v>
      </c>
      <c r="Z301" s="5">
        <f>+$P301*BL301</f>
        <v>444.94835347821106</v>
      </c>
      <c r="AA301" s="5">
        <f>+$P301*BM301</f>
        <v>454.30913515264302</v>
      </c>
      <c r="AB301" s="5">
        <f>+$P301*BN301</f>
        <v>443.73335619405373</v>
      </c>
      <c r="AC301" s="5">
        <v>0</v>
      </c>
      <c r="AD301" s="5">
        <f>+$AC301*BC301</f>
        <v>0</v>
      </c>
      <c r="AE301" s="5">
        <f>+$AC301*BD301</f>
        <v>0</v>
      </c>
      <c r="AF301" s="5">
        <f>+$AC301*BE301</f>
        <v>0</v>
      </c>
      <c r="AG301" s="5">
        <f>+$AC301*BF301</f>
        <v>0</v>
      </c>
      <c r="AH301" s="5">
        <f>+$AC301*BG301</f>
        <v>0</v>
      </c>
      <c r="AI301" s="5">
        <f>+$AC301*BH301</f>
        <v>0</v>
      </c>
      <c r="AJ301" s="5">
        <f>+$AC301*BI301</f>
        <v>0</v>
      </c>
      <c r="AK301" s="5">
        <f>+$AC301*BJ301</f>
        <v>0</v>
      </c>
      <c r="AL301" s="5">
        <f>+$AC301*BK301</f>
        <v>0</v>
      </c>
      <c r="AM301" s="5">
        <f>+$AC301*BL301</f>
        <v>0</v>
      </c>
      <c r="AN301" s="5">
        <f>+$AC301*BM301</f>
        <v>0</v>
      </c>
      <c r="AO301" s="5">
        <f>+$AC301*BN301</f>
        <v>0</v>
      </c>
      <c r="AP301" s="5">
        <f>+AC301+P301+C301</f>
        <v>6500</v>
      </c>
      <c r="AQ301" s="1">
        <v>249.70838465647827</v>
      </c>
      <c r="AR301" s="1">
        <v>298.62778073646558</v>
      </c>
      <c r="AS301" s="1">
        <v>264.2877743759334</v>
      </c>
      <c r="AT301" s="1">
        <v>200.18781963194138</v>
      </c>
      <c r="AU301" s="1">
        <v>290.32001069502934</v>
      </c>
      <c r="AV301" s="1">
        <v>237.91692666712498</v>
      </c>
      <c r="AW301" s="1">
        <v>236.86286085633557</v>
      </c>
      <c r="AX301" s="1">
        <v>160.85189529578389</v>
      </c>
      <c r="AY301" s="1">
        <v>238.43078656756092</v>
      </c>
      <c r="AZ301" s="1">
        <v>207.64256495649849</v>
      </c>
      <c r="BA301" s="1">
        <v>212.01092973790009</v>
      </c>
      <c r="BB301" s="1">
        <v>207.07556622389174</v>
      </c>
      <c r="BC301" s="2">
        <v>8.9181565948742242E-2</v>
      </c>
      <c r="BD301" s="2">
        <v>0.10665277883445198</v>
      </c>
      <c r="BE301" s="2">
        <v>9.438849084854764E-2</v>
      </c>
      <c r="BF301" s="2">
        <v>7.149564986855049E-2</v>
      </c>
      <c r="BG301" s="2">
        <v>0.10368571810536763</v>
      </c>
      <c r="BH301" s="2">
        <v>8.4970330952544637E-2</v>
      </c>
      <c r="BI301" s="2">
        <v>8.4593878877262704E-2</v>
      </c>
      <c r="BJ301" s="2">
        <v>5.7447105462779965E-2</v>
      </c>
      <c r="BK301" s="2">
        <v>8.5153852345557474E-2</v>
      </c>
      <c r="BL301" s="2">
        <v>7.4158058913035174E-2</v>
      </c>
      <c r="BM301" s="2">
        <v>7.5718189192107169E-2</v>
      </c>
      <c r="BN301" s="2">
        <v>7.3955559365675619E-2</v>
      </c>
    </row>
    <row r="302" spans="1:66" x14ac:dyDescent="0.25">
      <c r="A302" s="8">
        <v>2062</v>
      </c>
      <c r="B302" s="8" t="s">
        <v>694</v>
      </c>
      <c r="C302" s="5">
        <v>2500</v>
      </c>
      <c r="D302" s="5">
        <f>+$C302*BC302</f>
        <v>222.9539148718556</v>
      </c>
      <c r="E302" s="5">
        <f>+$C302*BD302</f>
        <v>266.63194708612997</v>
      </c>
      <c r="F302" s="5">
        <f>+$C302*BE302</f>
        <v>235.97122712136911</v>
      </c>
      <c r="G302" s="5">
        <f>+$C302*BF302</f>
        <v>178.73912467137623</v>
      </c>
      <c r="H302" s="5">
        <f>+$C302*BG302</f>
        <v>259.21429526341905</v>
      </c>
      <c r="I302" s="5">
        <f>+$C302*BH302</f>
        <v>212.42582738136159</v>
      </c>
      <c r="J302" s="5">
        <f>+$C302*BI302</f>
        <v>211.48469719315676</v>
      </c>
      <c r="K302" s="5">
        <f>+$C302*BJ302</f>
        <v>143.6177636569499</v>
      </c>
      <c r="L302" s="5">
        <f>+$C302*BK302</f>
        <v>212.88463086389368</v>
      </c>
      <c r="M302" s="5">
        <f>+$C302*BL302</f>
        <v>185.39514728258794</v>
      </c>
      <c r="N302" s="5">
        <f>+$C302*BM302</f>
        <v>189.29547298026793</v>
      </c>
      <c r="O302" s="5">
        <f>+$C302*BN302</f>
        <v>184.88889841418904</v>
      </c>
      <c r="P302" s="5">
        <v>0</v>
      </c>
      <c r="Q302" s="5">
        <f>+$P302*BC302</f>
        <v>0</v>
      </c>
      <c r="R302" s="5">
        <f>+$P302*BD302</f>
        <v>0</v>
      </c>
      <c r="S302" s="5">
        <f>+$P302*BE302</f>
        <v>0</v>
      </c>
      <c r="T302" s="5">
        <f>+$P302*BF302</f>
        <v>0</v>
      </c>
      <c r="U302" s="5">
        <f>+$P302*BG302</f>
        <v>0</v>
      </c>
      <c r="V302" s="5">
        <f>+$P302*BH302</f>
        <v>0</v>
      </c>
      <c r="W302" s="5">
        <f>+$P302*BI302</f>
        <v>0</v>
      </c>
      <c r="X302" s="5">
        <f>+$P302*BJ302</f>
        <v>0</v>
      </c>
      <c r="Y302" s="5">
        <f>+$P302*BK302</f>
        <v>0</v>
      </c>
      <c r="Z302" s="5">
        <f>+$P302*BL302</f>
        <v>0</v>
      </c>
      <c r="AA302" s="5">
        <f>+$P302*BM302</f>
        <v>0</v>
      </c>
      <c r="AB302" s="5">
        <f>+$P302*BN302</f>
        <v>0</v>
      </c>
      <c r="AC302" s="5">
        <v>0</v>
      </c>
      <c r="AD302" s="5">
        <f>+$AC302*BC302</f>
        <v>0</v>
      </c>
      <c r="AE302" s="5">
        <f>+$AC302*BD302</f>
        <v>0</v>
      </c>
      <c r="AF302" s="5">
        <f>+$AC302*BE302</f>
        <v>0</v>
      </c>
      <c r="AG302" s="5">
        <f>+$AC302*BF302</f>
        <v>0</v>
      </c>
      <c r="AH302" s="5">
        <f>+$AC302*BG302</f>
        <v>0</v>
      </c>
      <c r="AI302" s="5">
        <f>+$AC302*BH302</f>
        <v>0</v>
      </c>
      <c r="AJ302" s="5">
        <f>+$AC302*BI302</f>
        <v>0</v>
      </c>
      <c r="AK302" s="5">
        <f>+$AC302*BJ302</f>
        <v>0</v>
      </c>
      <c r="AL302" s="5">
        <f>+$AC302*BK302</f>
        <v>0</v>
      </c>
      <c r="AM302" s="5">
        <f>+$AC302*BL302</f>
        <v>0</v>
      </c>
      <c r="AN302" s="5">
        <f>+$AC302*BM302</f>
        <v>0</v>
      </c>
      <c r="AO302" s="5">
        <f>+$AC302*BN302</f>
        <v>0</v>
      </c>
      <c r="AP302" s="5">
        <f>+AC302+P302+C302</f>
        <v>2500</v>
      </c>
      <c r="AQ302" s="1">
        <v>245.35899968515812</v>
      </c>
      <c r="AR302" s="1">
        <v>293.42632471270935</v>
      </c>
      <c r="AS302" s="1">
        <v>259.68444767724975</v>
      </c>
      <c r="AT302" s="1">
        <v>196.70097678785217</v>
      </c>
      <c r="AU302" s="1">
        <v>285.26325822303056</v>
      </c>
      <c r="AV302" s="1">
        <v>233.77292362656939</v>
      </c>
      <c r="AW302" s="1">
        <v>232.73721738349147</v>
      </c>
      <c r="AX302" s="1">
        <v>158.05019996236413</v>
      </c>
      <c r="AY302" s="1">
        <v>234.2778331886681</v>
      </c>
      <c r="AZ302" s="1">
        <v>204.02587642330977</v>
      </c>
      <c r="BA302" s="1">
        <v>208.31815365100101</v>
      </c>
      <c r="BB302" s="1">
        <v>203.46875359362772</v>
      </c>
      <c r="BC302" s="2">
        <v>8.9181565948742242E-2</v>
      </c>
      <c r="BD302" s="2">
        <v>0.10665277883445198</v>
      </c>
      <c r="BE302" s="2">
        <v>9.438849084854764E-2</v>
      </c>
      <c r="BF302" s="2">
        <v>7.149564986855049E-2</v>
      </c>
      <c r="BG302" s="2">
        <v>0.10368571810536763</v>
      </c>
      <c r="BH302" s="2">
        <v>8.4970330952544637E-2</v>
      </c>
      <c r="BI302" s="2">
        <v>8.4593878877262704E-2</v>
      </c>
      <c r="BJ302" s="2">
        <v>5.7447105462779965E-2</v>
      </c>
      <c r="BK302" s="2">
        <v>8.5153852345557474E-2</v>
      </c>
      <c r="BL302" s="2">
        <v>7.4158058913035174E-2</v>
      </c>
      <c r="BM302" s="2">
        <v>7.5718189192107169E-2</v>
      </c>
      <c r="BN302" s="2">
        <v>7.3955559365675619E-2</v>
      </c>
    </row>
    <row r="303" spans="1:66" x14ac:dyDescent="0.25">
      <c r="A303" s="8">
        <v>3041</v>
      </c>
      <c r="B303" s="8" t="s">
        <v>693</v>
      </c>
      <c r="C303" s="5">
        <v>2000</v>
      </c>
      <c r="D303" s="5">
        <f>+$C303*BC303</f>
        <v>178.36313189748449</v>
      </c>
      <c r="E303" s="5">
        <f>+$C303*BD303</f>
        <v>213.30555766890396</v>
      </c>
      <c r="F303" s="5">
        <f>+$C303*BE303</f>
        <v>188.77698169709529</v>
      </c>
      <c r="G303" s="5">
        <f>+$C303*BF303</f>
        <v>142.99129973710097</v>
      </c>
      <c r="H303" s="5">
        <f>+$C303*BG303</f>
        <v>207.37143621073525</v>
      </c>
      <c r="I303" s="5">
        <f>+$C303*BH303</f>
        <v>169.94066190508929</v>
      </c>
      <c r="J303" s="5">
        <f>+$C303*BI303</f>
        <v>169.18775775452542</v>
      </c>
      <c r="K303" s="5">
        <f>+$C303*BJ303</f>
        <v>114.89421092555993</v>
      </c>
      <c r="L303" s="5">
        <f>+$C303*BK303</f>
        <v>170.30770469111494</v>
      </c>
      <c r="M303" s="5">
        <f>+$C303*BL303</f>
        <v>148.31611782607035</v>
      </c>
      <c r="N303" s="5">
        <f>+$C303*BM303</f>
        <v>151.43637838421435</v>
      </c>
      <c r="O303" s="5">
        <f>+$C303*BN303</f>
        <v>147.91111873135125</v>
      </c>
      <c r="P303" s="5">
        <v>0</v>
      </c>
      <c r="Q303" s="5">
        <f>+$P303*BC303</f>
        <v>0</v>
      </c>
      <c r="R303" s="5">
        <f>+$P303*BD303</f>
        <v>0</v>
      </c>
      <c r="S303" s="5">
        <f>+$P303*BE303</f>
        <v>0</v>
      </c>
      <c r="T303" s="5">
        <f>+$P303*BF303</f>
        <v>0</v>
      </c>
      <c r="U303" s="5">
        <f>+$P303*BG303</f>
        <v>0</v>
      </c>
      <c r="V303" s="5">
        <f>+$P303*BH303</f>
        <v>0</v>
      </c>
      <c r="W303" s="5">
        <f>+$P303*BI303</f>
        <v>0</v>
      </c>
      <c r="X303" s="5">
        <f>+$P303*BJ303</f>
        <v>0</v>
      </c>
      <c r="Y303" s="5">
        <f>+$P303*BK303</f>
        <v>0</v>
      </c>
      <c r="Z303" s="5">
        <f>+$P303*BL303</f>
        <v>0</v>
      </c>
      <c r="AA303" s="5">
        <f>+$P303*BM303</f>
        <v>0</v>
      </c>
      <c r="AB303" s="5">
        <f>+$P303*BN303</f>
        <v>0</v>
      </c>
      <c r="AC303" s="5">
        <v>0</v>
      </c>
      <c r="AD303" s="5">
        <f>+$AC303*BC303</f>
        <v>0</v>
      </c>
      <c r="AE303" s="5">
        <f>+$AC303*BD303</f>
        <v>0</v>
      </c>
      <c r="AF303" s="5">
        <f>+$AC303*BE303</f>
        <v>0</v>
      </c>
      <c r="AG303" s="5">
        <f>+$AC303*BF303</f>
        <v>0</v>
      </c>
      <c r="AH303" s="5">
        <f>+$AC303*BG303</f>
        <v>0</v>
      </c>
      <c r="AI303" s="5">
        <f>+$AC303*BH303</f>
        <v>0</v>
      </c>
      <c r="AJ303" s="5">
        <f>+$AC303*BI303</f>
        <v>0</v>
      </c>
      <c r="AK303" s="5">
        <f>+$AC303*BJ303</f>
        <v>0</v>
      </c>
      <c r="AL303" s="5">
        <f>+$AC303*BK303</f>
        <v>0</v>
      </c>
      <c r="AM303" s="5">
        <f>+$AC303*BL303</f>
        <v>0</v>
      </c>
      <c r="AN303" s="5">
        <f>+$AC303*BM303</f>
        <v>0</v>
      </c>
      <c r="AO303" s="5">
        <f>+$AC303*BN303</f>
        <v>0</v>
      </c>
      <c r="AP303" s="5">
        <f>+AC303+P303+C303</f>
        <v>2000</v>
      </c>
      <c r="AQ303" s="1">
        <v>231.87207146672984</v>
      </c>
      <c r="AR303" s="1">
        <v>277.29722496957515</v>
      </c>
      <c r="AS303" s="1">
        <v>245.41007620622386</v>
      </c>
      <c r="AT303" s="1">
        <v>185.88868965823127</v>
      </c>
      <c r="AU303" s="1">
        <v>269.58286707395581</v>
      </c>
      <c r="AV303" s="1">
        <v>220.92286047661605</v>
      </c>
      <c r="AW303" s="1">
        <v>219.94408508088304</v>
      </c>
      <c r="AX303" s="1">
        <v>149.36247420322792</v>
      </c>
      <c r="AY303" s="1">
        <v>221.40001609844944</v>
      </c>
      <c r="AZ303" s="1">
        <v>192.81095317389145</v>
      </c>
      <c r="BA303" s="1">
        <v>196.86729189947863</v>
      </c>
      <c r="BB303" s="1">
        <v>192.28445435075662</v>
      </c>
      <c r="BC303" s="2">
        <v>8.9181565948742242E-2</v>
      </c>
      <c r="BD303" s="2">
        <v>0.10665277883445198</v>
      </c>
      <c r="BE303" s="2">
        <v>9.438849084854764E-2</v>
      </c>
      <c r="BF303" s="2">
        <v>7.149564986855049E-2</v>
      </c>
      <c r="BG303" s="2">
        <v>0.10368571810536763</v>
      </c>
      <c r="BH303" s="2">
        <v>8.4970330952544637E-2</v>
      </c>
      <c r="BI303" s="2">
        <v>8.4593878877262704E-2</v>
      </c>
      <c r="BJ303" s="2">
        <v>5.7447105462779965E-2</v>
      </c>
      <c r="BK303" s="2">
        <v>8.5153852345557474E-2</v>
      </c>
      <c r="BL303" s="2">
        <v>7.4158058913035174E-2</v>
      </c>
      <c r="BM303" s="2">
        <v>7.5718189192107169E-2</v>
      </c>
      <c r="BN303" s="2">
        <v>7.3955559365675619E-2</v>
      </c>
    </row>
    <row r="304" spans="1:66" x14ac:dyDescent="0.25">
      <c r="A304" s="8">
        <v>1876</v>
      </c>
      <c r="B304" s="8" t="s">
        <v>692</v>
      </c>
      <c r="C304" s="5">
        <v>0</v>
      </c>
      <c r="D304" s="5">
        <f>+$C304*BC304</f>
        <v>0</v>
      </c>
      <c r="E304" s="5">
        <f>+$C304*BD304</f>
        <v>0</v>
      </c>
      <c r="F304" s="5">
        <f>+$C304*BE304</f>
        <v>0</v>
      </c>
      <c r="G304" s="5">
        <f>+$C304*BF304</f>
        <v>0</v>
      </c>
      <c r="H304" s="5">
        <f>+$C304*BG304</f>
        <v>0</v>
      </c>
      <c r="I304" s="5">
        <f>+$C304*BH304</f>
        <v>0</v>
      </c>
      <c r="J304" s="5">
        <f>+$C304*BI304</f>
        <v>0</v>
      </c>
      <c r="K304" s="5">
        <f>+$C304*BJ304</f>
        <v>0</v>
      </c>
      <c r="L304" s="5">
        <f>+$C304*BK304</f>
        <v>0</v>
      </c>
      <c r="M304" s="5">
        <f>+$C304*BL304</f>
        <v>0</v>
      </c>
      <c r="N304" s="5">
        <f>+$C304*BM304</f>
        <v>0</v>
      </c>
      <c r="O304" s="5">
        <f>+$C304*BN304</f>
        <v>0</v>
      </c>
      <c r="P304" s="5">
        <v>4000</v>
      </c>
      <c r="Q304" s="5">
        <f>+$P304*BC304</f>
        <v>356.72626379496899</v>
      </c>
      <c r="R304" s="5">
        <f>+$P304*BD304</f>
        <v>426.61111533780792</v>
      </c>
      <c r="S304" s="5">
        <f>+$P304*BE304</f>
        <v>377.55396339419059</v>
      </c>
      <c r="T304" s="5">
        <f>+$P304*BF304</f>
        <v>285.98259947420195</v>
      </c>
      <c r="U304" s="5">
        <f>+$P304*BG304</f>
        <v>414.74287242147051</v>
      </c>
      <c r="V304" s="5">
        <f>+$P304*BH304</f>
        <v>339.88132381017857</v>
      </c>
      <c r="W304" s="5">
        <f>+$P304*BI304</f>
        <v>338.37551550905084</v>
      </c>
      <c r="X304" s="5">
        <f>+$P304*BJ304</f>
        <v>229.78842185111986</v>
      </c>
      <c r="Y304" s="5">
        <f>+$P304*BK304</f>
        <v>340.61540938222987</v>
      </c>
      <c r="Z304" s="5">
        <f>+$P304*BL304</f>
        <v>296.63223565214071</v>
      </c>
      <c r="AA304" s="5">
        <f>+$P304*BM304</f>
        <v>302.8727567684287</v>
      </c>
      <c r="AB304" s="5">
        <f>+$P304*BN304</f>
        <v>295.8222374627025</v>
      </c>
      <c r="AC304" s="5">
        <v>0</v>
      </c>
      <c r="AD304" s="5">
        <f>+$AC304*BC304</f>
        <v>0</v>
      </c>
      <c r="AE304" s="5">
        <f>+$AC304*BD304</f>
        <v>0</v>
      </c>
      <c r="AF304" s="5">
        <f>+$AC304*BE304</f>
        <v>0</v>
      </c>
      <c r="AG304" s="5">
        <f>+$AC304*BF304</f>
        <v>0</v>
      </c>
      <c r="AH304" s="5">
        <f>+$AC304*BG304</f>
        <v>0</v>
      </c>
      <c r="AI304" s="5">
        <f>+$AC304*BH304</f>
        <v>0</v>
      </c>
      <c r="AJ304" s="5">
        <f>+$AC304*BI304</f>
        <v>0</v>
      </c>
      <c r="AK304" s="5">
        <f>+$AC304*BJ304</f>
        <v>0</v>
      </c>
      <c r="AL304" s="5">
        <f>+$AC304*BK304</f>
        <v>0</v>
      </c>
      <c r="AM304" s="5">
        <f>+$AC304*BL304</f>
        <v>0</v>
      </c>
      <c r="AN304" s="5">
        <f>+$AC304*BM304</f>
        <v>0</v>
      </c>
      <c r="AO304" s="5">
        <f>+$AC304*BN304</f>
        <v>0</v>
      </c>
      <c r="AP304" s="5">
        <f>+AC304+P304+C304</f>
        <v>4000</v>
      </c>
      <c r="AQ304" s="1">
        <v>232.02171813439182</v>
      </c>
      <c r="AR304" s="1">
        <v>277.47618833245934</v>
      </c>
      <c r="AS304" s="1">
        <v>245.56846009386771</v>
      </c>
      <c r="AT304" s="1">
        <v>186.0086593587107</v>
      </c>
      <c r="AU304" s="1">
        <v>269.75685170893661</v>
      </c>
      <c r="AV304" s="1">
        <v>221.06544069195442</v>
      </c>
      <c r="AW304" s="1">
        <v>220.08603360963906</v>
      </c>
      <c r="AX304" s="1">
        <v>149.45887044619445</v>
      </c>
      <c r="AY304" s="1">
        <v>221.54290426268525</v>
      </c>
      <c r="AZ304" s="1">
        <v>192.93539039674752</v>
      </c>
      <c r="BA304" s="1">
        <v>196.994347020943</v>
      </c>
      <c r="BB304" s="1">
        <v>192.4085517793722</v>
      </c>
      <c r="BC304" s="2">
        <v>8.9181565948742242E-2</v>
      </c>
      <c r="BD304" s="2">
        <v>0.10665277883445198</v>
      </c>
      <c r="BE304" s="2">
        <v>9.438849084854764E-2</v>
      </c>
      <c r="BF304" s="2">
        <v>7.149564986855049E-2</v>
      </c>
      <c r="BG304" s="2">
        <v>0.10368571810536763</v>
      </c>
      <c r="BH304" s="2">
        <v>8.4970330952544637E-2</v>
      </c>
      <c r="BI304" s="2">
        <v>8.4593878877262704E-2</v>
      </c>
      <c r="BJ304" s="2">
        <v>5.7447105462779965E-2</v>
      </c>
      <c r="BK304" s="2">
        <v>8.5153852345557474E-2</v>
      </c>
      <c r="BL304" s="2">
        <v>7.4158058913035174E-2</v>
      </c>
      <c r="BM304" s="2">
        <v>7.5718189192107169E-2</v>
      </c>
      <c r="BN304" s="2">
        <v>7.3955559365675619E-2</v>
      </c>
    </row>
    <row r="305" spans="1:66" x14ac:dyDescent="0.25">
      <c r="A305" s="8">
        <v>3309</v>
      </c>
      <c r="B305" s="8" t="s">
        <v>691</v>
      </c>
      <c r="C305" s="5">
        <v>0</v>
      </c>
      <c r="D305" s="5">
        <f>+$C305*BC305</f>
        <v>0</v>
      </c>
      <c r="E305" s="5">
        <f>+$C305*BD305</f>
        <v>0</v>
      </c>
      <c r="F305" s="5">
        <f>+$C305*BE305</f>
        <v>0</v>
      </c>
      <c r="G305" s="5">
        <f>+$C305*BF305</f>
        <v>0</v>
      </c>
      <c r="H305" s="5">
        <f>+$C305*BG305</f>
        <v>0</v>
      </c>
      <c r="I305" s="5">
        <f>+$C305*BH305</f>
        <v>0</v>
      </c>
      <c r="J305" s="5">
        <f>+$C305*BI305</f>
        <v>0</v>
      </c>
      <c r="K305" s="5">
        <f>+$C305*BJ305</f>
        <v>0</v>
      </c>
      <c r="L305" s="5">
        <f>+$C305*BK305</f>
        <v>0</v>
      </c>
      <c r="M305" s="5">
        <f>+$C305*BL305</f>
        <v>0</v>
      </c>
      <c r="N305" s="5">
        <f>+$C305*BM305</f>
        <v>0</v>
      </c>
      <c r="O305" s="5">
        <f>+$C305*BN305</f>
        <v>0</v>
      </c>
      <c r="P305" s="5">
        <v>0</v>
      </c>
      <c r="Q305" s="5">
        <f>+$P305*BC305</f>
        <v>0</v>
      </c>
      <c r="R305" s="5">
        <f>+$P305*BD305</f>
        <v>0</v>
      </c>
      <c r="S305" s="5">
        <f>+$P305*BE305</f>
        <v>0</v>
      </c>
      <c r="T305" s="5">
        <f>+$P305*BF305</f>
        <v>0</v>
      </c>
      <c r="U305" s="5">
        <f>+$P305*BG305</f>
        <v>0</v>
      </c>
      <c r="V305" s="5">
        <f>+$P305*BH305</f>
        <v>0</v>
      </c>
      <c r="W305" s="5">
        <f>+$P305*BI305</f>
        <v>0</v>
      </c>
      <c r="X305" s="5">
        <f>+$P305*BJ305</f>
        <v>0</v>
      </c>
      <c r="Y305" s="5">
        <f>+$P305*BK305</f>
        <v>0</v>
      </c>
      <c r="Z305" s="5">
        <f>+$P305*BL305</f>
        <v>0</v>
      </c>
      <c r="AA305" s="5">
        <f>+$P305*BM305</f>
        <v>0</v>
      </c>
      <c r="AB305" s="5">
        <f>+$P305*BN305</f>
        <v>0</v>
      </c>
      <c r="AC305" s="5">
        <v>0</v>
      </c>
      <c r="AD305" s="5">
        <f>+$AC305*BC305</f>
        <v>0</v>
      </c>
      <c r="AE305" s="5">
        <f>+$AC305*BD305</f>
        <v>0</v>
      </c>
      <c r="AF305" s="5">
        <f>+$AC305*BE305</f>
        <v>0</v>
      </c>
      <c r="AG305" s="5">
        <f>+$AC305*BF305</f>
        <v>0</v>
      </c>
      <c r="AH305" s="5">
        <f>+$AC305*BG305</f>
        <v>0</v>
      </c>
      <c r="AI305" s="5">
        <f>+$AC305*BH305</f>
        <v>0</v>
      </c>
      <c r="AJ305" s="5">
        <f>+$AC305*BI305</f>
        <v>0</v>
      </c>
      <c r="AK305" s="5">
        <f>+$AC305*BJ305</f>
        <v>0</v>
      </c>
      <c r="AL305" s="5">
        <f>+$AC305*BK305</f>
        <v>0</v>
      </c>
      <c r="AM305" s="5">
        <f>+$AC305*BL305</f>
        <v>0</v>
      </c>
      <c r="AN305" s="5">
        <f>+$AC305*BM305</f>
        <v>0</v>
      </c>
      <c r="AO305" s="5">
        <f>+$AC305*BN305</f>
        <v>0</v>
      </c>
      <c r="AP305" s="5">
        <f>+AC305+P305+C305</f>
        <v>0</v>
      </c>
      <c r="AQ305" s="1">
        <v>222.9539148718556</v>
      </c>
      <c r="AR305" s="1">
        <v>266.63194708612997</v>
      </c>
      <c r="AS305" s="1">
        <v>235.97122712136911</v>
      </c>
      <c r="AT305" s="1">
        <v>178.73912467137623</v>
      </c>
      <c r="AU305" s="1">
        <v>259.21429526341905</v>
      </c>
      <c r="AV305" s="1">
        <v>212.42582738136159</v>
      </c>
      <c r="AW305" s="1">
        <v>211.48469719315676</v>
      </c>
      <c r="AX305" s="1">
        <v>143.6177636569499</v>
      </c>
      <c r="AY305" s="1">
        <v>212.88463086389368</v>
      </c>
      <c r="AZ305" s="1">
        <v>185.39514728258794</v>
      </c>
      <c r="BA305" s="1">
        <v>189.29547298026793</v>
      </c>
      <c r="BB305" s="1">
        <v>184.88889841418904</v>
      </c>
      <c r="BC305" s="2">
        <v>8.9181565948742242E-2</v>
      </c>
      <c r="BD305" s="2">
        <v>0.10665277883445198</v>
      </c>
      <c r="BE305" s="2">
        <v>9.438849084854764E-2</v>
      </c>
      <c r="BF305" s="2">
        <v>7.149564986855049E-2</v>
      </c>
      <c r="BG305" s="2">
        <v>0.10368571810536763</v>
      </c>
      <c r="BH305" s="2">
        <v>8.4970330952544637E-2</v>
      </c>
      <c r="BI305" s="2">
        <v>8.4593878877262704E-2</v>
      </c>
      <c r="BJ305" s="2">
        <v>5.7447105462779965E-2</v>
      </c>
      <c r="BK305" s="2">
        <v>8.5153852345557474E-2</v>
      </c>
      <c r="BL305" s="2">
        <v>7.4158058913035174E-2</v>
      </c>
      <c r="BM305" s="2">
        <v>7.5718189192107169E-2</v>
      </c>
      <c r="BN305" s="2">
        <v>7.3955559365675619E-2</v>
      </c>
    </row>
    <row r="306" spans="1:66" x14ac:dyDescent="0.25">
      <c r="A306" s="8">
        <v>3644</v>
      </c>
      <c r="B306" s="8" t="s">
        <v>690</v>
      </c>
      <c r="C306" s="5">
        <v>5000</v>
      </c>
      <c r="D306" s="5">
        <f>+$C306*BC306</f>
        <v>445.9078297437112</v>
      </c>
      <c r="E306" s="5">
        <f>+$C306*BD306</f>
        <v>533.26389417225994</v>
      </c>
      <c r="F306" s="5">
        <f>+$C306*BE306</f>
        <v>471.94245424273822</v>
      </c>
      <c r="G306" s="5">
        <f>+$C306*BF306</f>
        <v>357.47824934275246</v>
      </c>
      <c r="H306" s="5">
        <f>+$C306*BG306</f>
        <v>518.42859052683809</v>
      </c>
      <c r="I306" s="5">
        <f>+$C306*BH306</f>
        <v>424.85165476272317</v>
      </c>
      <c r="J306" s="5">
        <f>+$C306*BI306</f>
        <v>422.96939438631352</v>
      </c>
      <c r="K306" s="5">
        <f>+$C306*BJ306</f>
        <v>287.23552731389981</v>
      </c>
      <c r="L306" s="5">
        <f>+$C306*BK306</f>
        <v>425.76926172778735</v>
      </c>
      <c r="M306" s="5">
        <f>+$C306*BL306</f>
        <v>370.79029456517588</v>
      </c>
      <c r="N306" s="5">
        <f>+$C306*BM306</f>
        <v>378.59094596053586</v>
      </c>
      <c r="O306" s="5">
        <f>+$C306*BN306</f>
        <v>369.77779682837809</v>
      </c>
      <c r="P306" s="5">
        <v>0</v>
      </c>
      <c r="Q306" s="5">
        <f>+$P306*BC306</f>
        <v>0</v>
      </c>
      <c r="R306" s="5">
        <f>+$P306*BD306</f>
        <v>0</v>
      </c>
      <c r="S306" s="5">
        <f>+$P306*BE306</f>
        <v>0</v>
      </c>
      <c r="T306" s="5">
        <f>+$P306*BF306</f>
        <v>0</v>
      </c>
      <c r="U306" s="5">
        <f>+$P306*BG306</f>
        <v>0</v>
      </c>
      <c r="V306" s="5">
        <f>+$P306*BH306</f>
        <v>0</v>
      </c>
      <c r="W306" s="5">
        <f>+$P306*BI306</f>
        <v>0</v>
      </c>
      <c r="X306" s="5">
        <f>+$P306*BJ306</f>
        <v>0</v>
      </c>
      <c r="Y306" s="5">
        <f>+$P306*BK306</f>
        <v>0</v>
      </c>
      <c r="Z306" s="5">
        <f>+$P306*BL306</f>
        <v>0</v>
      </c>
      <c r="AA306" s="5">
        <f>+$P306*BM306</f>
        <v>0</v>
      </c>
      <c r="AB306" s="5">
        <f>+$P306*BN306</f>
        <v>0</v>
      </c>
      <c r="AC306" s="5">
        <v>0</v>
      </c>
      <c r="AD306" s="5">
        <f>+$AC306*BC306</f>
        <v>0</v>
      </c>
      <c r="AE306" s="5">
        <f>+$AC306*BD306</f>
        <v>0</v>
      </c>
      <c r="AF306" s="5">
        <f>+$AC306*BE306</f>
        <v>0</v>
      </c>
      <c r="AG306" s="5">
        <f>+$AC306*BF306</f>
        <v>0</v>
      </c>
      <c r="AH306" s="5">
        <f>+$AC306*BG306</f>
        <v>0</v>
      </c>
      <c r="AI306" s="5">
        <f>+$AC306*BH306</f>
        <v>0</v>
      </c>
      <c r="AJ306" s="5">
        <f>+$AC306*BI306</f>
        <v>0</v>
      </c>
      <c r="AK306" s="5">
        <f>+$AC306*BJ306</f>
        <v>0</v>
      </c>
      <c r="AL306" s="5">
        <f>+$AC306*BK306</f>
        <v>0</v>
      </c>
      <c r="AM306" s="5">
        <f>+$AC306*BL306</f>
        <v>0</v>
      </c>
      <c r="AN306" s="5">
        <f>+$AC306*BM306</f>
        <v>0</v>
      </c>
      <c r="AO306" s="5">
        <f>+$AC306*BN306</f>
        <v>0</v>
      </c>
      <c r="AP306" s="5">
        <f>+AC306+P306+C306</f>
        <v>5000</v>
      </c>
      <c r="AQ306" s="1">
        <v>222.9539148718556</v>
      </c>
      <c r="AR306" s="1">
        <v>266.63194708612997</v>
      </c>
      <c r="AS306" s="1">
        <v>235.97122712136911</v>
      </c>
      <c r="AT306" s="1">
        <v>178.73912467137623</v>
      </c>
      <c r="AU306" s="1">
        <v>259.21429526341905</v>
      </c>
      <c r="AV306" s="1">
        <v>212.42582738136159</v>
      </c>
      <c r="AW306" s="1">
        <v>211.48469719315676</v>
      </c>
      <c r="AX306" s="1">
        <v>143.6177636569499</v>
      </c>
      <c r="AY306" s="1">
        <v>212.88463086389368</v>
      </c>
      <c r="AZ306" s="1">
        <v>185.39514728258794</v>
      </c>
      <c r="BA306" s="1">
        <v>189.29547298026793</v>
      </c>
      <c r="BB306" s="1">
        <v>184.88889841418904</v>
      </c>
      <c r="BC306" s="2">
        <v>8.9181565948742242E-2</v>
      </c>
      <c r="BD306" s="2">
        <v>0.10665277883445198</v>
      </c>
      <c r="BE306" s="2">
        <v>9.438849084854764E-2</v>
      </c>
      <c r="BF306" s="2">
        <v>7.149564986855049E-2</v>
      </c>
      <c r="BG306" s="2">
        <v>0.10368571810536763</v>
      </c>
      <c r="BH306" s="2">
        <v>8.4970330952544637E-2</v>
      </c>
      <c r="BI306" s="2">
        <v>8.4593878877262704E-2</v>
      </c>
      <c r="BJ306" s="2">
        <v>5.7447105462779965E-2</v>
      </c>
      <c r="BK306" s="2">
        <v>8.5153852345557474E-2</v>
      </c>
      <c r="BL306" s="2">
        <v>7.4158058913035174E-2</v>
      </c>
      <c r="BM306" s="2">
        <v>7.5718189192107169E-2</v>
      </c>
      <c r="BN306" s="2">
        <v>7.3955559365675619E-2</v>
      </c>
    </row>
    <row r="307" spans="1:66" x14ac:dyDescent="0.25">
      <c r="A307" s="8">
        <v>3700</v>
      </c>
      <c r="B307" s="8" t="s">
        <v>689</v>
      </c>
      <c r="C307" s="5">
        <v>2500</v>
      </c>
      <c r="D307" s="5">
        <f>+$C307*BC307</f>
        <v>222.9539148718556</v>
      </c>
      <c r="E307" s="5">
        <f>+$C307*BD307</f>
        <v>266.63194708612997</v>
      </c>
      <c r="F307" s="5">
        <f>+$C307*BE307</f>
        <v>235.97122712136911</v>
      </c>
      <c r="G307" s="5">
        <f>+$C307*BF307</f>
        <v>178.73912467137623</v>
      </c>
      <c r="H307" s="5">
        <f>+$C307*BG307</f>
        <v>259.21429526341905</v>
      </c>
      <c r="I307" s="5">
        <f>+$C307*BH307</f>
        <v>212.42582738136159</v>
      </c>
      <c r="J307" s="5">
        <f>+$C307*BI307</f>
        <v>211.48469719315676</v>
      </c>
      <c r="K307" s="5">
        <f>+$C307*BJ307</f>
        <v>143.6177636569499</v>
      </c>
      <c r="L307" s="5">
        <f>+$C307*BK307</f>
        <v>212.88463086389368</v>
      </c>
      <c r="M307" s="5">
        <f>+$C307*BL307</f>
        <v>185.39514728258794</v>
      </c>
      <c r="N307" s="5">
        <f>+$C307*BM307</f>
        <v>189.29547298026793</v>
      </c>
      <c r="O307" s="5">
        <f>+$C307*BN307</f>
        <v>184.88889841418904</v>
      </c>
      <c r="P307" s="5">
        <v>0</v>
      </c>
      <c r="Q307" s="5">
        <f>+$P307*BC307</f>
        <v>0</v>
      </c>
      <c r="R307" s="5">
        <f>+$P307*BD307</f>
        <v>0</v>
      </c>
      <c r="S307" s="5">
        <f>+$P307*BE307</f>
        <v>0</v>
      </c>
      <c r="T307" s="5">
        <f>+$P307*BF307</f>
        <v>0</v>
      </c>
      <c r="U307" s="5">
        <f>+$P307*BG307</f>
        <v>0</v>
      </c>
      <c r="V307" s="5">
        <f>+$P307*BH307</f>
        <v>0</v>
      </c>
      <c r="W307" s="5">
        <f>+$P307*BI307</f>
        <v>0</v>
      </c>
      <c r="X307" s="5">
        <f>+$P307*BJ307</f>
        <v>0</v>
      </c>
      <c r="Y307" s="5">
        <f>+$P307*BK307</f>
        <v>0</v>
      </c>
      <c r="Z307" s="5">
        <f>+$P307*BL307</f>
        <v>0</v>
      </c>
      <c r="AA307" s="5">
        <f>+$P307*BM307</f>
        <v>0</v>
      </c>
      <c r="AB307" s="5">
        <f>+$P307*BN307</f>
        <v>0</v>
      </c>
      <c r="AC307" s="5">
        <v>0</v>
      </c>
      <c r="AD307" s="5">
        <f>+$AC307*BC307</f>
        <v>0</v>
      </c>
      <c r="AE307" s="5">
        <f>+$AC307*BD307</f>
        <v>0</v>
      </c>
      <c r="AF307" s="5">
        <f>+$AC307*BE307</f>
        <v>0</v>
      </c>
      <c r="AG307" s="5">
        <f>+$AC307*BF307</f>
        <v>0</v>
      </c>
      <c r="AH307" s="5">
        <f>+$AC307*BG307</f>
        <v>0</v>
      </c>
      <c r="AI307" s="5">
        <f>+$AC307*BH307</f>
        <v>0</v>
      </c>
      <c r="AJ307" s="5">
        <f>+$AC307*BI307</f>
        <v>0</v>
      </c>
      <c r="AK307" s="5">
        <f>+$AC307*BJ307</f>
        <v>0</v>
      </c>
      <c r="AL307" s="5">
        <f>+$AC307*BK307</f>
        <v>0</v>
      </c>
      <c r="AM307" s="5">
        <f>+$AC307*BL307</f>
        <v>0</v>
      </c>
      <c r="AN307" s="5">
        <f>+$AC307*BM307</f>
        <v>0</v>
      </c>
      <c r="AO307" s="5">
        <f>+$AC307*BN307</f>
        <v>0</v>
      </c>
      <c r="AP307" s="5">
        <f>+AC307+P307+C307</f>
        <v>2500</v>
      </c>
      <c r="AQ307" s="1">
        <v>226.72094421753044</v>
      </c>
      <c r="AR307" s="1">
        <v>271.13696046409717</v>
      </c>
      <c r="AS307" s="1">
        <v>239.95819697481173</v>
      </c>
      <c r="AT307" s="1">
        <v>181.75910092182377</v>
      </c>
      <c r="AU307" s="1">
        <v>263.59397999618977</v>
      </c>
      <c r="AV307" s="1">
        <v>216.01497416079707</v>
      </c>
      <c r="AW307" s="1">
        <v>215.05794263693232</v>
      </c>
      <c r="AX307" s="1">
        <v>146.04432939169772</v>
      </c>
      <c r="AY307" s="1">
        <v>216.48152958697003</v>
      </c>
      <c r="AZ307" s="1">
        <v>188.52758369107451</v>
      </c>
      <c r="BA307" s="1">
        <v>192.49380929174251</v>
      </c>
      <c r="BB307" s="1">
        <v>188.01278124179518</v>
      </c>
      <c r="BC307" s="2">
        <v>8.9181565948742242E-2</v>
      </c>
      <c r="BD307" s="2">
        <v>0.10665277883445198</v>
      </c>
      <c r="BE307" s="2">
        <v>9.438849084854764E-2</v>
      </c>
      <c r="BF307" s="2">
        <v>7.149564986855049E-2</v>
      </c>
      <c r="BG307" s="2">
        <v>0.10368571810536763</v>
      </c>
      <c r="BH307" s="2">
        <v>8.4970330952544637E-2</v>
      </c>
      <c r="BI307" s="2">
        <v>8.4593878877262704E-2</v>
      </c>
      <c r="BJ307" s="2">
        <v>5.7447105462779965E-2</v>
      </c>
      <c r="BK307" s="2">
        <v>8.5153852345557474E-2</v>
      </c>
      <c r="BL307" s="2">
        <v>7.4158058913035174E-2</v>
      </c>
      <c r="BM307" s="2">
        <v>7.5718189192107169E-2</v>
      </c>
      <c r="BN307" s="2">
        <v>7.3955559365675619E-2</v>
      </c>
    </row>
    <row r="308" spans="1:66" x14ac:dyDescent="0.25">
      <c r="A308" s="8">
        <v>4285</v>
      </c>
      <c r="B308" s="8" t="s">
        <v>688</v>
      </c>
      <c r="C308" s="5">
        <v>0</v>
      </c>
      <c r="D308" s="5">
        <f>+$C308*BC308</f>
        <v>0</v>
      </c>
      <c r="E308" s="5">
        <f>+$C308*BD308</f>
        <v>0</v>
      </c>
      <c r="F308" s="5">
        <f>+$C308*BE308</f>
        <v>0</v>
      </c>
      <c r="G308" s="5">
        <f>+$C308*BF308</f>
        <v>0</v>
      </c>
      <c r="H308" s="5">
        <f>+$C308*BG308</f>
        <v>0</v>
      </c>
      <c r="I308" s="5">
        <f>+$C308*BH308</f>
        <v>0</v>
      </c>
      <c r="J308" s="5">
        <f>+$C308*BI308</f>
        <v>0</v>
      </c>
      <c r="K308" s="5">
        <f>+$C308*BJ308</f>
        <v>0</v>
      </c>
      <c r="L308" s="5">
        <f>+$C308*BK308</f>
        <v>0</v>
      </c>
      <c r="M308" s="5">
        <f>+$C308*BL308</f>
        <v>0</v>
      </c>
      <c r="N308" s="5">
        <f>+$C308*BM308</f>
        <v>0</v>
      </c>
      <c r="O308" s="5">
        <f>+$C308*BN308</f>
        <v>0</v>
      </c>
      <c r="P308" s="5">
        <v>0</v>
      </c>
      <c r="Q308" s="5">
        <f>+$P308*BC308</f>
        <v>0</v>
      </c>
      <c r="R308" s="5">
        <f>+$P308*BD308</f>
        <v>0</v>
      </c>
      <c r="S308" s="5">
        <f>+$P308*BE308</f>
        <v>0</v>
      </c>
      <c r="T308" s="5">
        <f>+$P308*BF308</f>
        <v>0</v>
      </c>
      <c r="U308" s="5">
        <f>+$P308*BG308</f>
        <v>0</v>
      </c>
      <c r="V308" s="5">
        <f>+$P308*BH308</f>
        <v>0</v>
      </c>
      <c r="W308" s="5">
        <f>+$P308*BI308</f>
        <v>0</v>
      </c>
      <c r="X308" s="5">
        <f>+$P308*BJ308</f>
        <v>0</v>
      </c>
      <c r="Y308" s="5">
        <f>+$P308*BK308</f>
        <v>0</v>
      </c>
      <c r="Z308" s="5">
        <f>+$P308*BL308</f>
        <v>0</v>
      </c>
      <c r="AA308" s="5">
        <f>+$P308*BM308</f>
        <v>0</v>
      </c>
      <c r="AB308" s="5">
        <f>+$P308*BN308</f>
        <v>0</v>
      </c>
      <c r="AC308" s="5">
        <v>0</v>
      </c>
      <c r="AD308" s="5">
        <f>+$AC308*BC308</f>
        <v>0</v>
      </c>
      <c r="AE308" s="5">
        <f>+$AC308*BD308</f>
        <v>0</v>
      </c>
      <c r="AF308" s="5">
        <f>+$AC308*BE308</f>
        <v>0</v>
      </c>
      <c r="AG308" s="5">
        <f>+$AC308*BF308</f>
        <v>0</v>
      </c>
      <c r="AH308" s="5">
        <f>+$AC308*BG308</f>
        <v>0</v>
      </c>
      <c r="AI308" s="5">
        <f>+$AC308*BH308</f>
        <v>0</v>
      </c>
      <c r="AJ308" s="5">
        <f>+$AC308*BI308</f>
        <v>0</v>
      </c>
      <c r="AK308" s="5">
        <f>+$AC308*BJ308</f>
        <v>0</v>
      </c>
      <c r="AL308" s="5">
        <f>+$AC308*BK308</f>
        <v>0</v>
      </c>
      <c r="AM308" s="5">
        <f>+$AC308*BL308</f>
        <v>0</v>
      </c>
      <c r="AN308" s="5">
        <f>+$AC308*BM308</f>
        <v>0</v>
      </c>
      <c r="AO308" s="5">
        <f>+$AC308*BN308</f>
        <v>0</v>
      </c>
      <c r="AP308" s="5">
        <f>+AC308+P308+C308</f>
        <v>0</v>
      </c>
      <c r="AQ308" s="1">
        <v>222.9539148718556</v>
      </c>
      <c r="AR308" s="1">
        <v>266.63194708612997</v>
      </c>
      <c r="AS308" s="1">
        <v>235.97122712136911</v>
      </c>
      <c r="AT308" s="1">
        <v>178.73912467137623</v>
      </c>
      <c r="AU308" s="1">
        <v>259.21429526341905</v>
      </c>
      <c r="AV308" s="1">
        <v>212.42582738136159</v>
      </c>
      <c r="AW308" s="1">
        <v>211.48469719315676</v>
      </c>
      <c r="AX308" s="1">
        <v>143.6177636569499</v>
      </c>
      <c r="AY308" s="1">
        <v>212.88463086389368</v>
      </c>
      <c r="AZ308" s="1">
        <v>185.39514728258794</v>
      </c>
      <c r="BA308" s="1">
        <v>189.29547298026793</v>
      </c>
      <c r="BB308" s="1">
        <v>184.88889841418904</v>
      </c>
      <c r="BC308" s="2">
        <v>8.9181565948742242E-2</v>
      </c>
      <c r="BD308" s="2">
        <v>0.10665277883445198</v>
      </c>
      <c r="BE308" s="2">
        <v>9.438849084854764E-2</v>
      </c>
      <c r="BF308" s="2">
        <v>7.149564986855049E-2</v>
      </c>
      <c r="BG308" s="2">
        <v>0.10368571810536763</v>
      </c>
      <c r="BH308" s="2">
        <v>8.4970330952544637E-2</v>
      </c>
      <c r="BI308" s="2">
        <v>8.4593878877262704E-2</v>
      </c>
      <c r="BJ308" s="2">
        <v>5.7447105462779965E-2</v>
      </c>
      <c r="BK308" s="2">
        <v>8.5153852345557474E-2</v>
      </c>
      <c r="BL308" s="2">
        <v>7.4158058913035174E-2</v>
      </c>
      <c r="BM308" s="2">
        <v>7.5718189192107169E-2</v>
      </c>
      <c r="BN308" s="2">
        <v>7.3955559365675619E-2</v>
      </c>
    </row>
    <row r="309" spans="1:66" x14ac:dyDescent="0.25">
      <c r="A309" s="8">
        <v>5391</v>
      </c>
      <c r="B309" s="8" t="s">
        <v>687</v>
      </c>
      <c r="C309" s="5">
        <v>2500</v>
      </c>
      <c r="D309" s="5">
        <f>+$C309*BC309</f>
        <v>222.9539148718556</v>
      </c>
      <c r="E309" s="5">
        <f>+$C309*BD309</f>
        <v>266.63194708612997</v>
      </c>
      <c r="F309" s="5">
        <f>+$C309*BE309</f>
        <v>235.97122712136911</v>
      </c>
      <c r="G309" s="5">
        <f>+$C309*BF309</f>
        <v>178.73912467137623</v>
      </c>
      <c r="H309" s="5">
        <f>+$C309*BG309</f>
        <v>259.21429526341905</v>
      </c>
      <c r="I309" s="5">
        <f>+$C309*BH309</f>
        <v>212.42582738136159</v>
      </c>
      <c r="J309" s="5">
        <f>+$C309*BI309</f>
        <v>211.48469719315676</v>
      </c>
      <c r="K309" s="5">
        <f>+$C309*BJ309</f>
        <v>143.6177636569499</v>
      </c>
      <c r="L309" s="5">
        <f>+$C309*BK309</f>
        <v>212.88463086389368</v>
      </c>
      <c r="M309" s="5">
        <f>+$C309*BL309</f>
        <v>185.39514728258794</v>
      </c>
      <c r="N309" s="5">
        <f>+$C309*BM309</f>
        <v>189.29547298026793</v>
      </c>
      <c r="O309" s="5">
        <f>+$C309*BN309</f>
        <v>184.88889841418904</v>
      </c>
      <c r="P309" s="5">
        <v>0</v>
      </c>
      <c r="Q309" s="5">
        <f>+$P309*BC309</f>
        <v>0</v>
      </c>
      <c r="R309" s="5">
        <f>+$P309*BD309</f>
        <v>0</v>
      </c>
      <c r="S309" s="5">
        <f>+$P309*BE309</f>
        <v>0</v>
      </c>
      <c r="T309" s="5">
        <f>+$P309*BF309</f>
        <v>0</v>
      </c>
      <c r="U309" s="5">
        <f>+$P309*BG309</f>
        <v>0</v>
      </c>
      <c r="V309" s="5">
        <f>+$P309*BH309</f>
        <v>0</v>
      </c>
      <c r="W309" s="5">
        <f>+$P309*BI309</f>
        <v>0</v>
      </c>
      <c r="X309" s="5">
        <f>+$P309*BJ309</f>
        <v>0</v>
      </c>
      <c r="Y309" s="5">
        <f>+$P309*BK309</f>
        <v>0</v>
      </c>
      <c r="Z309" s="5">
        <f>+$P309*BL309</f>
        <v>0</v>
      </c>
      <c r="AA309" s="5">
        <f>+$P309*BM309</f>
        <v>0</v>
      </c>
      <c r="AB309" s="5">
        <f>+$P309*BN309</f>
        <v>0</v>
      </c>
      <c r="AC309" s="5">
        <v>0</v>
      </c>
      <c r="AD309" s="5">
        <f>+$AC309*BC309</f>
        <v>0</v>
      </c>
      <c r="AE309" s="5">
        <f>+$AC309*BD309</f>
        <v>0</v>
      </c>
      <c r="AF309" s="5">
        <f>+$AC309*BE309</f>
        <v>0</v>
      </c>
      <c r="AG309" s="5">
        <f>+$AC309*BF309</f>
        <v>0</v>
      </c>
      <c r="AH309" s="5">
        <f>+$AC309*BG309</f>
        <v>0</v>
      </c>
      <c r="AI309" s="5">
        <f>+$AC309*BH309</f>
        <v>0</v>
      </c>
      <c r="AJ309" s="5">
        <f>+$AC309*BI309</f>
        <v>0</v>
      </c>
      <c r="AK309" s="5">
        <f>+$AC309*BJ309</f>
        <v>0</v>
      </c>
      <c r="AL309" s="5">
        <f>+$AC309*BK309</f>
        <v>0</v>
      </c>
      <c r="AM309" s="5">
        <f>+$AC309*BL309</f>
        <v>0</v>
      </c>
      <c r="AN309" s="5">
        <f>+$AC309*BM309</f>
        <v>0</v>
      </c>
      <c r="AO309" s="5">
        <f>+$AC309*BN309</f>
        <v>0</v>
      </c>
      <c r="AP309" s="5">
        <f>+AC309+P309+C309</f>
        <v>2500</v>
      </c>
      <c r="AQ309" s="1">
        <v>222.9539148718556</v>
      </c>
      <c r="AR309" s="1">
        <v>266.63194708612997</v>
      </c>
      <c r="AS309" s="1">
        <v>235.97122712136911</v>
      </c>
      <c r="AT309" s="1">
        <v>178.73912467137623</v>
      </c>
      <c r="AU309" s="1">
        <v>259.21429526341905</v>
      </c>
      <c r="AV309" s="1">
        <v>212.42582738136159</v>
      </c>
      <c r="AW309" s="1">
        <v>211.48469719315676</v>
      </c>
      <c r="AX309" s="1">
        <v>143.6177636569499</v>
      </c>
      <c r="AY309" s="1">
        <v>212.88463086389368</v>
      </c>
      <c r="AZ309" s="1">
        <v>185.39514728258794</v>
      </c>
      <c r="BA309" s="1">
        <v>189.29547298026793</v>
      </c>
      <c r="BB309" s="1">
        <v>184.88889841418904</v>
      </c>
      <c r="BC309" s="2">
        <v>8.9181565948742242E-2</v>
      </c>
      <c r="BD309" s="2">
        <v>0.10665277883445198</v>
      </c>
      <c r="BE309" s="2">
        <v>9.438849084854764E-2</v>
      </c>
      <c r="BF309" s="2">
        <v>7.149564986855049E-2</v>
      </c>
      <c r="BG309" s="2">
        <v>0.10368571810536763</v>
      </c>
      <c r="BH309" s="2">
        <v>8.4970330952544637E-2</v>
      </c>
      <c r="BI309" s="2">
        <v>8.4593878877262704E-2</v>
      </c>
      <c r="BJ309" s="2">
        <v>5.7447105462779965E-2</v>
      </c>
      <c r="BK309" s="2">
        <v>8.5153852345557474E-2</v>
      </c>
      <c r="BL309" s="2">
        <v>7.4158058913035174E-2</v>
      </c>
      <c r="BM309" s="2">
        <v>7.5718189192107169E-2</v>
      </c>
      <c r="BN309" s="2">
        <v>7.3955559365675619E-2</v>
      </c>
    </row>
    <row r="310" spans="1:66" x14ac:dyDescent="0.25">
      <c r="A310" s="8">
        <v>5431</v>
      </c>
      <c r="B310" s="8" t="s">
        <v>686</v>
      </c>
      <c r="C310" s="5">
        <v>0</v>
      </c>
      <c r="D310" s="5">
        <f>+$C310*BC310</f>
        <v>0</v>
      </c>
      <c r="E310" s="5">
        <f>+$C310*BD310</f>
        <v>0</v>
      </c>
      <c r="F310" s="5">
        <f>+$C310*BE310</f>
        <v>0</v>
      </c>
      <c r="G310" s="5">
        <f>+$C310*BF310</f>
        <v>0</v>
      </c>
      <c r="H310" s="5">
        <f>+$C310*BG310</f>
        <v>0</v>
      </c>
      <c r="I310" s="5">
        <f>+$C310*BH310</f>
        <v>0</v>
      </c>
      <c r="J310" s="5">
        <f>+$C310*BI310</f>
        <v>0</v>
      </c>
      <c r="K310" s="5">
        <f>+$C310*BJ310</f>
        <v>0</v>
      </c>
      <c r="L310" s="5">
        <f>+$C310*BK310</f>
        <v>0</v>
      </c>
      <c r="M310" s="5">
        <f>+$C310*BL310</f>
        <v>0</v>
      </c>
      <c r="N310" s="5">
        <f>+$C310*BM310</f>
        <v>0</v>
      </c>
      <c r="O310" s="5">
        <f>+$C310*BN310</f>
        <v>0</v>
      </c>
      <c r="P310" s="5">
        <v>0</v>
      </c>
      <c r="Q310" s="5">
        <f>+$P310*BC310</f>
        <v>0</v>
      </c>
      <c r="R310" s="5">
        <f>+$P310*BD310</f>
        <v>0</v>
      </c>
      <c r="S310" s="5">
        <f>+$P310*BE310</f>
        <v>0</v>
      </c>
      <c r="T310" s="5">
        <f>+$P310*BF310</f>
        <v>0</v>
      </c>
      <c r="U310" s="5">
        <f>+$P310*BG310</f>
        <v>0</v>
      </c>
      <c r="V310" s="5">
        <f>+$P310*BH310</f>
        <v>0</v>
      </c>
      <c r="W310" s="5">
        <f>+$P310*BI310</f>
        <v>0</v>
      </c>
      <c r="X310" s="5">
        <f>+$P310*BJ310</f>
        <v>0</v>
      </c>
      <c r="Y310" s="5">
        <f>+$P310*BK310</f>
        <v>0</v>
      </c>
      <c r="Z310" s="5">
        <f>+$P310*BL310</f>
        <v>0</v>
      </c>
      <c r="AA310" s="5">
        <f>+$P310*BM310</f>
        <v>0</v>
      </c>
      <c r="AB310" s="5">
        <f>+$P310*BN310</f>
        <v>0</v>
      </c>
      <c r="AC310" s="5">
        <v>6000</v>
      </c>
      <c r="AD310" s="5">
        <f>+$AC310*BC310</f>
        <v>535.08939569245342</v>
      </c>
      <c r="AE310" s="5">
        <f>+$AC310*BD310</f>
        <v>639.9166730067119</v>
      </c>
      <c r="AF310" s="5">
        <f>+$AC310*BE310</f>
        <v>566.3309450912858</v>
      </c>
      <c r="AG310" s="5">
        <f>+$AC310*BF310</f>
        <v>428.97389921130292</v>
      </c>
      <c r="AH310" s="5">
        <f>+$AC310*BG310</f>
        <v>622.11430863220573</v>
      </c>
      <c r="AI310" s="5">
        <f>+$AC310*BH310</f>
        <v>509.82198571526783</v>
      </c>
      <c r="AJ310" s="5">
        <f>+$AC310*BI310</f>
        <v>507.56327326357621</v>
      </c>
      <c r="AK310" s="5">
        <f>+$AC310*BJ310</f>
        <v>344.68263277667978</v>
      </c>
      <c r="AL310" s="5">
        <f>+$AC310*BK310</f>
        <v>510.92311407334483</v>
      </c>
      <c r="AM310" s="5">
        <f>+$AC310*BL310</f>
        <v>444.94835347821106</v>
      </c>
      <c r="AN310" s="5">
        <f>+$AC310*BM310</f>
        <v>454.30913515264302</v>
      </c>
      <c r="AO310" s="5">
        <f>+$AC310*BN310</f>
        <v>443.73335619405373</v>
      </c>
      <c r="AP310" s="5">
        <f>+AC310+P310+C310</f>
        <v>6000</v>
      </c>
      <c r="AQ310" s="1">
        <v>222.9539148718556</v>
      </c>
      <c r="AR310" s="1">
        <v>266.63194708612997</v>
      </c>
      <c r="AS310" s="1">
        <v>235.97122712136911</v>
      </c>
      <c r="AT310" s="1">
        <v>178.73912467137623</v>
      </c>
      <c r="AU310" s="1">
        <v>259.21429526341905</v>
      </c>
      <c r="AV310" s="1">
        <v>212.42582738136159</v>
      </c>
      <c r="AW310" s="1">
        <v>211.48469719315676</v>
      </c>
      <c r="AX310" s="1">
        <v>143.6177636569499</v>
      </c>
      <c r="AY310" s="1">
        <v>212.88463086389368</v>
      </c>
      <c r="AZ310" s="1">
        <v>185.39514728258794</v>
      </c>
      <c r="BA310" s="1">
        <v>189.29547298026793</v>
      </c>
      <c r="BB310" s="1">
        <v>184.88889841418904</v>
      </c>
      <c r="BC310" s="2">
        <v>8.9181565948742242E-2</v>
      </c>
      <c r="BD310" s="2">
        <v>0.10665277883445198</v>
      </c>
      <c r="BE310" s="2">
        <v>9.438849084854764E-2</v>
      </c>
      <c r="BF310" s="2">
        <v>7.149564986855049E-2</v>
      </c>
      <c r="BG310" s="2">
        <v>0.10368571810536763</v>
      </c>
      <c r="BH310" s="2">
        <v>8.4970330952544637E-2</v>
      </c>
      <c r="BI310" s="2">
        <v>8.4593878877262704E-2</v>
      </c>
      <c r="BJ310" s="2">
        <v>5.7447105462779965E-2</v>
      </c>
      <c r="BK310" s="2">
        <v>8.5153852345557474E-2</v>
      </c>
      <c r="BL310" s="2">
        <v>7.4158058913035174E-2</v>
      </c>
      <c r="BM310" s="2">
        <v>7.5718189192107169E-2</v>
      </c>
      <c r="BN310" s="2">
        <v>7.3955559365675619E-2</v>
      </c>
    </row>
    <row r="311" spans="1:66" x14ac:dyDescent="0.25">
      <c r="A311" s="8">
        <v>6617</v>
      </c>
      <c r="B311" s="8" t="s">
        <v>685</v>
      </c>
      <c r="C311" s="5">
        <v>0</v>
      </c>
      <c r="D311" s="5">
        <f>+$C311*BC311</f>
        <v>0</v>
      </c>
      <c r="E311" s="5">
        <f>+$C311*BD311</f>
        <v>0</v>
      </c>
      <c r="F311" s="5">
        <f>+$C311*BE311</f>
        <v>0</v>
      </c>
      <c r="G311" s="5">
        <f>+$C311*BF311</f>
        <v>0</v>
      </c>
      <c r="H311" s="5">
        <f>+$C311*BG311</f>
        <v>0</v>
      </c>
      <c r="I311" s="5">
        <f>+$C311*BH311</f>
        <v>0</v>
      </c>
      <c r="J311" s="5">
        <f>+$C311*BI311</f>
        <v>0</v>
      </c>
      <c r="K311" s="5">
        <f>+$C311*BJ311</f>
        <v>0</v>
      </c>
      <c r="L311" s="5">
        <f>+$C311*BK311</f>
        <v>0</v>
      </c>
      <c r="M311" s="5">
        <f>+$C311*BL311</f>
        <v>0</v>
      </c>
      <c r="N311" s="5">
        <f>+$C311*BM311</f>
        <v>0</v>
      </c>
      <c r="O311" s="5">
        <f>+$C311*BN311</f>
        <v>0</v>
      </c>
      <c r="P311" s="5">
        <v>0</v>
      </c>
      <c r="Q311" s="5">
        <f>+$P311*BC311</f>
        <v>0</v>
      </c>
      <c r="R311" s="5">
        <f>+$P311*BD311</f>
        <v>0</v>
      </c>
      <c r="S311" s="5">
        <f>+$P311*BE311</f>
        <v>0</v>
      </c>
      <c r="T311" s="5">
        <f>+$P311*BF311</f>
        <v>0</v>
      </c>
      <c r="U311" s="5">
        <f>+$P311*BG311</f>
        <v>0</v>
      </c>
      <c r="V311" s="5">
        <f>+$P311*BH311</f>
        <v>0</v>
      </c>
      <c r="W311" s="5">
        <f>+$P311*BI311</f>
        <v>0</v>
      </c>
      <c r="X311" s="5">
        <f>+$P311*BJ311</f>
        <v>0</v>
      </c>
      <c r="Y311" s="5">
        <f>+$P311*BK311</f>
        <v>0</v>
      </c>
      <c r="Z311" s="5">
        <f>+$P311*BL311</f>
        <v>0</v>
      </c>
      <c r="AA311" s="5">
        <f>+$P311*BM311</f>
        <v>0</v>
      </c>
      <c r="AB311" s="5">
        <f>+$P311*BN311</f>
        <v>0</v>
      </c>
      <c r="AC311" s="5">
        <v>2500</v>
      </c>
      <c r="AD311" s="5">
        <f>+$AC311*BC311</f>
        <v>222.9539148718556</v>
      </c>
      <c r="AE311" s="5">
        <f>+$AC311*BD311</f>
        <v>266.63194708612997</v>
      </c>
      <c r="AF311" s="5">
        <f>+$AC311*BE311</f>
        <v>235.97122712136911</v>
      </c>
      <c r="AG311" s="5">
        <f>+$AC311*BF311</f>
        <v>178.73912467137623</v>
      </c>
      <c r="AH311" s="5">
        <f>+$AC311*BG311</f>
        <v>259.21429526341905</v>
      </c>
      <c r="AI311" s="5">
        <f>+$AC311*BH311</f>
        <v>212.42582738136159</v>
      </c>
      <c r="AJ311" s="5">
        <f>+$AC311*BI311</f>
        <v>211.48469719315676</v>
      </c>
      <c r="AK311" s="5">
        <f>+$AC311*BJ311</f>
        <v>143.6177636569499</v>
      </c>
      <c r="AL311" s="5">
        <f>+$AC311*BK311</f>
        <v>212.88463086389368</v>
      </c>
      <c r="AM311" s="5">
        <f>+$AC311*BL311</f>
        <v>185.39514728258794</v>
      </c>
      <c r="AN311" s="5">
        <f>+$AC311*BM311</f>
        <v>189.29547298026793</v>
      </c>
      <c r="AO311" s="5">
        <f>+$AC311*BN311</f>
        <v>184.88889841418904</v>
      </c>
      <c r="AP311" s="5">
        <f>+AC311+P311+C311</f>
        <v>2500</v>
      </c>
      <c r="AQ311" s="1">
        <v>225.89690654816411</v>
      </c>
      <c r="AR311" s="1">
        <v>270.15148878766689</v>
      </c>
      <c r="AS311" s="1">
        <v>239.08604731937118</v>
      </c>
      <c r="AT311" s="1">
        <v>181.0984811170384</v>
      </c>
      <c r="AU311" s="1">
        <v>262.63592396089621</v>
      </c>
      <c r="AV311" s="1">
        <v>215.22984830279557</v>
      </c>
      <c r="AW311" s="1">
        <v>214.27629519610642</v>
      </c>
      <c r="AX311" s="1">
        <v>145.51351813722167</v>
      </c>
      <c r="AY311" s="1">
        <v>215.69470799129709</v>
      </c>
      <c r="AZ311" s="1">
        <v>187.84236322671811</v>
      </c>
      <c r="BA311" s="1">
        <v>191.79417322360746</v>
      </c>
      <c r="BB311" s="1">
        <v>187.32943187325634</v>
      </c>
      <c r="BC311" s="2">
        <v>8.9181565948742242E-2</v>
      </c>
      <c r="BD311" s="2">
        <v>0.10665277883445198</v>
      </c>
      <c r="BE311" s="2">
        <v>9.438849084854764E-2</v>
      </c>
      <c r="BF311" s="2">
        <v>7.149564986855049E-2</v>
      </c>
      <c r="BG311" s="2">
        <v>0.10368571810536763</v>
      </c>
      <c r="BH311" s="2">
        <v>8.4970330952544637E-2</v>
      </c>
      <c r="BI311" s="2">
        <v>8.4593878877262704E-2</v>
      </c>
      <c r="BJ311" s="2">
        <v>5.7447105462779965E-2</v>
      </c>
      <c r="BK311" s="2">
        <v>8.5153852345557474E-2</v>
      </c>
      <c r="BL311" s="2">
        <v>7.4158058913035174E-2</v>
      </c>
      <c r="BM311" s="2">
        <v>7.5718189192107169E-2</v>
      </c>
      <c r="BN311" s="2">
        <v>7.3955559365675619E-2</v>
      </c>
    </row>
    <row r="312" spans="1:66" x14ac:dyDescent="0.25">
      <c r="A312" s="8">
        <v>6645</v>
      </c>
      <c r="B312" s="8" t="s">
        <v>684</v>
      </c>
      <c r="C312" s="5">
        <v>2500</v>
      </c>
      <c r="D312" s="5">
        <f>+$C312*BC312</f>
        <v>222.9539148718556</v>
      </c>
      <c r="E312" s="5">
        <f>+$C312*BD312</f>
        <v>266.63194708612997</v>
      </c>
      <c r="F312" s="5">
        <f>+$C312*BE312</f>
        <v>235.97122712136911</v>
      </c>
      <c r="G312" s="5">
        <f>+$C312*BF312</f>
        <v>178.73912467137623</v>
      </c>
      <c r="H312" s="5">
        <f>+$C312*BG312</f>
        <v>259.21429526341905</v>
      </c>
      <c r="I312" s="5">
        <f>+$C312*BH312</f>
        <v>212.42582738136159</v>
      </c>
      <c r="J312" s="5">
        <f>+$C312*BI312</f>
        <v>211.48469719315676</v>
      </c>
      <c r="K312" s="5">
        <f>+$C312*BJ312</f>
        <v>143.6177636569499</v>
      </c>
      <c r="L312" s="5">
        <f>+$C312*BK312</f>
        <v>212.88463086389368</v>
      </c>
      <c r="M312" s="5">
        <f>+$C312*BL312</f>
        <v>185.39514728258794</v>
      </c>
      <c r="N312" s="5">
        <f>+$C312*BM312</f>
        <v>189.29547298026793</v>
      </c>
      <c r="O312" s="5">
        <f>+$C312*BN312</f>
        <v>184.88889841418904</v>
      </c>
      <c r="P312" s="5">
        <v>0</v>
      </c>
      <c r="Q312" s="5">
        <f>+$P312*BC312</f>
        <v>0</v>
      </c>
      <c r="R312" s="5">
        <f>+$P312*BD312</f>
        <v>0</v>
      </c>
      <c r="S312" s="5">
        <f>+$P312*BE312</f>
        <v>0</v>
      </c>
      <c r="T312" s="5">
        <f>+$P312*BF312</f>
        <v>0</v>
      </c>
      <c r="U312" s="5">
        <f>+$P312*BG312</f>
        <v>0</v>
      </c>
      <c r="V312" s="5">
        <f>+$P312*BH312</f>
        <v>0</v>
      </c>
      <c r="W312" s="5">
        <f>+$P312*BI312</f>
        <v>0</v>
      </c>
      <c r="X312" s="5">
        <f>+$P312*BJ312</f>
        <v>0</v>
      </c>
      <c r="Y312" s="5">
        <f>+$P312*BK312</f>
        <v>0</v>
      </c>
      <c r="Z312" s="5">
        <f>+$P312*BL312</f>
        <v>0</v>
      </c>
      <c r="AA312" s="5">
        <f>+$P312*BM312</f>
        <v>0</v>
      </c>
      <c r="AB312" s="5">
        <f>+$P312*BN312</f>
        <v>0</v>
      </c>
      <c r="AC312" s="5">
        <v>0</v>
      </c>
      <c r="AD312" s="5">
        <f>+$AC312*BC312</f>
        <v>0</v>
      </c>
      <c r="AE312" s="5">
        <f>+$AC312*BD312</f>
        <v>0</v>
      </c>
      <c r="AF312" s="5">
        <f>+$AC312*BE312</f>
        <v>0</v>
      </c>
      <c r="AG312" s="5">
        <f>+$AC312*BF312</f>
        <v>0</v>
      </c>
      <c r="AH312" s="5">
        <f>+$AC312*BG312</f>
        <v>0</v>
      </c>
      <c r="AI312" s="5">
        <f>+$AC312*BH312</f>
        <v>0</v>
      </c>
      <c r="AJ312" s="5">
        <f>+$AC312*BI312</f>
        <v>0</v>
      </c>
      <c r="AK312" s="5">
        <f>+$AC312*BJ312</f>
        <v>0</v>
      </c>
      <c r="AL312" s="5">
        <f>+$AC312*BK312</f>
        <v>0</v>
      </c>
      <c r="AM312" s="5">
        <f>+$AC312*BL312</f>
        <v>0</v>
      </c>
      <c r="AN312" s="5">
        <f>+$AC312*BM312</f>
        <v>0</v>
      </c>
      <c r="AO312" s="5">
        <f>+$AC312*BN312</f>
        <v>0</v>
      </c>
      <c r="AP312" s="5">
        <f>+AC312+P312+C312</f>
        <v>2500</v>
      </c>
      <c r="AQ312" s="1">
        <v>222.9539148718556</v>
      </c>
      <c r="AR312" s="1">
        <v>266.63194708612997</v>
      </c>
      <c r="AS312" s="1">
        <v>235.97122712136911</v>
      </c>
      <c r="AT312" s="1">
        <v>178.73912467137623</v>
      </c>
      <c r="AU312" s="1">
        <v>259.21429526341905</v>
      </c>
      <c r="AV312" s="1">
        <v>212.42582738136159</v>
      </c>
      <c r="AW312" s="1">
        <v>211.48469719315676</v>
      </c>
      <c r="AX312" s="1">
        <v>143.6177636569499</v>
      </c>
      <c r="AY312" s="1">
        <v>212.88463086389368</v>
      </c>
      <c r="AZ312" s="1">
        <v>185.39514728258794</v>
      </c>
      <c r="BA312" s="1">
        <v>189.29547298026793</v>
      </c>
      <c r="BB312" s="1">
        <v>184.88889841418904</v>
      </c>
      <c r="BC312" s="2">
        <v>8.9181565948742242E-2</v>
      </c>
      <c r="BD312" s="2">
        <v>0.10665277883445198</v>
      </c>
      <c r="BE312" s="2">
        <v>9.438849084854764E-2</v>
      </c>
      <c r="BF312" s="2">
        <v>7.149564986855049E-2</v>
      </c>
      <c r="BG312" s="2">
        <v>0.10368571810536763</v>
      </c>
      <c r="BH312" s="2">
        <v>8.4970330952544637E-2</v>
      </c>
      <c r="BI312" s="2">
        <v>8.4593878877262704E-2</v>
      </c>
      <c r="BJ312" s="2">
        <v>5.7447105462779965E-2</v>
      </c>
      <c r="BK312" s="2">
        <v>8.5153852345557474E-2</v>
      </c>
      <c r="BL312" s="2">
        <v>7.4158058913035174E-2</v>
      </c>
      <c r="BM312" s="2">
        <v>7.5718189192107169E-2</v>
      </c>
      <c r="BN312" s="2">
        <v>7.3955559365675619E-2</v>
      </c>
    </row>
    <row r="313" spans="1:66" x14ac:dyDescent="0.25">
      <c r="A313" s="8">
        <v>6650</v>
      </c>
      <c r="B313" s="8" t="s">
        <v>683</v>
      </c>
      <c r="C313" s="5">
        <v>0</v>
      </c>
      <c r="D313" s="5">
        <f>+$C313*BC313</f>
        <v>0</v>
      </c>
      <c r="E313" s="5">
        <f>+$C313*BD313</f>
        <v>0</v>
      </c>
      <c r="F313" s="5">
        <f>+$C313*BE313</f>
        <v>0</v>
      </c>
      <c r="G313" s="5">
        <f>+$C313*BF313</f>
        <v>0</v>
      </c>
      <c r="H313" s="5">
        <f>+$C313*BG313</f>
        <v>0</v>
      </c>
      <c r="I313" s="5">
        <f>+$C313*BH313</f>
        <v>0</v>
      </c>
      <c r="J313" s="5">
        <f>+$C313*BI313</f>
        <v>0</v>
      </c>
      <c r="K313" s="5">
        <f>+$C313*BJ313</f>
        <v>0</v>
      </c>
      <c r="L313" s="5">
        <f>+$C313*BK313</f>
        <v>0</v>
      </c>
      <c r="M313" s="5">
        <f>+$C313*BL313</f>
        <v>0</v>
      </c>
      <c r="N313" s="5">
        <f>+$C313*BM313</f>
        <v>0</v>
      </c>
      <c r="O313" s="5">
        <f>+$C313*BN313</f>
        <v>0</v>
      </c>
      <c r="P313" s="5">
        <v>0</v>
      </c>
      <c r="Q313" s="5">
        <f>+$P313*BC313</f>
        <v>0</v>
      </c>
      <c r="R313" s="5">
        <f>+$P313*BD313</f>
        <v>0</v>
      </c>
      <c r="S313" s="5">
        <f>+$P313*BE313</f>
        <v>0</v>
      </c>
      <c r="T313" s="5">
        <f>+$P313*BF313</f>
        <v>0</v>
      </c>
      <c r="U313" s="5">
        <f>+$P313*BG313</f>
        <v>0</v>
      </c>
      <c r="V313" s="5">
        <f>+$P313*BH313</f>
        <v>0</v>
      </c>
      <c r="W313" s="5">
        <f>+$P313*BI313</f>
        <v>0</v>
      </c>
      <c r="X313" s="5">
        <f>+$P313*BJ313</f>
        <v>0</v>
      </c>
      <c r="Y313" s="5">
        <f>+$P313*BK313</f>
        <v>0</v>
      </c>
      <c r="Z313" s="5">
        <f>+$P313*BL313</f>
        <v>0</v>
      </c>
      <c r="AA313" s="5">
        <f>+$P313*BM313</f>
        <v>0</v>
      </c>
      <c r="AB313" s="5">
        <f>+$P313*BN313</f>
        <v>0</v>
      </c>
      <c r="AC313" s="5">
        <v>2500</v>
      </c>
      <c r="AD313" s="5">
        <f>+$AC313*BC313</f>
        <v>222.9539148718556</v>
      </c>
      <c r="AE313" s="5">
        <f>+$AC313*BD313</f>
        <v>266.63194708612997</v>
      </c>
      <c r="AF313" s="5">
        <f>+$AC313*BE313</f>
        <v>235.97122712136911</v>
      </c>
      <c r="AG313" s="5">
        <f>+$AC313*BF313</f>
        <v>178.73912467137623</v>
      </c>
      <c r="AH313" s="5">
        <f>+$AC313*BG313</f>
        <v>259.21429526341905</v>
      </c>
      <c r="AI313" s="5">
        <f>+$AC313*BH313</f>
        <v>212.42582738136159</v>
      </c>
      <c r="AJ313" s="5">
        <f>+$AC313*BI313</f>
        <v>211.48469719315676</v>
      </c>
      <c r="AK313" s="5">
        <f>+$AC313*BJ313</f>
        <v>143.6177636569499</v>
      </c>
      <c r="AL313" s="5">
        <f>+$AC313*BK313</f>
        <v>212.88463086389368</v>
      </c>
      <c r="AM313" s="5">
        <f>+$AC313*BL313</f>
        <v>185.39514728258794</v>
      </c>
      <c r="AN313" s="5">
        <f>+$AC313*BM313</f>
        <v>189.29547298026793</v>
      </c>
      <c r="AO313" s="5">
        <f>+$AC313*BN313</f>
        <v>184.88889841418904</v>
      </c>
      <c r="AP313" s="5">
        <f>+AC313+P313+C313</f>
        <v>2500</v>
      </c>
      <c r="AQ313" s="1">
        <v>222.9539148718556</v>
      </c>
      <c r="AR313" s="1">
        <v>266.63194708612997</v>
      </c>
      <c r="AS313" s="1">
        <v>235.97122712136911</v>
      </c>
      <c r="AT313" s="1">
        <v>178.73912467137623</v>
      </c>
      <c r="AU313" s="1">
        <v>259.21429526341905</v>
      </c>
      <c r="AV313" s="1">
        <v>212.42582738136159</v>
      </c>
      <c r="AW313" s="1">
        <v>211.48469719315676</v>
      </c>
      <c r="AX313" s="1">
        <v>143.6177636569499</v>
      </c>
      <c r="AY313" s="1">
        <v>212.88463086389368</v>
      </c>
      <c r="AZ313" s="1">
        <v>185.39514728258794</v>
      </c>
      <c r="BA313" s="1">
        <v>189.29547298026793</v>
      </c>
      <c r="BB313" s="1">
        <v>184.88889841418904</v>
      </c>
      <c r="BC313" s="2">
        <v>8.9181565948742242E-2</v>
      </c>
      <c r="BD313" s="2">
        <v>0.10665277883445198</v>
      </c>
      <c r="BE313" s="2">
        <v>9.438849084854764E-2</v>
      </c>
      <c r="BF313" s="2">
        <v>7.149564986855049E-2</v>
      </c>
      <c r="BG313" s="2">
        <v>0.10368571810536763</v>
      </c>
      <c r="BH313" s="2">
        <v>8.4970330952544637E-2</v>
      </c>
      <c r="BI313" s="2">
        <v>8.4593878877262704E-2</v>
      </c>
      <c r="BJ313" s="2">
        <v>5.7447105462779965E-2</v>
      </c>
      <c r="BK313" s="2">
        <v>8.5153852345557474E-2</v>
      </c>
      <c r="BL313" s="2">
        <v>7.4158058913035174E-2</v>
      </c>
      <c r="BM313" s="2">
        <v>7.5718189192107169E-2</v>
      </c>
      <c r="BN313" s="2">
        <v>7.3955559365675619E-2</v>
      </c>
    </row>
    <row r="314" spans="1:66" x14ac:dyDescent="0.25">
      <c r="A314" s="8">
        <v>6690</v>
      </c>
      <c r="B314" s="8" t="s">
        <v>682</v>
      </c>
      <c r="C314" s="5">
        <v>0</v>
      </c>
      <c r="D314" s="5">
        <f>+$C314*BC314</f>
        <v>0</v>
      </c>
      <c r="E314" s="5">
        <f>+$C314*BD314</f>
        <v>0</v>
      </c>
      <c r="F314" s="5">
        <f>+$C314*BE314</f>
        <v>0</v>
      </c>
      <c r="G314" s="5">
        <f>+$C314*BF314</f>
        <v>0</v>
      </c>
      <c r="H314" s="5">
        <f>+$C314*BG314</f>
        <v>0</v>
      </c>
      <c r="I314" s="5">
        <f>+$C314*BH314</f>
        <v>0</v>
      </c>
      <c r="J314" s="5">
        <f>+$C314*BI314</f>
        <v>0</v>
      </c>
      <c r="K314" s="5">
        <f>+$C314*BJ314</f>
        <v>0</v>
      </c>
      <c r="L314" s="5">
        <f>+$C314*BK314</f>
        <v>0</v>
      </c>
      <c r="M314" s="5">
        <f>+$C314*BL314</f>
        <v>0</v>
      </c>
      <c r="N314" s="5">
        <f>+$C314*BM314</f>
        <v>0</v>
      </c>
      <c r="O314" s="5">
        <f>+$C314*BN314</f>
        <v>0</v>
      </c>
      <c r="P314" s="5">
        <v>0</v>
      </c>
      <c r="Q314" s="5">
        <f>+$P314*BC314</f>
        <v>0</v>
      </c>
      <c r="R314" s="5">
        <f>+$P314*BD314</f>
        <v>0</v>
      </c>
      <c r="S314" s="5">
        <f>+$P314*BE314</f>
        <v>0</v>
      </c>
      <c r="T314" s="5">
        <f>+$P314*BF314</f>
        <v>0</v>
      </c>
      <c r="U314" s="5">
        <f>+$P314*BG314</f>
        <v>0</v>
      </c>
      <c r="V314" s="5">
        <f>+$P314*BH314</f>
        <v>0</v>
      </c>
      <c r="W314" s="5">
        <f>+$P314*BI314</f>
        <v>0</v>
      </c>
      <c r="X314" s="5">
        <f>+$P314*BJ314</f>
        <v>0</v>
      </c>
      <c r="Y314" s="5">
        <f>+$P314*BK314</f>
        <v>0</v>
      </c>
      <c r="Z314" s="5">
        <f>+$P314*BL314</f>
        <v>0</v>
      </c>
      <c r="AA314" s="5">
        <f>+$P314*BM314</f>
        <v>0</v>
      </c>
      <c r="AB314" s="5">
        <f>+$P314*BN314</f>
        <v>0</v>
      </c>
      <c r="AC314" s="5">
        <v>2500</v>
      </c>
      <c r="AD314" s="5">
        <f>+$AC314*BC314</f>
        <v>222.9539148718556</v>
      </c>
      <c r="AE314" s="5">
        <f>+$AC314*BD314</f>
        <v>266.63194708612997</v>
      </c>
      <c r="AF314" s="5">
        <f>+$AC314*BE314</f>
        <v>235.97122712136911</v>
      </c>
      <c r="AG314" s="5">
        <f>+$AC314*BF314</f>
        <v>178.73912467137623</v>
      </c>
      <c r="AH314" s="5">
        <f>+$AC314*BG314</f>
        <v>259.21429526341905</v>
      </c>
      <c r="AI314" s="5">
        <f>+$AC314*BH314</f>
        <v>212.42582738136159</v>
      </c>
      <c r="AJ314" s="5">
        <f>+$AC314*BI314</f>
        <v>211.48469719315676</v>
      </c>
      <c r="AK314" s="5">
        <f>+$AC314*BJ314</f>
        <v>143.6177636569499</v>
      </c>
      <c r="AL314" s="5">
        <f>+$AC314*BK314</f>
        <v>212.88463086389368</v>
      </c>
      <c r="AM314" s="5">
        <f>+$AC314*BL314</f>
        <v>185.39514728258794</v>
      </c>
      <c r="AN314" s="5">
        <f>+$AC314*BM314</f>
        <v>189.29547298026793</v>
      </c>
      <c r="AO314" s="5">
        <f>+$AC314*BN314</f>
        <v>184.88889841418904</v>
      </c>
      <c r="AP314" s="5">
        <f>+AC314+P314+C314</f>
        <v>2500</v>
      </c>
      <c r="AQ314" s="1">
        <v>225.1827405680466</v>
      </c>
      <c r="AR314" s="1">
        <v>269.29741333476062</v>
      </c>
      <c r="AS314" s="1">
        <v>238.33018428465601</v>
      </c>
      <c r="AT314" s="1">
        <v>180.52594395289105</v>
      </c>
      <c r="AU314" s="1">
        <v>261.80560873030845</v>
      </c>
      <c r="AV314" s="1">
        <v>214.5494058925276</v>
      </c>
      <c r="AW314" s="1">
        <v>213.59886741405734</v>
      </c>
      <c r="AX314" s="1">
        <v>145.05348171667572</v>
      </c>
      <c r="AY314" s="1">
        <v>215.01279594171388</v>
      </c>
      <c r="AZ314" s="1">
        <v>187.24850549094253</v>
      </c>
      <c r="BA314" s="1">
        <v>191.18782196455709</v>
      </c>
      <c r="BB314" s="1">
        <v>186.73719575385601</v>
      </c>
      <c r="BC314" s="2">
        <v>8.9181565948742242E-2</v>
      </c>
      <c r="BD314" s="2">
        <v>0.10665277883445198</v>
      </c>
      <c r="BE314" s="2">
        <v>9.438849084854764E-2</v>
      </c>
      <c r="BF314" s="2">
        <v>7.149564986855049E-2</v>
      </c>
      <c r="BG314" s="2">
        <v>0.10368571810536763</v>
      </c>
      <c r="BH314" s="2">
        <v>8.4970330952544637E-2</v>
      </c>
      <c r="BI314" s="2">
        <v>8.4593878877262704E-2</v>
      </c>
      <c r="BJ314" s="2">
        <v>5.7447105462779965E-2</v>
      </c>
      <c r="BK314" s="2">
        <v>8.5153852345557474E-2</v>
      </c>
      <c r="BL314" s="2">
        <v>7.4158058913035174E-2</v>
      </c>
      <c r="BM314" s="2">
        <v>7.5718189192107169E-2</v>
      </c>
      <c r="BN314" s="2">
        <v>7.3955559365675619E-2</v>
      </c>
    </row>
    <row r="315" spans="1:66" x14ac:dyDescent="0.25">
      <c r="A315" s="8">
        <v>6699</v>
      </c>
      <c r="B315" s="8" t="s">
        <v>681</v>
      </c>
      <c r="C315" s="5">
        <v>0</v>
      </c>
      <c r="D315" s="5">
        <f>+$C315*BC315</f>
        <v>0</v>
      </c>
      <c r="E315" s="5">
        <f>+$C315*BD315</f>
        <v>0</v>
      </c>
      <c r="F315" s="5">
        <f>+$C315*BE315</f>
        <v>0</v>
      </c>
      <c r="G315" s="5">
        <f>+$C315*BF315</f>
        <v>0</v>
      </c>
      <c r="H315" s="5">
        <f>+$C315*BG315</f>
        <v>0</v>
      </c>
      <c r="I315" s="5">
        <f>+$C315*BH315</f>
        <v>0</v>
      </c>
      <c r="J315" s="5">
        <f>+$C315*BI315</f>
        <v>0</v>
      </c>
      <c r="K315" s="5">
        <f>+$C315*BJ315</f>
        <v>0</v>
      </c>
      <c r="L315" s="5">
        <f>+$C315*BK315</f>
        <v>0</v>
      </c>
      <c r="M315" s="5">
        <f>+$C315*BL315</f>
        <v>0</v>
      </c>
      <c r="N315" s="5">
        <f>+$C315*BM315</f>
        <v>0</v>
      </c>
      <c r="O315" s="5">
        <f>+$C315*BN315</f>
        <v>0</v>
      </c>
      <c r="P315" s="5">
        <v>0</v>
      </c>
      <c r="Q315" s="5">
        <f>+$P315*BC315</f>
        <v>0</v>
      </c>
      <c r="R315" s="5">
        <f>+$P315*BD315</f>
        <v>0</v>
      </c>
      <c r="S315" s="5">
        <f>+$P315*BE315</f>
        <v>0</v>
      </c>
      <c r="T315" s="5">
        <f>+$P315*BF315</f>
        <v>0</v>
      </c>
      <c r="U315" s="5">
        <f>+$P315*BG315</f>
        <v>0</v>
      </c>
      <c r="V315" s="5">
        <f>+$P315*BH315</f>
        <v>0</v>
      </c>
      <c r="W315" s="5">
        <f>+$P315*BI315</f>
        <v>0</v>
      </c>
      <c r="X315" s="5">
        <f>+$P315*BJ315</f>
        <v>0</v>
      </c>
      <c r="Y315" s="5">
        <f>+$P315*BK315</f>
        <v>0</v>
      </c>
      <c r="Z315" s="5">
        <f>+$P315*BL315</f>
        <v>0</v>
      </c>
      <c r="AA315" s="5">
        <f>+$P315*BM315</f>
        <v>0</v>
      </c>
      <c r="AB315" s="5">
        <f>+$P315*BN315</f>
        <v>0</v>
      </c>
      <c r="AC315" s="5">
        <v>2800</v>
      </c>
      <c r="AD315" s="5">
        <f>+$AC315*BC315</f>
        <v>249.70838465647827</v>
      </c>
      <c r="AE315" s="5">
        <f>+$AC315*BD315</f>
        <v>298.62778073646558</v>
      </c>
      <c r="AF315" s="5">
        <f>+$AC315*BE315</f>
        <v>264.2877743759334</v>
      </c>
      <c r="AG315" s="5">
        <f>+$AC315*BF315</f>
        <v>200.18781963194138</v>
      </c>
      <c r="AH315" s="5">
        <f>+$AC315*BG315</f>
        <v>290.32001069502934</v>
      </c>
      <c r="AI315" s="5">
        <f>+$AC315*BH315</f>
        <v>237.91692666712498</v>
      </c>
      <c r="AJ315" s="5">
        <f>+$AC315*BI315</f>
        <v>236.86286085633557</v>
      </c>
      <c r="AK315" s="5">
        <f>+$AC315*BJ315</f>
        <v>160.85189529578389</v>
      </c>
      <c r="AL315" s="5">
        <f>+$AC315*BK315</f>
        <v>238.43078656756092</v>
      </c>
      <c r="AM315" s="5">
        <f>+$AC315*BL315</f>
        <v>207.64256495649849</v>
      </c>
      <c r="AN315" s="5">
        <f>+$AC315*BM315</f>
        <v>212.01092973790009</v>
      </c>
      <c r="AO315" s="5">
        <f>+$AC315*BN315</f>
        <v>207.07556622389174</v>
      </c>
      <c r="AP315" s="5">
        <f>+AC315+P315+C315</f>
        <v>2800</v>
      </c>
      <c r="AQ315" s="1">
        <v>222.9539148718556</v>
      </c>
      <c r="AR315" s="1">
        <v>266.63194708612997</v>
      </c>
      <c r="AS315" s="1">
        <v>235.97122712136911</v>
      </c>
      <c r="AT315" s="1">
        <v>178.73912467137623</v>
      </c>
      <c r="AU315" s="1">
        <v>259.21429526341905</v>
      </c>
      <c r="AV315" s="1">
        <v>212.42582738136159</v>
      </c>
      <c r="AW315" s="1">
        <v>211.48469719315676</v>
      </c>
      <c r="AX315" s="1">
        <v>143.6177636569499</v>
      </c>
      <c r="AY315" s="1">
        <v>212.88463086389368</v>
      </c>
      <c r="AZ315" s="1">
        <v>185.39514728258794</v>
      </c>
      <c r="BA315" s="1">
        <v>189.29547298026793</v>
      </c>
      <c r="BB315" s="1">
        <v>184.88889841418904</v>
      </c>
      <c r="BC315" s="2">
        <v>8.9181565948742242E-2</v>
      </c>
      <c r="BD315" s="2">
        <v>0.10665277883445198</v>
      </c>
      <c r="BE315" s="2">
        <v>9.438849084854764E-2</v>
      </c>
      <c r="BF315" s="2">
        <v>7.149564986855049E-2</v>
      </c>
      <c r="BG315" s="2">
        <v>0.10368571810536763</v>
      </c>
      <c r="BH315" s="2">
        <v>8.4970330952544637E-2</v>
      </c>
      <c r="BI315" s="2">
        <v>8.4593878877262704E-2</v>
      </c>
      <c r="BJ315" s="2">
        <v>5.7447105462779965E-2</v>
      </c>
      <c r="BK315" s="2">
        <v>8.5153852345557474E-2</v>
      </c>
      <c r="BL315" s="2">
        <v>7.4158058913035174E-2</v>
      </c>
      <c r="BM315" s="2">
        <v>7.5718189192107169E-2</v>
      </c>
      <c r="BN315" s="2">
        <v>7.3955559365675619E-2</v>
      </c>
    </row>
    <row r="316" spans="1:66" x14ac:dyDescent="0.25">
      <c r="A316" s="8">
        <v>12802</v>
      </c>
      <c r="B316" s="8" t="s">
        <v>680</v>
      </c>
      <c r="C316" s="5">
        <v>0</v>
      </c>
      <c r="D316" s="5">
        <f>+$C316*BC316</f>
        <v>0</v>
      </c>
      <c r="E316" s="5">
        <f>+$C316*BD316</f>
        <v>0</v>
      </c>
      <c r="F316" s="5">
        <f>+$C316*BE316</f>
        <v>0</v>
      </c>
      <c r="G316" s="5">
        <f>+$C316*BF316</f>
        <v>0</v>
      </c>
      <c r="H316" s="5">
        <f>+$C316*BG316</f>
        <v>0</v>
      </c>
      <c r="I316" s="5">
        <f>+$C316*BH316</f>
        <v>0</v>
      </c>
      <c r="J316" s="5">
        <f>+$C316*BI316</f>
        <v>0</v>
      </c>
      <c r="K316" s="5">
        <f>+$C316*BJ316</f>
        <v>0</v>
      </c>
      <c r="L316" s="5">
        <f>+$C316*BK316</f>
        <v>0</v>
      </c>
      <c r="M316" s="5">
        <f>+$C316*BL316</f>
        <v>0</v>
      </c>
      <c r="N316" s="5">
        <f>+$C316*BM316</f>
        <v>0</v>
      </c>
      <c r="O316" s="5">
        <f>+$C316*BN316</f>
        <v>0</v>
      </c>
      <c r="P316" s="5">
        <v>2500</v>
      </c>
      <c r="Q316" s="5">
        <f>+$P316*BC316</f>
        <v>222.9539148718556</v>
      </c>
      <c r="R316" s="5">
        <f>+$P316*BD316</f>
        <v>266.63194708612997</v>
      </c>
      <c r="S316" s="5">
        <f>+$P316*BE316</f>
        <v>235.97122712136911</v>
      </c>
      <c r="T316" s="5">
        <f>+$P316*BF316</f>
        <v>178.73912467137623</v>
      </c>
      <c r="U316" s="5">
        <f>+$P316*BG316</f>
        <v>259.21429526341905</v>
      </c>
      <c r="V316" s="5">
        <f>+$P316*BH316</f>
        <v>212.42582738136159</v>
      </c>
      <c r="W316" s="5">
        <f>+$P316*BI316</f>
        <v>211.48469719315676</v>
      </c>
      <c r="X316" s="5">
        <f>+$P316*BJ316</f>
        <v>143.6177636569499</v>
      </c>
      <c r="Y316" s="5">
        <f>+$P316*BK316</f>
        <v>212.88463086389368</v>
      </c>
      <c r="Z316" s="5">
        <f>+$P316*BL316</f>
        <v>185.39514728258794</v>
      </c>
      <c r="AA316" s="5">
        <f>+$P316*BM316</f>
        <v>189.29547298026793</v>
      </c>
      <c r="AB316" s="5">
        <f>+$P316*BN316</f>
        <v>184.88889841418904</v>
      </c>
      <c r="AC316" s="5">
        <v>0</v>
      </c>
      <c r="AD316" s="5">
        <f>+$AC316*BC316</f>
        <v>0</v>
      </c>
      <c r="AE316" s="5">
        <f>+$AC316*BD316</f>
        <v>0</v>
      </c>
      <c r="AF316" s="5">
        <f>+$AC316*BE316</f>
        <v>0</v>
      </c>
      <c r="AG316" s="5">
        <f>+$AC316*BF316</f>
        <v>0</v>
      </c>
      <c r="AH316" s="5">
        <f>+$AC316*BG316</f>
        <v>0</v>
      </c>
      <c r="AI316" s="5">
        <f>+$AC316*BH316</f>
        <v>0</v>
      </c>
      <c r="AJ316" s="5">
        <f>+$AC316*BI316</f>
        <v>0</v>
      </c>
      <c r="AK316" s="5">
        <f>+$AC316*BJ316</f>
        <v>0</v>
      </c>
      <c r="AL316" s="5">
        <f>+$AC316*BK316</f>
        <v>0</v>
      </c>
      <c r="AM316" s="5">
        <f>+$AC316*BL316</f>
        <v>0</v>
      </c>
      <c r="AN316" s="5">
        <f>+$AC316*BM316</f>
        <v>0</v>
      </c>
      <c r="AO316" s="5">
        <f>+$AC316*BN316</f>
        <v>0</v>
      </c>
      <c r="AP316" s="5">
        <f>+AC316+P316+C316</f>
        <v>2500</v>
      </c>
      <c r="AQ316" s="1">
        <v>222.9539148718556</v>
      </c>
      <c r="AR316" s="1">
        <v>266.63194708612997</v>
      </c>
      <c r="AS316" s="1">
        <v>235.97122712136911</v>
      </c>
      <c r="AT316" s="1">
        <v>178.73912467137623</v>
      </c>
      <c r="AU316" s="1">
        <v>259.21429526341905</v>
      </c>
      <c r="AV316" s="1">
        <v>212.42582738136159</v>
      </c>
      <c r="AW316" s="1">
        <v>211.48469719315676</v>
      </c>
      <c r="AX316" s="1">
        <v>143.6177636569499</v>
      </c>
      <c r="AY316" s="1">
        <v>212.88463086389368</v>
      </c>
      <c r="AZ316" s="1">
        <v>185.39514728258794</v>
      </c>
      <c r="BA316" s="1">
        <v>189.29547298026793</v>
      </c>
      <c r="BB316" s="1">
        <v>184.88889841418904</v>
      </c>
      <c r="BC316" s="2">
        <v>8.9181565948742242E-2</v>
      </c>
      <c r="BD316" s="2">
        <v>0.10665277883445198</v>
      </c>
      <c r="BE316" s="2">
        <v>9.438849084854764E-2</v>
      </c>
      <c r="BF316" s="2">
        <v>7.149564986855049E-2</v>
      </c>
      <c r="BG316" s="2">
        <v>0.10368571810536763</v>
      </c>
      <c r="BH316" s="2">
        <v>8.4970330952544637E-2</v>
      </c>
      <c r="BI316" s="2">
        <v>8.4593878877262704E-2</v>
      </c>
      <c r="BJ316" s="2">
        <v>5.7447105462779965E-2</v>
      </c>
      <c r="BK316" s="2">
        <v>8.5153852345557474E-2</v>
      </c>
      <c r="BL316" s="2">
        <v>7.4158058913035174E-2</v>
      </c>
      <c r="BM316" s="2">
        <v>7.5718189192107169E-2</v>
      </c>
      <c r="BN316" s="2">
        <v>7.3955559365675619E-2</v>
      </c>
    </row>
    <row r="317" spans="1:66" x14ac:dyDescent="0.25">
      <c r="A317" s="8">
        <v>17180</v>
      </c>
      <c r="B317" s="8" t="s">
        <v>679</v>
      </c>
      <c r="C317" s="5">
        <v>2500</v>
      </c>
      <c r="D317" s="5">
        <f>+$C317*BC317</f>
        <v>222.9539148718556</v>
      </c>
      <c r="E317" s="5">
        <f>+$C317*BD317</f>
        <v>266.63194708612997</v>
      </c>
      <c r="F317" s="5">
        <f>+$C317*BE317</f>
        <v>235.97122712136911</v>
      </c>
      <c r="G317" s="5">
        <f>+$C317*BF317</f>
        <v>178.73912467137623</v>
      </c>
      <c r="H317" s="5">
        <f>+$C317*BG317</f>
        <v>259.21429526341905</v>
      </c>
      <c r="I317" s="5">
        <f>+$C317*BH317</f>
        <v>212.42582738136159</v>
      </c>
      <c r="J317" s="5">
        <f>+$C317*BI317</f>
        <v>211.48469719315676</v>
      </c>
      <c r="K317" s="5">
        <f>+$C317*BJ317</f>
        <v>143.6177636569499</v>
      </c>
      <c r="L317" s="5">
        <f>+$C317*BK317</f>
        <v>212.88463086389368</v>
      </c>
      <c r="M317" s="5">
        <f>+$C317*BL317</f>
        <v>185.39514728258794</v>
      </c>
      <c r="N317" s="5">
        <f>+$C317*BM317</f>
        <v>189.29547298026793</v>
      </c>
      <c r="O317" s="5">
        <f>+$C317*BN317</f>
        <v>184.88889841418904</v>
      </c>
      <c r="P317" s="5">
        <v>500</v>
      </c>
      <c r="Q317" s="5">
        <f>+$P317*BC317</f>
        <v>44.590782974371123</v>
      </c>
      <c r="R317" s="5">
        <f>+$P317*BD317</f>
        <v>53.32638941722599</v>
      </c>
      <c r="S317" s="5">
        <f>+$P317*BE317</f>
        <v>47.194245424273824</v>
      </c>
      <c r="T317" s="5">
        <f>+$P317*BF317</f>
        <v>35.747824934275243</v>
      </c>
      <c r="U317" s="5">
        <f>+$P317*BG317</f>
        <v>51.842859052683814</v>
      </c>
      <c r="V317" s="5">
        <f>+$P317*BH317</f>
        <v>42.485165476272321</v>
      </c>
      <c r="W317" s="5">
        <f>+$P317*BI317</f>
        <v>42.296939438631355</v>
      </c>
      <c r="X317" s="5">
        <f>+$P317*BJ317</f>
        <v>28.723552731389983</v>
      </c>
      <c r="Y317" s="5">
        <f>+$P317*BK317</f>
        <v>42.576926172778734</v>
      </c>
      <c r="Z317" s="5">
        <f>+$P317*BL317</f>
        <v>37.079029456517588</v>
      </c>
      <c r="AA317" s="5">
        <f>+$P317*BM317</f>
        <v>37.859094596053588</v>
      </c>
      <c r="AB317" s="5">
        <f>+$P317*BN317</f>
        <v>36.977779682837813</v>
      </c>
      <c r="AC317" s="5">
        <v>0</v>
      </c>
      <c r="AD317" s="5">
        <f>+$AC317*BC317</f>
        <v>0</v>
      </c>
      <c r="AE317" s="5">
        <f>+$AC317*BD317</f>
        <v>0</v>
      </c>
      <c r="AF317" s="5">
        <f>+$AC317*BE317</f>
        <v>0</v>
      </c>
      <c r="AG317" s="5">
        <f>+$AC317*BF317</f>
        <v>0</v>
      </c>
      <c r="AH317" s="5">
        <f>+$AC317*BG317</f>
        <v>0</v>
      </c>
      <c r="AI317" s="5">
        <f>+$AC317*BH317</f>
        <v>0</v>
      </c>
      <c r="AJ317" s="5">
        <f>+$AC317*BI317</f>
        <v>0</v>
      </c>
      <c r="AK317" s="5">
        <f>+$AC317*BJ317</f>
        <v>0</v>
      </c>
      <c r="AL317" s="5">
        <f>+$AC317*BK317</f>
        <v>0</v>
      </c>
      <c r="AM317" s="5">
        <f>+$AC317*BL317</f>
        <v>0</v>
      </c>
      <c r="AN317" s="5">
        <f>+$AC317*BM317</f>
        <v>0</v>
      </c>
      <c r="AO317" s="5">
        <f>+$AC317*BN317</f>
        <v>0</v>
      </c>
      <c r="AP317" s="5">
        <f>+AC317+P317+C317</f>
        <v>3000</v>
      </c>
      <c r="AQ317" s="1">
        <v>222.9539148718556</v>
      </c>
      <c r="AR317" s="1">
        <v>266.63194708612997</v>
      </c>
      <c r="AS317" s="1">
        <v>235.97122712136911</v>
      </c>
      <c r="AT317" s="1">
        <v>178.73912467137623</v>
      </c>
      <c r="AU317" s="1">
        <v>259.21429526341905</v>
      </c>
      <c r="AV317" s="1">
        <v>212.42582738136159</v>
      </c>
      <c r="AW317" s="1">
        <v>211.48469719315676</v>
      </c>
      <c r="AX317" s="1">
        <v>143.6177636569499</v>
      </c>
      <c r="AY317" s="1">
        <v>212.88463086389368</v>
      </c>
      <c r="AZ317" s="1">
        <v>185.39514728258794</v>
      </c>
      <c r="BA317" s="1">
        <v>189.29547298026793</v>
      </c>
      <c r="BB317" s="1">
        <v>184.88889841418904</v>
      </c>
      <c r="BC317" s="2">
        <v>8.9181565948742242E-2</v>
      </c>
      <c r="BD317" s="2">
        <v>0.10665277883445198</v>
      </c>
      <c r="BE317" s="2">
        <v>9.438849084854764E-2</v>
      </c>
      <c r="BF317" s="2">
        <v>7.149564986855049E-2</v>
      </c>
      <c r="BG317" s="2">
        <v>0.10368571810536763</v>
      </c>
      <c r="BH317" s="2">
        <v>8.4970330952544637E-2</v>
      </c>
      <c r="BI317" s="2">
        <v>8.4593878877262704E-2</v>
      </c>
      <c r="BJ317" s="2">
        <v>5.7447105462779965E-2</v>
      </c>
      <c r="BK317" s="2">
        <v>8.5153852345557474E-2</v>
      </c>
      <c r="BL317" s="2">
        <v>7.4158058913035174E-2</v>
      </c>
      <c r="BM317" s="2">
        <v>7.5718189192107169E-2</v>
      </c>
      <c r="BN317" s="2">
        <v>7.3955559365675619E-2</v>
      </c>
    </row>
    <row r="318" spans="1:66" x14ac:dyDescent="0.25">
      <c r="A318" s="8">
        <v>22906</v>
      </c>
      <c r="B318" s="8" t="s">
        <v>678</v>
      </c>
      <c r="C318" s="5">
        <v>2000</v>
      </c>
      <c r="D318" s="5">
        <f>+$C318*BC318</f>
        <v>178.36313189748449</v>
      </c>
      <c r="E318" s="5">
        <f>+$C318*BD318</f>
        <v>213.30555766890396</v>
      </c>
      <c r="F318" s="5">
        <f>+$C318*BE318</f>
        <v>188.77698169709529</v>
      </c>
      <c r="G318" s="5">
        <f>+$C318*BF318</f>
        <v>142.99129973710097</v>
      </c>
      <c r="H318" s="5">
        <f>+$C318*BG318</f>
        <v>207.37143621073525</v>
      </c>
      <c r="I318" s="5">
        <f>+$C318*BH318</f>
        <v>169.94066190508929</v>
      </c>
      <c r="J318" s="5">
        <f>+$C318*BI318</f>
        <v>169.18775775452542</v>
      </c>
      <c r="K318" s="5">
        <f>+$C318*BJ318</f>
        <v>114.89421092555993</v>
      </c>
      <c r="L318" s="5">
        <f>+$C318*BK318</f>
        <v>170.30770469111494</v>
      </c>
      <c r="M318" s="5">
        <f>+$C318*BL318</f>
        <v>148.31611782607035</v>
      </c>
      <c r="N318" s="5">
        <f>+$C318*BM318</f>
        <v>151.43637838421435</v>
      </c>
      <c r="O318" s="5">
        <f>+$C318*BN318</f>
        <v>147.91111873135125</v>
      </c>
      <c r="P318" s="5">
        <v>0</v>
      </c>
      <c r="Q318" s="5">
        <f>+$P318*BC318</f>
        <v>0</v>
      </c>
      <c r="R318" s="5">
        <f>+$P318*BD318</f>
        <v>0</v>
      </c>
      <c r="S318" s="5">
        <f>+$P318*BE318</f>
        <v>0</v>
      </c>
      <c r="T318" s="5">
        <f>+$P318*BF318</f>
        <v>0</v>
      </c>
      <c r="U318" s="5">
        <f>+$P318*BG318</f>
        <v>0</v>
      </c>
      <c r="V318" s="5">
        <f>+$P318*BH318</f>
        <v>0</v>
      </c>
      <c r="W318" s="5">
        <f>+$P318*BI318</f>
        <v>0</v>
      </c>
      <c r="X318" s="5">
        <f>+$P318*BJ318</f>
        <v>0</v>
      </c>
      <c r="Y318" s="5">
        <f>+$P318*BK318</f>
        <v>0</v>
      </c>
      <c r="Z318" s="5">
        <f>+$P318*BL318</f>
        <v>0</v>
      </c>
      <c r="AA318" s="5">
        <f>+$P318*BM318</f>
        <v>0</v>
      </c>
      <c r="AB318" s="5">
        <f>+$P318*BN318</f>
        <v>0</v>
      </c>
      <c r="AC318" s="5">
        <v>1500</v>
      </c>
      <c r="AD318" s="5">
        <f>+$AC318*BC318</f>
        <v>133.77234892311336</v>
      </c>
      <c r="AE318" s="5">
        <f>+$AC318*BD318</f>
        <v>159.97916825167798</v>
      </c>
      <c r="AF318" s="5">
        <f>+$AC318*BE318</f>
        <v>141.58273627282145</v>
      </c>
      <c r="AG318" s="5">
        <f>+$AC318*BF318</f>
        <v>107.24347480282573</v>
      </c>
      <c r="AH318" s="5">
        <f>+$AC318*BG318</f>
        <v>155.52857715805143</v>
      </c>
      <c r="AI318" s="5">
        <f>+$AC318*BH318</f>
        <v>127.45549642881696</v>
      </c>
      <c r="AJ318" s="5">
        <f>+$AC318*BI318</f>
        <v>126.89081831589405</v>
      </c>
      <c r="AK318" s="5">
        <f>+$AC318*BJ318</f>
        <v>86.170658194169945</v>
      </c>
      <c r="AL318" s="5">
        <f>+$AC318*BK318</f>
        <v>127.73077851833621</v>
      </c>
      <c r="AM318" s="5">
        <f>+$AC318*BL318</f>
        <v>111.23708836955277</v>
      </c>
      <c r="AN318" s="5">
        <f>+$AC318*BM318</f>
        <v>113.57728378816076</v>
      </c>
      <c r="AO318" s="5">
        <f>+$AC318*BN318</f>
        <v>110.93333904851343</v>
      </c>
      <c r="AP318" s="5">
        <f>+AC318+P318+C318</f>
        <v>3500</v>
      </c>
      <c r="AQ318" s="1">
        <v>269.01173460608351</v>
      </c>
      <c r="AR318" s="1">
        <v>321.71277471518266</v>
      </c>
      <c r="AS318" s="1">
        <v>284.71816322010153</v>
      </c>
      <c r="AT318" s="1">
        <v>215.6630530459891</v>
      </c>
      <c r="AU318" s="1">
        <v>312.76278437893615</v>
      </c>
      <c r="AV318" s="1">
        <v>256.30875480180327</v>
      </c>
      <c r="AW318" s="1">
        <v>255.17320593931908</v>
      </c>
      <c r="AX318" s="1">
        <v>173.28632127320262</v>
      </c>
      <c r="AY318" s="1">
        <v>256.86233790775685</v>
      </c>
      <c r="AZ318" s="1">
        <v>223.69407680822493</v>
      </c>
      <c r="BA318" s="1">
        <v>228.40013178853167</v>
      </c>
      <c r="BB318" s="1">
        <v>223.0832470485922</v>
      </c>
      <c r="BC318" s="2">
        <v>8.9181565948742242E-2</v>
      </c>
      <c r="BD318" s="2">
        <v>0.10665277883445198</v>
      </c>
      <c r="BE318" s="2">
        <v>9.438849084854764E-2</v>
      </c>
      <c r="BF318" s="2">
        <v>7.149564986855049E-2</v>
      </c>
      <c r="BG318" s="2">
        <v>0.10368571810536763</v>
      </c>
      <c r="BH318" s="2">
        <v>8.4970330952544637E-2</v>
      </c>
      <c r="BI318" s="2">
        <v>8.4593878877262704E-2</v>
      </c>
      <c r="BJ318" s="2">
        <v>5.7447105462779965E-2</v>
      </c>
      <c r="BK318" s="2">
        <v>8.5153852345557474E-2</v>
      </c>
      <c r="BL318" s="2">
        <v>7.4158058913035174E-2</v>
      </c>
      <c r="BM318" s="2">
        <v>7.5718189192107169E-2</v>
      </c>
      <c r="BN318" s="2">
        <v>7.3955559365675619E-2</v>
      </c>
    </row>
    <row r="319" spans="1:66" x14ac:dyDescent="0.25">
      <c r="A319" s="8">
        <v>34057</v>
      </c>
      <c r="B319" s="8" t="s">
        <v>677</v>
      </c>
      <c r="C319" s="5">
        <v>500</v>
      </c>
      <c r="D319" s="5">
        <f>+$C319*BC319</f>
        <v>44.590782974371123</v>
      </c>
      <c r="E319" s="5">
        <f>+$C319*BD319</f>
        <v>53.32638941722599</v>
      </c>
      <c r="F319" s="5">
        <f>+$C319*BE319</f>
        <v>47.194245424273824</v>
      </c>
      <c r="G319" s="5">
        <f>+$C319*BF319</f>
        <v>35.747824934275243</v>
      </c>
      <c r="H319" s="5">
        <f>+$C319*BG319</f>
        <v>51.842859052683814</v>
      </c>
      <c r="I319" s="5">
        <f>+$C319*BH319</f>
        <v>42.485165476272321</v>
      </c>
      <c r="J319" s="5">
        <f>+$C319*BI319</f>
        <v>42.296939438631355</v>
      </c>
      <c r="K319" s="5">
        <f>+$C319*BJ319</f>
        <v>28.723552731389983</v>
      </c>
      <c r="L319" s="5">
        <f>+$C319*BK319</f>
        <v>42.576926172778734</v>
      </c>
      <c r="M319" s="5">
        <f>+$C319*BL319</f>
        <v>37.079029456517588</v>
      </c>
      <c r="N319" s="5">
        <f>+$C319*BM319</f>
        <v>37.859094596053588</v>
      </c>
      <c r="O319" s="5">
        <f>+$C319*BN319</f>
        <v>36.977779682837813</v>
      </c>
      <c r="P319" s="5">
        <v>0</v>
      </c>
      <c r="Q319" s="5">
        <f>+$P319*BC319</f>
        <v>0</v>
      </c>
      <c r="R319" s="5">
        <f>+$P319*BD319</f>
        <v>0</v>
      </c>
      <c r="S319" s="5">
        <f>+$P319*BE319</f>
        <v>0</v>
      </c>
      <c r="T319" s="5">
        <f>+$P319*BF319</f>
        <v>0</v>
      </c>
      <c r="U319" s="5">
        <f>+$P319*BG319</f>
        <v>0</v>
      </c>
      <c r="V319" s="5">
        <f>+$P319*BH319</f>
        <v>0</v>
      </c>
      <c r="W319" s="5">
        <f>+$P319*BI319</f>
        <v>0</v>
      </c>
      <c r="X319" s="5">
        <f>+$P319*BJ319</f>
        <v>0</v>
      </c>
      <c r="Y319" s="5">
        <f>+$P319*BK319</f>
        <v>0</v>
      </c>
      <c r="Z319" s="5">
        <f>+$P319*BL319</f>
        <v>0</v>
      </c>
      <c r="AA319" s="5">
        <f>+$P319*BM319</f>
        <v>0</v>
      </c>
      <c r="AB319" s="5">
        <f>+$P319*BN319</f>
        <v>0</v>
      </c>
      <c r="AC319" s="5">
        <v>0</v>
      </c>
      <c r="AD319" s="5">
        <f>+$AC319*BC319</f>
        <v>0</v>
      </c>
      <c r="AE319" s="5">
        <f>+$AC319*BD319</f>
        <v>0</v>
      </c>
      <c r="AF319" s="5">
        <f>+$AC319*BE319</f>
        <v>0</v>
      </c>
      <c r="AG319" s="5">
        <f>+$AC319*BF319</f>
        <v>0</v>
      </c>
      <c r="AH319" s="5">
        <f>+$AC319*BG319</f>
        <v>0</v>
      </c>
      <c r="AI319" s="5">
        <f>+$AC319*BH319</f>
        <v>0</v>
      </c>
      <c r="AJ319" s="5">
        <f>+$AC319*BI319</f>
        <v>0</v>
      </c>
      <c r="AK319" s="5">
        <f>+$AC319*BJ319</f>
        <v>0</v>
      </c>
      <c r="AL319" s="5">
        <f>+$AC319*BK319</f>
        <v>0</v>
      </c>
      <c r="AM319" s="5">
        <f>+$AC319*BL319</f>
        <v>0</v>
      </c>
      <c r="AN319" s="5">
        <f>+$AC319*BM319</f>
        <v>0</v>
      </c>
      <c r="AO319" s="5">
        <f>+$AC319*BN319</f>
        <v>0</v>
      </c>
      <c r="AP319" s="5">
        <f>+AC319+P319+C319</f>
        <v>500</v>
      </c>
      <c r="AQ319" s="1">
        <v>238.86078488230299</v>
      </c>
      <c r="AR319" s="1">
        <v>285.65506998293694</v>
      </c>
      <c r="AS319" s="1">
        <v>252.80683029157029</v>
      </c>
      <c r="AT319" s="1">
        <v>191.49144626018023</v>
      </c>
      <c r="AU319" s="1">
        <v>277.70819837328293</v>
      </c>
      <c r="AV319" s="1">
        <v>227.5815604617122</v>
      </c>
      <c r="AW319" s="1">
        <v>226.57328439909969</v>
      </c>
      <c r="AX319" s="1">
        <v>153.86431662281865</v>
      </c>
      <c r="AY319" s="1">
        <v>228.07309773750902</v>
      </c>
      <c r="AZ319" s="1">
        <v>198.62234946061145</v>
      </c>
      <c r="BA319" s="1">
        <v>202.80094779551811</v>
      </c>
      <c r="BB319" s="1">
        <v>198.07998176044777</v>
      </c>
      <c r="BC319" s="2">
        <v>8.9181565948742242E-2</v>
      </c>
      <c r="BD319" s="2">
        <v>0.10665277883445198</v>
      </c>
      <c r="BE319" s="2">
        <v>9.438849084854764E-2</v>
      </c>
      <c r="BF319" s="2">
        <v>7.149564986855049E-2</v>
      </c>
      <c r="BG319" s="2">
        <v>0.10368571810536763</v>
      </c>
      <c r="BH319" s="2">
        <v>8.4970330952544637E-2</v>
      </c>
      <c r="BI319" s="2">
        <v>8.4593878877262704E-2</v>
      </c>
      <c r="BJ319" s="2">
        <v>5.7447105462779965E-2</v>
      </c>
      <c r="BK319" s="2">
        <v>8.5153852345557474E-2</v>
      </c>
      <c r="BL319" s="2">
        <v>7.4158058913035174E-2</v>
      </c>
      <c r="BM319" s="2">
        <v>7.5718189192107169E-2</v>
      </c>
      <c r="BN319" s="2">
        <v>7.3955559365675619E-2</v>
      </c>
    </row>
    <row r="320" spans="1:66" x14ac:dyDescent="0.25">
      <c r="A320" s="8">
        <v>16046</v>
      </c>
      <c r="B320" s="8" t="s">
        <v>676</v>
      </c>
      <c r="C320" s="5">
        <v>0</v>
      </c>
      <c r="D320" s="5">
        <f>+$C320*BC320</f>
        <v>0</v>
      </c>
      <c r="E320" s="5">
        <f>+$C320*BD320</f>
        <v>0</v>
      </c>
      <c r="F320" s="5">
        <f>+$C320*BE320</f>
        <v>0</v>
      </c>
      <c r="G320" s="5">
        <f>+$C320*BF320</f>
        <v>0</v>
      </c>
      <c r="H320" s="5">
        <f>+$C320*BG320</f>
        <v>0</v>
      </c>
      <c r="I320" s="5">
        <f>+$C320*BH320</f>
        <v>0</v>
      </c>
      <c r="J320" s="5">
        <f>+$C320*BI320</f>
        <v>0</v>
      </c>
      <c r="K320" s="5">
        <f>+$C320*BJ320</f>
        <v>0</v>
      </c>
      <c r="L320" s="5">
        <f>+$C320*BK320</f>
        <v>0</v>
      </c>
      <c r="M320" s="5">
        <f>+$C320*BL320</f>
        <v>0</v>
      </c>
      <c r="N320" s="5">
        <f>+$C320*BM320</f>
        <v>0</v>
      </c>
      <c r="O320" s="5">
        <f>+$C320*BN320</f>
        <v>0</v>
      </c>
      <c r="P320" s="5">
        <v>0</v>
      </c>
      <c r="Q320" s="5">
        <f>+$P320*BC320</f>
        <v>0</v>
      </c>
      <c r="R320" s="5">
        <f>+$P320*BD320</f>
        <v>0</v>
      </c>
      <c r="S320" s="5">
        <f>+$P320*BE320</f>
        <v>0</v>
      </c>
      <c r="T320" s="5">
        <f>+$P320*BF320</f>
        <v>0</v>
      </c>
      <c r="U320" s="5">
        <f>+$P320*BG320</f>
        <v>0</v>
      </c>
      <c r="V320" s="5">
        <f>+$P320*BH320</f>
        <v>0</v>
      </c>
      <c r="W320" s="5">
        <f>+$P320*BI320</f>
        <v>0</v>
      </c>
      <c r="X320" s="5">
        <f>+$P320*BJ320</f>
        <v>0</v>
      </c>
      <c r="Y320" s="5">
        <f>+$P320*BK320</f>
        <v>0</v>
      </c>
      <c r="Z320" s="5">
        <f>+$P320*BL320</f>
        <v>0</v>
      </c>
      <c r="AA320" s="5">
        <f>+$P320*BM320</f>
        <v>0</v>
      </c>
      <c r="AB320" s="5">
        <f>+$P320*BN320</f>
        <v>0</v>
      </c>
      <c r="AC320" s="5">
        <v>0</v>
      </c>
      <c r="AD320" s="5">
        <f>+$AC320*BC320</f>
        <v>0</v>
      </c>
      <c r="AE320" s="5">
        <f>+$AC320*BD320</f>
        <v>0</v>
      </c>
      <c r="AF320" s="5">
        <f>+$AC320*BE320</f>
        <v>0</v>
      </c>
      <c r="AG320" s="5">
        <f>+$AC320*BF320</f>
        <v>0</v>
      </c>
      <c r="AH320" s="5">
        <f>+$AC320*BG320</f>
        <v>0</v>
      </c>
      <c r="AI320" s="5">
        <f>+$AC320*BH320</f>
        <v>0</v>
      </c>
      <c r="AJ320" s="5">
        <f>+$AC320*BI320</f>
        <v>0</v>
      </c>
      <c r="AK320" s="5">
        <f>+$AC320*BJ320</f>
        <v>0</v>
      </c>
      <c r="AL320" s="5">
        <f>+$AC320*BK320</f>
        <v>0</v>
      </c>
      <c r="AM320" s="5">
        <f>+$AC320*BL320</f>
        <v>0</v>
      </c>
      <c r="AN320" s="5">
        <f>+$AC320*BM320</f>
        <v>0</v>
      </c>
      <c r="AO320" s="5">
        <f>+$AC320*BN320</f>
        <v>0</v>
      </c>
      <c r="AP320" s="5">
        <f>+AC320+P320+C320</f>
        <v>0</v>
      </c>
      <c r="AQ320" s="1">
        <v>220.16877456727639</v>
      </c>
      <c r="AR320" s="1">
        <v>263.30118080313002</v>
      </c>
      <c r="AS320" s="1">
        <v>233.02347455216895</v>
      </c>
      <c r="AT320" s="1">
        <v>176.50631552598139</v>
      </c>
      <c r="AU320" s="1">
        <v>255.97619028698844</v>
      </c>
      <c r="AV320" s="1">
        <v>209.77220394571361</v>
      </c>
      <c r="AW320" s="1">
        <v>208.84283035581984</v>
      </c>
      <c r="AX320" s="1">
        <v>141.82369055334729</v>
      </c>
      <c r="AY320" s="1">
        <v>210.22527605514193</v>
      </c>
      <c r="AZ320" s="1">
        <v>183.07919110273386</v>
      </c>
      <c r="BA320" s="1">
        <v>186.93079393179841</v>
      </c>
      <c r="BB320" s="1">
        <v>182.57926629519901</v>
      </c>
      <c r="BC320" s="2">
        <v>8.9181565948742242E-2</v>
      </c>
      <c r="BD320" s="2">
        <v>0.10665277883445198</v>
      </c>
      <c r="BE320" s="2">
        <v>9.438849084854764E-2</v>
      </c>
      <c r="BF320" s="2">
        <v>7.149564986855049E-2</v>
      </c>
      <c r="BG320" s="2">
        <v>0.10368571810536763</v>
      </c>
      <c r="BH320" s="2">
        <v>8.4970330952544637E-2</v>
      </c>
      <c r="BI320" s="2">
        <v>8.4593878877262704E-2</v>
      </c>
      <c r="BJ320" s="2">
        <v>5.7447105462779965E-2</v>
      </c>
      <c r="BK320" s="2">
        <v>8.5153852345557474E-2</v>
      </c>
      <c r="BL320" s="2">
        <v>7.4158058913035174E-2</v>
      </c>
      <c r="BM320" s="2">
        <v>7.5718189192107169E-2</v>
      </c>
      <c r="BN320" s="2">
        <v>7.3955559365675619E-2</v>
      </c>
    </row>
    <row r="321" spans="1:66" x14ac:dyDescent="0.25">
      <c r="A321" s="8">
        <v>6546</v>
      </c>
      <c r="B321" s="8" t="s">
        <v>675</v>
      </c>
      <c r="C321" s="5">
        <v>1500</v>
      </c>
      <c r="D321" s="5">
        <f>+$C321*BC321</f>
        <v>133.77234892311336</v>
      </c>
      <c r="E321" s="5">
        <f>+$C321*BD321</f>
        <v>159.97916825167798</v>
      </c>
      <c r="F321" s="5">
        <f>+$C321*BE321</f>
        <v>141.58273627282145</v>
      </c>
      <c r="G321" s="5">
        <f>+$C321*BF321</f>
        <v>107.24347480282573</v>
      </c>
      <c r="H321" s="5">
        <f>+$C321*BG321</f>
        <v>155.52857715805143</v>
      </c>
      <c r="I321" s="5">
        <f>+$C321*BH321</f>
        <v>127.45549642881696</v>
      </c>
      <c r="J321" s="5">
        <f>+$C321*BI321</f>
        <v>126.89081831589405</v>
      </c>
      <c r="K321" s="5">
        <f>+$C321*BJ321</f>
        <v>86.170658194169945</v>
      </c>
      <c r="L321" s="5">
        <f>+$C321*BK321</f>
        <v>127.73077851833621</v>
      </c>
      <c r="M321" s="5">
        <f>+$C321*BL321</f>
        <v>111.23708836955277</v>
      </c>
      <c r="N321" s="5">
        <f>+$C321*BM321</f>
        <v>113.57728378816076</v>
      </c>
      <c r="O321" s="5">
        <f>+$C321*BN321</f>
        <v>110.93333904851343</v>
      </c>
      <c r="P321" s="5">
        <v>0</v>
      </c>
      <c r="Q321" s="5">
        <f>+$P321*BC321</f>
        <v>0</v>
      </c>
      <c r="R321" s="5">
        <f>+$P321*BD321</f>
        <v>0</v>
      </c>
      <c r="S321" s="5">
        <f>+$P321*BE321</f>
        <v>0</v>
      </c>
      <c r="T321" s="5">
        <f>+$P321*BF321</f>
        <v>0</v>
      </c>
      <c r="U321" s="5">
        <f>+$P321*BG321</f>
        <v>0</v>
      </c>
      <c r="V321" s="5">
        <f>+$P321*BH321</f>
        <v>0</v>
      </c>
      <c r="W321" s="5">
        <f>+$P321*BI321</f>
        <v>0</v>
      </c>
      <c r="X321" s="5">
        <f>+$P321*BJ321</f>
        <v>0</v>
      </c>
      <c r="Y321" s="5">
        <f>+$P321*BK321</f>
        <v>0</v>
      </c>
      <c r="Z321" s="5">
        <f>+$P321*BL321</f>
        <v>0</v>
      </c>
      <c r="AA321" s="5">
        <f>+$P321*BM321</f>
        <v>0</v>
      </c>
      <c r="AB321" s="5">
        <f>+$P321*BN321</f>
        <v>0</v>
      </c>
      <c r="AC321" s="5">
        <v>0</v>
      </c>
      <c r="AD321" s="5">
        <f>+$AC321*BC321</f>
        <v>0</v>
      </c>
      <c r="AE321" s="5">
        <f>+$AC321*BD321</f>
        <v>0</v>
      </c>
      <c r="AF321" s="5">
        <f>+$AC321*BE321</f>
        <v>0</v>
      </c>
      <c r="AG321" s="5">
        <f>+$AC321*BF321</f>
        <v>0</v>
      </c>
      <c r="AH321" s="5">
        <f>+$AC321*BG321</f>
        <v>0</v>
      </c>
      <c r="AI321" s="5">
        <f>+$AC321*BH321</f>
        <v>0</v>
      </c>
      <c r="AJ321" s="5">
        <f>+$AC321*BI321</f>
        <v>0</v>
      </c>
      <c r="AK321" s="5">
        <f>+$AC321*BJ321</f>
        <v>0</v>
      </c>
      <c r="AL321" s="5">
        <f>+$AC321*BK321</f>
        <v>0</v>
      </c>
      <c r="AM321" s="5">
        <f>+$AC321*BL321</f>
        <v>0</v>
      </c>
      <c r="AN321" s="5">
        <f>+$AC321*BM321</f>
        <v>0</v>
      </c>
      <c r="AO321" s="5">
        <f>+$AC321*BN321</f>
        <v>0</v>
      </c>
      <c r="AP321" s="5">
        <f>+AC321+P321+C321</f>
        <v>1500</v>
      </c>
      <c r="AQ321" s="1">
        <v>196.19944508723293</v>
      </c>
      <c r="AR321" s="1">
        <v>234.63611343579436</v>
      </c>
      <c r="AS321" s="1">
        <v>207.6546798668048</v>
      </c>
      <c r="AT321" s="1">
        <v>157.29042971081108</v>
      </c>
      <c r="AU321" s="1">
        <v>228.10857983180878</v>
      </c>
      <c r="AV321" s="1">
        <v>186.93472809559819</v>
      </c>
      <c r="AW321" s="1">
        <v>186.10653352997795</v>
      </c>
      <c r="AX321" s="1">
        <v>126.38363201811592</v>
      </c>
      <c r="AY321" s="1">
        <v>187.33847516022644</v>
      </c>
      <c r="AZ321" s="1">
        <v>163.14772960867739</v>
      </c>
      <c r="BA321" s="1">
        <v>166.58001622263578</v>
      </c>
      <c r="BB321" s="1">
        <v>162.70223060448637</v>
      </c>
      <c r="BC321" s="2">
        <v>8.9181565948742242E-2</v>
      </c>
      <c r="BD321" s="2">
        <v>0.10665277883445198</v>
      </c>
      <c r="BE321" s="2">
        <v>9.438849084854764E-2</v>
      </c>
      <c r="BF321" s="2">
        <v>7.149564986855049E-2</v>
      </c>
      <c r="BG321" s="2">
        <v>0.10368571810536763</v>
      </c>
      <c r="BH321" s="2">
        <v>8.4970330952544637E-2</v>
      </c>
      <c r="BI321" s="2">
        <v>8.4593878877262704E-2</v>
      </c>
      <c r="BJ321" s="2">
        <v>5.7447105462779965E-2</v>
      </c>
      <c r="BK321" s="2">
        <v>8.5153852345557474E-2</v>
      </c>
      <c r="BL321" s="2">
        <v>7.4158058913035174E-2</v>
      </c>
      <c r="BM321" s="2">
        <v>7.5718189192107169E-2</v>
      </c>
      <c r="BN321" s="2">
        <v>7.3955559365675619E-2</v>
      </c>
    </row>
    <row r="322" spans="1:66" x14ac:dyDescent="0.25">
      <c r="A322" s="8">
        <v>3603</v>
      </c>
      <c r="B322" s="8" t="s">
        <v>674</v>
      </c>
      <c r="C322" s="5">
        <v>500</v>
      </c>
      <c r="D322" s="5">
        <f>+$C322*BC322</f>
        <v>44.590782974371123</v>
      </c>
      <c r="E322" s="5">
        <f>+$C322*BD322</f>
        <v>53.32638941722599</v>
      </c>
      <c r="F322" s="5">
        <f>+$C322*BE322</f>
        <v>47.194245424273824</v>
      </c>
      <c r="G322" s="5">
        <f>+$C322*BF322</f>
        <v>35.747824934275243</v>
      </c>
      <c r="H322" s="5">
        <f>+$C322*BG322</f>
        <v>51.842859052683814</v>
      </c>
      <c r="I322" s="5">
        <f>+$C322*BH322</f>
        <v>42.485165476272321</v>
      </c>
      <c r="J322" s="5">
        <f>+$C322*BI322</f>
        <v>42.296939438631355</v>
      </c>
      <c r="K322" s="5">
        <f>+$C322*BJ322</f>
        <v>28.723552731389983</v>
      </c>
      <c r="L322" s="5">
        <f>+$C322*BK322</f>
        <v>42.576926172778734</v>
      </c>
      <c r="M322" s="5">
        <f>+$C322*BL322</f>
        <v>37.079029456517588</v>
      </c>
      <c r="N322" s="5">
        <f>+$C322*BM322</f>
        <v>37.859094596053588</v>
      </c>
      <c r="O322" s="5">
        <f>+$C322*BN322</f>
        <v>36.977779682837813</v>
      </c>
      <c r="P322" s="5">
        <v>0</v>
      </c>
      <c r="Q322" s="5">
        <f>+$P322*BC322</f>
        <v>0</v>
      </c>
      <c r="R322" s="5">
        <f>+$P322*BD322</f>
        <v>0</v>
      </c>
      <c r="S322" s="5">
        <f>+$P322*BE322</f>
        <v>0</v>
      </c>
      <c r="T322" s="5">
        <f>+$P322*BF322</f>
        <v>0</v>
      </c>
      <c r="U322" s="5">
        <f>+$P322*BG322</f>
        <v>0</v>
      </c>
      <c r="V322" s="5">
        <f>+$P322*BH322</f>
        <v>0</v>
      </c>
      <c r="W322" s="5">
        <f>+$P322*BI322</f>
        <v>0</v>
      </c>
      <c r="X322" s="5">
        <f>+$P322*BJ322</f>
        <v>0</v>
      </c>
      <c r="Y322" s="5">
        <f>+$P322*BK322</f>
        <v>0</v>
      </c>
      <c r="Z322" s="5">
        <f>+$P322*BL322</f>
        <v>0</v>
      </c>
      <c r="AA322" s="5">
        <f>+$P322*BM322</f>
        <v>0</v>
      </c>
      <c r="AB322" s="5">
        <f>+$P322*BN322</f>
        <v>0</v>
      </c>
      <c r="AC322" s="5">
        <v>0</v>
      </c>
      <c r="AD322" s="5">
        <f>+$AC322*BC322</f>
        <v>0</v>
      </c>
      <c r="AE322" s="5">
        <f>+$AC322*BD322</f>
        <v>0</v>
      </c>
      <c r="AF322" s="5">
        <f>+$AC322*BE322</f>
        <v>0</v>
      </c>
      <c r="AG322" s="5">
        <f>+$AC322*BF322</f>
        <v>0</v>
      </c>
      <c r="AH322" s="5">
        <f>+$AC322*BG322</f>
        <v>0</v>
      </c>
      <c r="AI322" s="5">
        <f>+$AC322*BH322</f>
        <v>0</v>
      </c>
      <c r="AJ322" s="5">
        <f>+$AC322*BI322</f>
        <v>0</v>
      </c>
      <c r="AK322" s="5">
        <f>+$AC322*BJ322</f>
        <v>0</v>
      </c>
      <c r="AL322" s="5">
        <f>+$AC322*BK322</f>
        <v>0</v>
      </c>
      <c r="AM322" s="5">
        <f>+$AC322*BL322</f>
        <v>0</v>
      </c>
      <c r="AN322" s="5">
        <f>+$AC322*BM322</f>
        <v>0</v>
      </c>
      <c r="AO322" s="5">
        <f>+$AC322*BN322</f>
        <v>0</v>
      </c>
      <c r="AP322" s="5">
        <f>+AC322+P322+C322</f>
        <v>500</v>
      </c>
      <c r="AQ322" s="1">
        <v>192.27269155694387</v>
      </c>
      <c r="AR322" s="1">
        <v>229.9400849309346</v>
      </c>
      <c r="AS322" s="1">
        <v>203.49866022625241</v>
      </c>
      <c r="AT322" s="1">
        <v>154.14240475144894</v>
      </c>
      <c r="AU322" s="1">
        <v>223.54319397791136</v>
      </c>
      <c r="AV322" s="1">
        <v>183.19339945342671</v>
      </c>
      <c r="AW322" s="1">
        <v>182.3817804491332</v>
      </c>
      <c r="AX322" s="1">
        <v>123.85417851748426</v>
      </c>
      <c r="AY322" s="1">
        <v>183.58906588759922</v>
      </c>
      <c r="AZ322" s="1">
        <v>159.88247611667754</v>
      </c>
      <c r="BA322" s="1">
        <v>163.24606863431811</v>
      </c>
      <c r="BB322" s="1">
        <v>159.4458933700563</v>
      </c>
      <c r="BC322" s="2">
        <v>8.9181565948742242E-2</v>
      </c>
      <c r="BD322" s="2">
        <v>0.10665277883445198</v>
      </c>
      <c r="BE322" s="2">
        <v>9.438849084854764E-2</v>
      </c>
      <c r="BF322" s="2">
        <v>7.149564986855049E-2</v>
      </c>
      <c r="BG322" s="2">
        <v>0.10368571810536763</v>
      </c>
      <c r="BH322" s="2">
        <v>8.4970330952544637E-2</v>
      </c>
      <c r="BI322" s="2">
        <v>8.4593878877262704E-2</v>
      </c>
      <c r="BJ322" s="2">
        <v>5.7447105462779965E-2</v>
      </c>
      <c r="BK322" s="2">
        <v>8.5153852345557474E-2</v>
      </c>
      <c r="BL322" s="2">
        <v>7.4158058913035174E-2</v>
      </c>
      <c r="BM322" s="2">
        <v>7.5718189192107169E-2</v>
      </c>
      <c r="BN322" s="2">
        <v>7.3955559365675619E-2</v>
      </c>
    </row>
    <row r="323" spans="1:66" x14ac:dyDescent="0.25">
      <c r="A323" s="8">
        <v>3498</v>
      </c>
      <c r="B323" s="8" t="s">
        <v>673</v>
      </c>
      <c r="C323" s="5">
        <v>100</v>
      </c>
      <c r="D323" s="5">
        <f>+$C323*BC323</f>
        <v>8.9181565948742243</v>
      </c>
      <c r="E323" s="5">
        <f>+$C323*BD323</f>
        <v>10.665277883445198</v>
      </c>
      <c r="F323" s="5">
        <f>+$C323*BE323</f>
        <v>9.4388490848547644</v>
      </c>
      <c r="G323" s="5">
        <f>+$C323*BF323</f>
        <v>7.149564986855049</v>
      </c>
      <c r="H323" s="5">
        <f>+$C323*BG323</f>
        <v>10.368571810536762</v>
      </c>
      <c r="I323" s="5">
        <f>+$C323*BH323</f>
        <v>8.4970330952544639</v>
      </c>
      <c r="J323" s="5">
        <f>+$C323*BI323</f>
        <v>8.4593878877262707</v>
      </c>
      <c r="K323" s="5">
        <f>+$C323*BJ323</f>
        <v>5.7447105462779966</v>
      </c>
      <c r="L323" s="5">
        <f>+$C323*BK323</f>
        <v>8.5153852345557475</v>
      </c>
      <c r="M323" s="5">
        <f>+$C323*BL323</f>
        <v>7.415805891303517</v>
      </c>
      <c r="N323" s="5">
        <f>+$C323*BM323</f>
        <v>7.5718189192107168</v>
      </c>
      <c r="O323" s="5">
        <f>+$C323*BN323</f>
        <v>7.395555936567562</v>
      </c>
      <c r="P323" s="5">
        <v>3000</v>
      </c>
      <c r="Q323" s="5">
        <f>+$P323*BC323</f>
        <v>267.54469784622671</v>
      </c>
      <c r="R323" s="5">
        <f>+$P323*BD323</f>
        <v>319.95833650335595</v>
      </c>
      <c r="S323" s="5">
        <f>+$P323*BE323</f>
        <v>283.1654725456429</v>
      </c>
      <c r="T323" s="5">
        <f>+$P323*BF323</f>
        <v>214.48694960565146</v>
      </c>
      <c r="U323" s="5">
        <f>+$P323*BG323</f>
        <v>311.05715431610287</v>
      </c>
      <c r="V323" s="5">
        <f>+$P323*BH323</f>
        <v>254.91099285763391</v>
      </c>
      <c r="W323" s="5">
        <f>+$P323*BI323</f>
        <v>253.7816366317881</v>
      </c>
      <c r="X323" s="5">
        <f>+$P323*BJ323</f>
        <v>172.34131638833989</v>
      </c>
      <c r="Y323" s="5">
        <f>+$P323*BK323</f>
        <v>255.46155703667242</v>
      </c>
      <c r="Z323" s="5">
        <f>+$P323*BL323</f>
        <v>222.47417673910553</v>
      </c>
      <c r="AA323" s="5">
        <f>+$P323*BM323</f>
        <v>227.15456757632151</v>
      </c>
      <c r="AB323" s="5">
        <f>+$P323*BN323</f>
        <v>221.86667809702686</v>
      </c>
      <c r="AC323" s="5">
        <v>0</v>
      </c>
      <c r="AD323" s="5">
        <f>+$AC323*BC323</f>
        <v>0</v>
      </c>
      <c r="AE323" s="5">
        <f>+$AC323*BD323</f>
        <v>0</v>
      </c>
      <c r="AF323" s="5">
        <f>+$AC323*BE323</f>
        <v>0</v>
      </c>
      <c r="AG323" s="5">
        <f>+$AC323*BF323</f>
        <v>0</v>
      </c>
      <c r="AH323" s="5">
        <f>+$AC323*BG323</f>
        <v>0</v>
      </c>
      <c r="AI323" s="5">
        <f>+$AC323*BH323</f>
        <v>0</v>
      </c>
      <c r="AJ323" s="5">
        <f>+$AC323*BI323</f>
        <v>0</v>
      </c>
      <c r="AK323" s="5">
        <f>+$AC323*BJ323</f>
        <v>0</v>
      </c>
      <c r="AL323" s="5">
        <f>+$AC323*BK323</f>
        <v>0</v>
      </c>
      <c r="AM323" s="5">
        <f>+$AC323*BL323</f>
        <v>0</v>
      </c>
      <c r="AN323" s="5">
        <f>+$AC323*BM323</f>
        <v>0</v>
      </c>
      <c r="AO323" s="5">
        <f>+$AC323*BN323</f>
        <v>0</v>
      </c>
      <c r="AP323" s="5">
        <f>+AC323+P323+C323</f>
        <v>3100</v>
      </c>
      <c r="AQ323" s="1">
        <v>200.89663816575319</v>
      </c>
      <c r="AR323" s="1">
        <v>240.25351529700495</v>
      </c>
      <c r="AS323" s="1">
        <v>212.62612167979782</v>
      </c>
      <c r="AT323" s="1">
        <v>161.05610558938764</v>
      </c>
      <c r="AU323" s="1">
        <v>233.56970660441851</v>
      </c>
      <c r="AV323" s="1">
        <v>191.41011542686874</v>
      </c>
      <c r="AW323" s="1">
        <v>190.56209313044337</v>
      </c>
      <c r="AX323" s="1">
        <v>129.40937106284053</v>
      </c>
      <c r="AY323" s="1">
        <v>191.82352856326696</v>
      </c>
      <c r="AZ323" s="1">
        <v>167.05363457162696</v>
      </c>
      <c r="BA323" s="1">
        <v>170.56809324738407</v>
      </c>
      <c r="BB323" s="1">
        <v>166.59746991627651</v>
      </c>
      <c r="BC323" s="2">
        <v>8.9181565948742242E-2</v>
      </c>
      <c r="BD323" s="2">
        <v>0.10665277883445198</v>
      </c>
      <c r="BE323" s="2">
        <v>9.438849084854764E-2</v>
      </c>
      <c r="BF323" s="2">
        <v>7.149564986855049E-2</v>
      </c>
      <c r="BG323" s="2">
        <v>0.10368571810536763</v>
      </c>
      <c r="BH323" s="2">
        <v>8.4970330952544637E-2</v>
      </c>
      <c r="BI323" s="2">
        <v>8.4593878877262704E-2</v>
      </c>
      <c r="BJ323" s="2">
        <v>5.7447105462779965E-2</v>
      </c>
      <c r="BK323" s="2">
        <v>8.5153852345557474E-2</v>
      </c>
      <c r="BL323" s="2">
        <v>7.4158058913035174E-2</v>
      </c>
      <c r="BM323" s="2">
        <v>7.5718189192107169E-2</v>
      </c>
      <c r="BN323" s="2">
        <v>7.3955559365675619E-2</v>
      </c>
    </row>
    <row r="324" spans="1:66" x14ac:dyDescent="0.25">
      <c r="A324" s="8">
        <v>2175</v>
      </c>
      <c r="B324" s="8" t="s">
        <v>672</v>
      </c>
      <c r="C324" s="5">
        <v>0</v>
      </c>
      <c r="D324" s="5">
        <f>+$C324*BC324</f>
        <v>0</v>
      </c>
      <c r="E324" s="5">
        <f>+$C324*BD324</f>
        <v>0</v>
      </c>
      <c r="F324" s="5">
        <f>+$C324*BE324</f>
        <v>0</v>
      </c>
      <c r="G324" s="5">
        <f>+$C324*BF324</f>
        <v>0</v>
      </c>
      <c r="H324" s="5">
        <f>+$C324*BG324</f>
        <v>0</v>
      </c>
      <c r="I324" s="5">
        <f>+$C324*BH324</f>
        <v>0</v>
      </c>
      <c r="J324" s="5">
        <f>+$C324*BI324</f>
        <v>0</v>
      </c>
      <c r="K324" s="5">
        <f>+$C324*BJ324</f>
        <v>0</v>
      </c>
      <c r="L324" s="5">
        <f>+$C324*BK324</f>
        <v>0</v>
      </c>
      <c r="M324" s="5">
        <f>+$C324*BL324</f>
        <v>0</v>
      </c>
      <c r="N324" s="5">
        <f>+$C324*BM324</f>
        <v>0</v>
      </c>
      <c r="O324" s="5">
        <f>+$C324*BN324</f>
        <v>0</v>
      </c>
      <c r="P324" s="5">
        <v>0</v>
      </c>
      <c r="Q324" s="5">
        <f>+$P324*BC324</f>
        <v>0</v>
      </c>
      <c r="R324" s="5">
        <f>+$P324*BD324</f>
        <v>0</v>
      </c>
      <c r="S324" s="5">
        <f>+$P324*BE324</f>
        <v>0</v>
      </c>
      <c r="T324" s="5">
        <f>+$P324*BF324</f>
        <v>0</v>
      </c>
      <c r="U324" s="5">
        <f>+$P324*BG324</f>
        <v>0</v>
      </c>
      <c r="V324" s="5">
        <f>+$P324*BH324</f>
        <v>0</v>
      </c>
      <c r="W324" s="5">
        <f>+$P324*BI324</f>
        <v>0</v>
      </c>
      <c r="X324" s="5">
        <f>+$P324*BJ324</f>
        <v>0</v>
      </c>
      <c r="Y324" s="5">
        <f>+$P324*BK324</f>
        <v>0</v>
      </c>
      <c r="Z324" s="5">
        <f>+$P324*BL324</f>
        <v>0</v>
      </c>
      <c r="AA324" s="5">
        <f>+$P324*BM324</f>
        <v>0</v>
      </c>
      <c r="AB324" s="5">
        <f>+$P324*BN324</f>
        <v>0</v>
      </c>
      <c r="AC324" s="5">
        <v>0</v>
      </c>
      <c r="AD324" s="5">
        <f>+$AC324*BC324</f>
        <v>0</v>
      </c>
      <c r="AE324" s="5">
        <f>+$AC324*BD324</f>
        <v>0</v>
      </c>
      <c r="AF324" s="5">
        <f>+$AC324*BE324</f>
        <v>0</v>
      </c>
      <c r="AG324" s="5">
        <f>+$AC324*BF324</f>
        <v>0</v>
      </c>
      <c r="AH324" s="5">
        <f>+$AC324*BG324</f>
        <v>0</v>
      </c>
      <c r="AI324" s="5">
        <f>+$AC324*BH324</f>
        <v>0</v>
      </c>
      <c r="AJ324" s="5">
        <f>+$AC324*BI324</f>
        <v>0</v>
      </c>
      <c r="AK324" s="5">
        <f>+$AC324*BJ324</f>
        <v>0</v>
      </c>
      <c r="AL324" s="5">
        <f>+$AC324*BK324</f>
        <v>0</v>
      </c>
      <c r="AM324" s="5">
        <f>+$AC324*BL324</f>
        <v>0</v>
      </c>
      <c r="AN324" s="5">
        <f>+$AC324*BM324</f>
        <v>0</v>
      </c>
      <c r="AO324" s="5">
        <f>+$AC324*BN324</f>
        <v>0</v>
      </c>
      <c r="AP324" s="5">
        <f>+AC324+P324+C324</f>
        <v>0</v>
      </c>
      <c r="AQ324" s="1">
        <v>203.65413218488831</v>
      </c>
      <c r="AR324" s="1">
        <v>243.55121921856622</v>
      </c>
      <c r="AS324" s="1">
        <v>215.54461381683493</v>
      </c>
      <c r="AT324" s="1">
        <v>163.26675108332321</v>
      </c>
      <c r="AU324" s="1">
        <v>236.77566900823646</v>
      </c>
      <c r="AV324" s="1">
        <v>194.03739805992143</v>
      </c>
      <c r="AW324" s="1">
        <v>193.17773586532834</v>
      </c>
      <c r="AX324" s="1">
        <v>131.18563556374971</v>
      </c>
      <c r="AY324" s="1">
        <v>194.45648567779159</v>
      </c>
      <c r="AZ324" s="1">
        <v>169.34660175321801</v>
      </c>
      <c r="BA324" s="1">
        <v>172.90929965720403</v>
      </c>
      <c r="BB324" s="1">
        <v>168.8841758118632</v>
      </c>
      <c r="BC324" s="2">
        <v>8.9181565948742242E-2</v>
      </c>
      <c r="BD324" s="2">
        <v>0.10665277883445198</v>
      </c>
      <c r="BE324" s="2">
        <v>9.438849084854764E-2</v>
      </c>
      <c r="BF324" s="2">
        <v>7.149564986855049E-2</v>
      </c>
      <c r="BG324" s="2">
        <v>0.10368571810536763</v>
      </c>
      <c r="BH324" s="2">
        <v>8.4970330952544637E-2</v>
      </c>
      <c r="BI324" s="2">
        <v>8.4593878877262704E-2</v>
      </c>
      <c r="BJ324" s="2">
        <v>5.7447105462779965E-2</v>
      </c>
      <c r="BK324" s="2">
        <v>8.5153852345557474E-2</v>
      </c>
      <c r="BL324" s="2">
        <v>7.4158058913035174E-2</v>
      </c>
      <c r="BM324" s="2">
        <v>7.5718189192107169E-2</v>
      </c>
      <c r="BN324" s="2">
        <v>7.3955559365675619E-2</v>
      </c>
    </row>
    <row r="325" spans="1:66" x14ac:dyDescent="0.25">
      <c r="A325" s="8">
        <v>2286</v>
      </c>
      <c r="B325" s="8" t="s">
        <v>671</v>
      </c>
      <c r="C325" s="5">
        <v>2000</v>
      </c>
      <c r="D325" s="5">
        <f>+$C325*BC325</f>
        <v>178.36313189748449</v>
      </c>
      <c r="E325" s="5">
        <f>+$C325*BD325</f>
        <v>213.30555766890396</v>
      </c>
      <c r="F325" s="5">
        <f>+$C325*BE325</f>
        <v>188.77698169709529</v>
      </c>
      <c r="G325" s="5">
        <f>+$C325*BF325</f>
        <v>142.99129973710097</v>
      </c>
      <c r="H325" s="5">
        <f>+$C325*BG325</f>
        <v>207.37143621073525</v>
      </c>
      <c r="I325" s="5">
        <f>+$C325*BH325</f>
        <v>169.94066190508929</v>
      </c>
      <c r="J325" s="5">
        <f>+$C325*BI325</f>
        <v>169.18775775452542</v>
      </c>
      <c r="K325" s="5">
        <f>+$C325*BJ325</f>
        <v>114.89421092555993</v>
      </c>
      <c r="L325" s="5">
        <f>+$C325*BK325</f>
        <v>170.30770469111494</v>
      </c>
      <c r="M325" s="5">
        <f>+$C325*BL325</f>
        <v>148.31611782607035</v>
      </c>
      <c r="N325" s="5">
        <f>+$C325*BM325</f>
        <v>151.43637838421435</v>
      </c>
      <c r="O325" s="5">
        <f>+$C325*BN325</f>
        <v>147.91111873135125</v>
      </c>
      <c r="P325" s="5">
        <v>0</v>
      </c>
      <c r="Q325" s="5">
        <f>+$P325*BC325</f>
        <v>0</v>
      </c>
      <c r="R325" s="5">
        <f>+$P325*BD325</f>
        <v>0</v>
      </c>
      <c r="S325" s="5">
        <f>+$P325*BE325</f>
        <v>0</v>
      </c>
      <c r="T325" s="5">
        <f>+$P325*BF325</f>
        <v>0</v>
      </c>
      <c r="U325" s="5">
        <f>+$P325*BG325</f>
        <v>0</v>
      </c>
      <c r="V325" s="5">
        <f>+$P325*BH325</f>
        <v>0</v>
      </c>
      <c r="W325" s="5">
        <f>+$P325*BI325</f>
        <v>0</v>
      </c>
      <c r="X325" s="5">
        <f>+$P325*BJ325</f>
        <v>0</v>
      </c>
      <c r="Y325" s="5">
        <f>+$P325*BK325</f>
        <v>0</v>
      </c>
      <c r="Z325" s="5">
        <f>+$P325*BL325</f>
        <v>0</v>
      </c>
      <c r="AA325" s="5">
        <f>+$P325*BM325</f>
        <v>0</v>
      </c>
      <c r="AB325" s="5">
        <f>+$P325*BN325</f>
        <v>0</v>
      </c>
      <c r="AC325" s="5">
        <v>0</v>
      </c>
      <c r="AD325" s="5">
        <f>+$AC325*BC325</f>
        <v>0</v>
      </c>
      <c r="AE325" s="5">
        <f>+$AC325*BD325</f>
        <v>0</v>
      </c>
      <c r="AF325" s="5">
        <f>+$AC325*BE325</f>
        <v>0</v>
      </c>
      <c r="AG325" s="5">
        <f>+$AC325*BF325</f>
        <v>0</v>
      </c>
      <c r="AH325" s="5">
        <f>+$AC325*BG325</f>
        <v>0</v>
      </c>
      <c r="AI325" s="5">
        <f>+$AC325*BH325</f>
        <v>0</v>
      </c>
      <c r="AJ325" s="5">
        <f>+$AC325*BI325</f>
        <v>0</v>
      </c>
      <c r="AK325" s="5">
        <f>+$AC325*BJ325</f>
        <v>0</v>
      </c>
      <c r="AL325" s="5">
        <f>+$AC325*BK325</f>
        <v>0</v>
      </c>
      <c r="AM325" s="5">
        <f>+$AC325*BL325</f>
        <v>0</v>
      </c>
      <c r="AN325" s="5">
        <f>+$AC325*BM325</f>
        <v>0</v>
      </c>
      <c r="AO325" s="5">
        <f>+$AC325*BN325</f>
        <v>0</v>
      </c>
      <c r="AP325" s="5">
        <f>+AC325+P325+C325</f>
        <v>2000</v>
      </c>
      <c r="AQ325" s="1">
        <v>178.36313189748449</v>
      </c>
      <c r="AR325" s="1">
        <v>213.30555766890396</v>
      </c>
      <c r="AS325" s="1">
        <v>188.77698169709529</v>
      </c>
      <c r="AT325" s="1">
        <v>142.99129973710097</v>
      </c>
      <c r="AU325" s="1">
        <v>207.37143621073525</v>
      </c>
      <c r="AV325" s="1">
        <v>169.94066190508929</v>
      </c>
      <c r="AW325" s="1">
        <v>169.18775775452542</v>
      </c>
      <c r="AX325" s="1">
        <v>114.89421092555993</v>
      </c>
      <c r="AY325" s="1">
        <v>170.30770469111494</v>
      </c>
      <c r="AZ325" s="1">
        <v>148.31611782607035</v>
      </c>
      <c r="BA325" s="1">
        <v>151.43637838421435</v>
      </c>
      <c r="BB325" s="1">
        <v>147.91111873135125</v>
      </c>
      <c r="BC325" s="2">
        <v>8.9181565948742242E-2</v>
      </c>
      <c r="BD325" s="2">
        <v>0.10665277883445198</v>
      </c>
      <c r="BE325" s="2">
        <v>9.438849084854764E-2</v>
      </c>
      <c r="BF325" s="2">
        <v>7.149564986855049E-2</v>
      </c>
      <c r="BG325" s="2">
        <v>0.10368571810536763</v>
      </c>
      <c r="BH325" s="2">
        <v>8.4970330952544637E-2</v>
      </c>
      <c r="BI325" s="2">
        <v>8.4593878877262704E-2</v>
      </c>
      <c r="BJ325" s="2">
        <v>5.7447105462779965E-2</v>
      </c>
      <c r="BK325" s="2">
        <v>8.5153852345557474E-2</v>
      </c>
      <c r="BL325" s="2">
        <v>7.4158058913035174E-2</v>
      </c>
      <c r="BM325" s="2">
        <v>7.5718189192107169E-2</v>
      </c>
      <c r="BN325" s="2">
        <v>7.3955559365675619E-2</v>
      </c>
    </row>
    <row r="326" spans="1:66" x14ac:dyDescent="0.25">
      <c r="A326" s="8">
        <v>2357</v>
      </c>
      <c r="B326" s="8" t="s">
        <v>670</v>
      </c>
      <c r="C326" s="5">
        <v>0</v>
      </c>
      <c r="D326" s="5">
        <f>+$C326*BC326</f>
        <v>0</v>
      </c>
      <c r="E326" s="5">
        <f>+$C326*BD326</f>
        <v>0</v>
      </c>
      <c r="F326" s="5">
        <f>+$C326*BE326</f>
        <v>0</v>
      </c>
      <c r="G326" s="5">
        <f>+$C326*BF326</f>
        <v>0</v>
      </c>
      <c r="H326" s="5">
        <f>+$C326*BG326</f>
        <v>0</v>
      </c>
      <c r="I326" s="5">
        <f>+$C326*BH326</f>
        <v>0</v>
      </c>
      <c r="J326" s="5">
        <f>+$C326*BI326</f>
        <v>0</v>
      </c>
      <c r="K326" s="5">
        <f>+$C326*BJ326</f>
        <v>0</v>
      </c>
      <c r="L326" s="5">
        <f>+$C326*BK326</f>
        <v>0</v>
      </c>
      <c r="M326" s="5">
        <f>+$C326*BL326</f>
        <v>0</v>
      </c>
      <c r="N326" s="5">
        <f>+$C326*BM326</f>
        <v>0</v>
      </c>
      <c r="O326" s="5">
        <f>+$C326*BN326</f>
        <v>0</v>
      </c>
      <c r="P326" s="5">
        <v>0</v>
      </c>
      <c r="Q326" s="5">
        <f>+$P326*BC326</f>
        <v>0</v>
      </c>
      <c r="R326" s="5">
        <f>+$P326*BD326</f>
        <v>0</v>
      </c>
      <c r="S326" s="5">
        <f>+$P326*BE326</f>
        <v>0</v>
      </c>
      <c r="T326" s="5">
        <f>+$P326*BF326</f>
        <v>0</v>
      </c>
      <c r="U326" s="5">
        <f>+$P326*BG326</f>
        <v>0</v>
      </c>
      <c r="V326" s="5">
        <f>+$P326*BH326</f>
        <v>0</v>
      </c>
      <c r="W326" s="5">
        <f>+$P326*BI326</f>
        <v>0</v>
      </c>
      <c r="X326" s="5">
        <f>+$P326*BJ326</f>
        <v>0</v>
      </c>
      <c r="Y326" s="5">
        <f>+$P326*BK326</f>
        <v>0</v>
      </c>
      <c r="Z326" s="5">
        <f>+$P326*BL326</f>
        <v>0</v>
      </c>
      <c r="AA326" s="5">
        <f>+$P326*BM326</f>
        <v>0</v>
      </c>
      <c r="AB326" s="5">
        <f>+$P326*BN326</f>
        <v>0</v>
      </c>
      <c r="AC326" s="5">
        <v>0</v>
      </c>
      <c r="AD326" s="5">
        <f>+$AC326*BC326</f>
        <v>0</v>
      </c>
      <c r="AE326" s="5">
        <f>+$AC326*BD326</f>
        <v>0</v>
      </c>
      <c r="AF326" s="5">
        <f>+$AC326*BE326</f>
        <v>0</v>
      </c>
      <c r="AG326" s="5">
        <f>+$AC326*BF326</f>
        <v>0</v>
      </c>
      <c r="AH326" s="5">
        <f>+$AC326*BG326</f>
        <v>0</v>
      </c>
      <c r="AI326" s="5">
        <f>+$AC326*BH326</f>
        <v>0</v>
      </c>
      <c r="AJ326" s="5">
        <f>+$AC326*BI326</f>
        <v>0</v>
      </c>
      <c r="AK326" s="5">
        <f>+$AC326*BJ326</f>
        <v>0</v>
      </c>
      <c r="AL326" s="5">
        <f>+$AC326*BK326</f>
        <v>0</v>
      </c>
      <c r="AM326" s="5">
        <f>+$AC326*BL326</f>
        <v>0</v>
      </c>
      <c r="AN326" s="5">
        <f>+$AC326*BM326</f>
        <v>0</v>
      </c>
      <c r="AO326" s="5">
        <f>+$AC326*BN326</f>
        <v>0</v>
      </c>
      <c r="AP326" s="5">
        <f>+AC326+P326+C326</f>
        <v>0</v>
      </c>
      <c r="AQ326" s="1">
        <v>178.36313189748449</v>
      </c>
      <c r="AR326" s="1">
        <v>213.30555766890396</v>
      </c>
      <c r="AS326" s="1">
        <v>188.77698169709529</v>
      </c>
      <c r="AT326" s="1">
        <v>142.99129973710097</v>
      </c>
      <c r="AU326" s="1">
        <v>207.37143621073525</v>
      </c>
      <c r="AV326" s="1">
        <v>169.94066190508929</v>
      </c>
      <c r="AW326" s="1">
        <v>169.18775775452542</v>
      </c>
      <c r="AX326" s="1">
        <v>114.89421092555993</v>
      </c>
      <c r="AY326" s="1">
        <v>170.30770469111494</v>
      </c>
      <c r="AZ326" s="1">
        <v>148.31611782607035</v>
      </c>
      <c r="BA326" s="1">
        <v>151.43637838421435</v>
      </c>
      <c r="BB326" s="1">
        <v>147.91111873135125</v>
      </c>
      <c r="BC326" s="2">
        <v>8.9181565948742242E-2</v>
      </c>
      <c r="BD326" s="2">
        <v>0.10665277883445198</v>
      </c>
      <c r="BE326" s="2">
        <v>9.438849084854764E-2</v>
      </c>
      <c r="BF326" s="2">
        <v>7.149564986855049E-2</v>
      </c>
      <c r="BG326" s="2">
        <v>0.10368571810536763</v>
      </c>
      <c r="BH326" s="2">
        <v>8.4970330952544637E-2</v>
      </c>
      <c r="BI326" s="2">
        <v>8.4593878877262704E-2</v>
      </c>
      <c r="BJ326" s="2">
        <v>5.7447105462779965E-2</v>
      </c>
      <c r="BK326" s="2">
        <v>8.5153852345557474E-2</v>
      </c>
      <c r="BL326" s="2">
        <v>7.4158058913035174E-2</v>
      </c>
      <c r="BM326" s="2">
        <v>7.5718189192107169E-2</v>
      </c>
      <c r="BN326" s="2">
        <v>7.3955559365675619E-2</v>
      </c>
    </row>
    <row r="327" spans="1:66" x14ac:dyDescent="0.25">
      <c r="A327" s="8">
        <v>2477</v>
      </c>
      <c r="B327" s="8" t="s">
        <v>669</v>
      </c>
      <c r="C327" s="5">
        <v>0</v>
      </c>
      <c r="D327" s="5">
        <f>+$C327*BC327</f>
        <v>0</v>
      </c>
      <c r="E327" s="5">
        <f>+$C327*BD327</f>
        <v>0</v>
      </c>
      <c r="F327" s="5">
        <f>+$C327*BE327</f>
        <v>0</v>
      </c>
      <c r="G327" s="5">
        <f>+$C327*BF327</f>
        <v>0</v>
      </c>
      <c r="H327" s="5">
        <f>+$C327*BG327</f>
        <v>0</v>
      </c>
      <c r="I327" s="5">
        <f>+$C327*BH327</f>
        <v>0</v>
      </c>
      <c r="J327" s="5">
        <f>+$C327*BI327</f>
        <v>0</v>
      </c>
      <c r="K327" s="5">
        <f>+$C327*BJ327</f>
        <v>0</v>
      </c>
      <c r="L327" s="5">
        <f>+$C327*BK327</f>
        <v>0</v>
      </c>
      <c r="M327" s="5">
        <f>+$C327*BL327</f>
        <v>0</v>
      </c>
      <c r="N327" s="5">
        <f>+$C327*BM327</f>
        <v>0</v>
      </c>
      <c r="O327" s="5">
        <f>+$C327*BN327</f>
        <v>0</v>
      </c>
      <c r="P327" s="5">
        <v>5000</v>
      </c>
      <c r="Q327" s="5">
        <f>+$P327*BC327</f>
        <v>445.9078297437112</v>
      </c>
      <c r="R327" s="5">
        <f>+$P327*BD327</f>
        <v>533.26389417225994</v>
      </c>
      <c r="S327" s="5">
        <f>+$P327*BE327</f>
        <v>471.94245424273822</v>
      </c>
      <c r="T327" s="5">
        <f>+$P327*BF327</f>
        <v>357.47824934275246</v>
      </c>
      <c r="U327" s="5">
        <f>+$P327*BG327</f>
        <v>518.42859052683809</v>
      </c>
      <c r="V327" s="5">
        <f>+$P327*BH327</f>
        <v>424.85165476272317</v>
      </c>
      <c r="W327" s="5">
        <f>+$P327*BI327</f>
        <v>422.96939438631352</v>
      </c>
      <c r="X327" s="5">
        <f>+$P327*BJ327</f>
        <v>287.23552731389981</v>
      </c>
      <c r="Y327" s="5">
        <f>+$P327*BK327</f>
        <v>425.76926172778735</v>
      </c>
      <c r="Z327" s="5">
        <f>+$P327*BL327</f>
        <v>370.79029456517588</v>
      </c>
      <c r="AA327" s="5">
        <f>+$P327*BM327</f>
        <v>378.59094596053586</v>
      </c>
      <c r="AB327" s="5">
        <f>+$P327*BN327</f>
        <v>369.77779682837809</v>
      </c>
      <c r="AC327" s="5">
        <v>0</v>
      </c>
      <c r="AD327" s="5">
        <f>+$AC327*BC327</f>
        <v>0</v>
      </c>
      <c r="AE327" s="5">
        <f>+$AC327*BD327</f>
        <v>0</v>
      </c>
      <c r="AF327" s="5">
        <f>+$AC327*BE327</f>
        <v>0</v>
      </c>
      <c r="AG327" s="5">
        <f>+$AC327*BF327</f>
        <v>0</v>
      </c>
      <c r="AH327" s="5">
        <f>+$AC327*BG327</f>
        <v>0</v>
      </c>
      <c r="AI327" s="5">
        <f>+$AC327*BH327</f>
        <v>0</v>
      </c>
      <c r="AJ327" s="5">
        <f>+$AC327*BI327</f>
        <v>0</v>
      </c>
      <c r="AK327" s="5">
        <f>+$AC327*BJ327</f>
        <v>0</v>
      </c>
      <c r="AL327" s="5">
        <f>+$AC327*BK327</f>
        <v>0</v>
      </c>
      <c r="AM327" s="5">
        <f>+$AC327*BL327</f>
        <v>0</v>
      </c>
      <c r="AN327" s="5">
        <f>+$AC327*BM327</f>
        <v>0</v>
      </c>
      <c r="AO327" s="5">
        <f>+$AC327*BN327</f>
        <v>0</v>
      </c>
      <c r="AP327" s="5">
        <f>+AC327+P327+C327</f>
        <v>5000</v>
      </c>
      <c r="AQ327" s="1">
        <v>178.36313189748449</v>
      </c>
      <c r="AR327" s="1">
        <v>213.30555766890396</v>
      </c>
      <c r="AS327" s="1">
        <v>188.77698169709529</v>
      </c>
      <c r="AT327" s="1">
        <v>142.99129973710097</v>
      </c>
      <c r="AU327" s="1">
        <v>207.37143621073525</v>
      </c>
      <c r="AV327" s="1">
        <v>169.94066190508929</v>
      </c>
      <c r="AW327" s="1">
        <v>169.18775775452542</v>
      </c>
      <c r="AX327" s="1">
        <v>114.89421092555993</v>
      </c>
      <c r="AY327" s="1">
        <v>170.30770469111494</v>
      </c>
      <c r="AZ327" s="1">
        <v>148.31611782607035</v>
      </c>
      <c r="BA327" s="1">
        <v>151.43637838421435</v>
      </c>
      <c r="BB327" s="1">
        <v>147.91111873135125</v>
      </c>
      <c r="BC327" s="2">
        <v>8.9181565948742242E-2</v>
      </c>
      <c r="BD327" s="2">
        <v>0.10665277883445198</v>
      </c>
      <c r="BE327" s="2">
        <v>9.438849084854764E-2</v>
      </c>
      <c r="BF327" s="2">
        <v>7.149564986855049E-2</v>
      </c>
      <c r="BG327" s="2">
        <v>0.10368571810536763</v>
      </c>
      <c r="BH327" s="2">
        <v>8.4970330952544637E-2</v>
      </c>
      <c r="BI327" s="2">
        <v>8.4593878877262704E-2</v>
      </c>
      <c r="BJ327" s="2">
        <v>5.7447105462779965E-2</v>
      </c>
      <c r="BK327" s="2">
        <v>8.5153852345557474E-2</v>
      </c>
      <c r="BL327" s="2">
        <v>7.4158058913035174E-2</v>
      </c>
      <c r="BM327" s="2">
        <v>7.5718189192107169E-2</v>
      </c>
      <c r="BN327" s="2">
        <v>7.3955559365675619E-2</v>
      </c>
    </row>
    <row r="328" spans="1:66" x14ac:dyDescent="0.25">
      <c r="A328" s="8">
        <v>2816</v>
      </c>
      <c r="B328" s="8" t="s">
        <v>668</v>
      </c>
      <c r="C328" s="5">
        <v>0</v>
      </c>
      <c r="D328" s="5">
        <f>+$C328*BC328</f>
        <v>0</v>
      </c>
      <c r="E328" s="5">
        <f>+$C328*BD328</f>
        <v>0</v>
      </c>
      <c r="F328" s="5">
        <f>+$C328*BE328</f>
        <v>0</v>
      </c>
      <c r="G328" s="5">
        <f>+$C328*BF328</f>
        <v>0</v>
      </c>
      <c r="H328" s="5">
        <f>+$C328*BG328</f>
        <v>0</v>
      </c>
      <c r="I328" s="5">
        <f>+$C328*BH328</f>
        <v>0</v>
      </c>
      <c r="J328" s="5">
        <f>+$C328*BI328</f>
        <v>0</v>
      </c>
      <c r="K328" s="5">
        <f>+$C328*BJ328</f>
        <v>0</v>
      </c>
      <c r="L328" s="5">
        <f>+$C328*BK328</f>
        <v>0</v>
      </c>
      <c r="M328" s="5">
        <f>+$C328*BL328</f>
        <v>0</v>
      </c>
      <c r="N328" s="5">
        <f>+$C328*BM328</f>
        <v>0</v>
      </c>
      <c r="O328" s="5">
        <f>+$C328*BN328</f>
        <v>0</v>
      </c>
      <c r="P328" s="5">
        <v>0</v>
      </c>
      <c r="Q328" s="5">
        <f>+$P328*BC328</f>
        <v>0</v>
      </c>
      <c r="R328" s="5">
        <f>+$P328*BD328</f>
        <v>0</v>
      </c>
      <c r="S328" s="5">
        <f>+$P328*BE328</f>
        <v>0</v>
      </c>
      <c r="T328" s="5">
        <f>+$P328*BF328</f>
        <v>0</v>
      </c>
      <c r="U328" s="5">
        <f>+$P328*BG328</f>
        <v>0</v>
      </c>
      <c r="V328" s="5">
        <f>+$P328*BH328</f>
        <v>0</v>
      </c>
      <c r="W328" s="5">
        <f>+$P328*BI328</f>
        <v>0</v>
      </c>
      <c r="X328" s="5">
        <f>+$P328*BJ328</f>
        <v>0</v>
      </c>
      <c r="Y328" s="5">
        <f>+$P328*BK328</f>
        <v>0</v>
      </c>
      <c r="Z328" s="5">
        <f>+$P328*BL328</f>
        <v>0</v>
      </c>
      <c r="AA328" s="5">
        <f>+$P328*BM328</f>
        <v>0</v>
      </c>
      <c r="AB328" s="5">
        <f>+$P328*BN328</f>
        <v>0</v>
      </c>
      <c r="AC328" s="5">
        <v>0</v>
      </c>
      <c r="AD328" s="5">
        <f>+$AC328*BC328</f>
        <v>0</v>
      </c>
      <c r="AE328" s="5">
        <f>+$AC328*BD328</f>
        <v>0</v>
      </c>
      <c r="AF328" s="5">
        <f>+$AC328*BE328</f>
        <v>0</v>
      </c>
      <c r="AG328" s="5">
        <f>+$AC328*BF328</f>
        <v>0</v>
      </c>
      <c r="AH328" s="5">
        <f>+$AC328*BG328</f>
        <v>0</v>
      </c>
      <c r="AI328" s="5">
        <f>+$AC328*BH328</f>
        <v>0</v>
      </c>
      <c r="AJ328" s="5">
        <f>+$AC328*BI328</f>
        <v>0</v>
      </c>
      <c r="AK328" s="5">
        <f>+$AC328*BJ328</f>
        <v>0</v>
      </c>
      <c r="AL328" s="5">
        <f>+$AC328*BK328</f>
        <v>0</v>
      </c>
      <c r="AM328" s="5">
        <f>+$AC328*BL328</f>
        <v>0</v>
      </c>
      <c r="AN328" s="5">
        <f>+$AC328*BM328</f>
        <v>0</v>
      </c>
      <c r="AO328" s="5">
        <f>+$AC328*BN328</f>
        <v>0</v>
      </c>
      <c r="AP328" s="5">
        <f>+AC328+P328+C328</f>
        <v>0</v>
      </c>
      <c r="AQ328" s="1">
        <v>178.36313189748449</v>
      </c>
      <c r="AR328" s="1">
        <v>213.30555766890396</v>
      </c>
      <c r="AS328" s="1">
        <v>188.77698169709529</v>
      </c>
      <c r="AT328" s="1">
        <v>142.99129973710097</v>
      </c>
      <c r="AU328" s="1">
        <v>207.37143621073525</v>
      </c>
      <c r="AV328" s="1">
        <v>169.94066190508929</v>
      </c>
      <c r="AW328" s="1">
        <v>169.18775775452542</v>
      </c>
      <c r="AX328" s="1">
        <v>114.89421092555993</v>
      </c>
      <c r="AY328" s="1">
        <v>170.30770469111494</v>
      </c>
      <c r="AZ328" s="1">
        <v>148.31611782607035</v>
      </c>
      <c r="BA328" s="1">
        <v>151.43637838421435</v>
      </c>
      <c r="BB328" s="1">
        <v>147.91111873135125</v>
      </c>
      <c r="BC328" s="2">
        <v>8.9181565948742242E-2</v>
      </c>
      <c r="BD328" s="2">
        <v>0.10665277883445198</v>
      </c>
      <c r="BE328" s="2">
        <v>9.438849084854764E-2</v>
      </c>
      <c r="BF328" s="2">
        <v>7.149564986855049E-2</v>
      </c>
      <c r="BG328" s="2">
        <v>0.10368571810536763</v>
      </c>
      <c r="BH328" s="2">
        <v>8.4970330952544637E-2</v>
      </c>
      <c r="BI328" s="2">
        <v>8.4593878877262704E-2</v>
      </c>
      <c r="BJ328" s="2">
        <v>5.7447105462779965E-2</v>
      </c>
      <c r="BK328" s="2">
        <v>8.5153852345557474E-2</v>
      </c>
      <c r="BL328" s="2">
        <v>7.4158058913035174E-2</v>
      </c>
      <c r="BM328" s="2">
        <v>7.5718189192107169E-2</v>
      </c>
      <c r="BN328" s="2">
        <v>7.3955559365675619E-2</v>
      </c>
    </row>
    <row r="329" spans="1:66" x14ac:dyDescent="0.25">
      <c r="A329" s="8">
        <v>3275</v>
      </c>
      <c r="B329" s="8" t="s">
        <v>667</v>
      </c>
      <c r="C329" s="5">
        <v>30000</v>
      </c>
      <c r="D329" s="5">
        <f>+$C329*BC329</f>
        <v>2675.4469784622675</v>
      </c>
      <c r="E329" s="5">
        <f>+$C329*BD329</f>
        <v>3199.5833650335594</v>
      </c>
      <c r="F329" s="5">
        <f>+$C329*BE329</f>
        <v>2831.6547254564293</v>
      </c>
      <c r="G329" s="5">
        <f>+$C329*BF329</f>
        <v>2144.8694960565149</v>
      </c>
      <c r="H329" s="5">
        <f>+$C329*BG329</f>
        <v>3110.5715431610288</v>
      </c>
      <c r="I329" s="5">
        <f>+$C329*BH329</f>
        <v>2549.1099285763389</v>
      </c>
      <c r="J329" s="5">
        <f>+$C329*BI329</f>
        <v>2537.8163663178811</v>
      </c>
      <c r="K329" s="5">
        <f>+$C329*BJ329</f>
        <v>1723.413163883399</v>
      </c>
      <c r="L329" s="5">
        <f>+$C329*BK329</f>
        <v>2554.6155703667241</v>
      </c>
      <c r="M329" s="5">
        <f>+$C329*BL329</f>
        <v>2224.7417673910554</v>
      </c>
      <c r="N329" s="5">
        <f>+$C329*BM329</f>
        <v>2271.5456757632151</v>
      </c>
      <c r="O329" s="5">
        <f>+$C329*BN329</f>
        <v>2218.6667809702685</v>
      </c>
      <c r="P329" s="5">
        <v>0</v>
      </c>
      <c r="Q329" s="5">
        <f>+$P329*BC329</f>
        <v>0</v>
      </c>
      <c r="R329" s="5">
        <f>+$P329*BD329</f>
        <v>0</v>
      </c>
      <c r="S329" s="5">
        <f>+$P329*BE329</f>
        <v>0</v>
      </c>
      <c r="T329" s="5">
        <f>+$P329*BF329</f>
        <v>0</v>
      </c>
      <c r="U329" s="5">
        <f>+$P329*BG329</f>
        <v>0</v>
      </c>
      <c r="V329" s="5">
        <f>+$P329*BH329</f>
        <v>0</v>
      </c>
      <c r="W329" s="5">
        <f>+$P329*BI329</f>
        <v>0</v>
      </c>
      <c r="X329" s="5">
        <f>+$P329*BJ329</f>
        <v>0</v>
      </c>
      <c r="Y329" s="5">
        <f>+$P329*BK329</f>
        <v>0</v>
      </c>
      <c r="Z329" s="5">
        <f>+$P329*BL329</f>
        <v>0</v>
      </c>
      <c r="AA329" s="5">
        <f>+$P329*BM329</f>
        <v>0</v>
      </c>
      <c r="AB329" s="5">
        <f>+$P329*BN329</f>
        <v>0</v>
      </c>
      <c r="AC329" s="5">
        <v>0</v>
      </c>
      <c r="AD329" s="5">
        <f>+$AC329*BC329</f>
        <v>0</v>
      </c>
      <c r="AE329" s="5">
        <f>+$AC329*BD329</f>
        <v>0</v>
      </c>
      <c r="AF329" s="5">
        <f>+$AC329*BE329</f>
        <v>0</v>
      </c>
      <c r="AG329" s="5">
        <f>+$AC329*BF329</f>
        <v>0</v>
      </c>
      <c r="AH329" s="5">
        <f>+$AC329*BG329</f>
        <v>0</v>
      </c>
      <c r="AI329" s="5">
        <f>+$AC329*BH329</f>
        <v>0</v>
      </c>
      <c r="AJ329" s="5">
        <f>+$AC329*BI329</f>
        <v>0</v>
      </c>
      <c r="AK329" s="5">
        <f>+$AC329*BJ329</f>
        <v>0</v>
      </c>
      <c r="AL329" s="5">
        <f>+$AC329*BK329</f>
        <v>0</v>
      </c>
      <c r="AM329" s="5">
        <f>+$AC329*BL329</f>
        <v>0</v>
      </c>
      <c r="AN329" s="5">
        <f>+$AC329*BM329</f>
        <v>0</v>
      </c>
      <c r="AO329" s="5">
        <f>+$AC329*BN329</f>
        <v>0</v>
      </c>
      <c r="AP329" s="5">
        <f>+AC329+P329+C329</f>
        <v>30000</v>
      </c>
      <c r="AQ329" s="1">
        <v>178.36313189748449</v>
      </c>
      <c r="AR329" s="1">
        <v>213.30555766890396</v>
      </c>
      <c r="AS329" s="1">
        <v>188.77698169709529</v>
      </c>
      <c r="AT329" s="1">
        <v>142.99129973710097</v>
      </c>
      <c r="AU329" s="1">
        <v>207.37143621073525</v>
      </c>
      <c r="AV329" s="1">
        <v>169.94066190508929</v>
      </c>
      <c r="AW329" s="1">
        <v>169.18775775452542</v>
      </c>
      <c r="AX329" s="1">
        <v>114.89421092555993</v>
      </c>
      <c r="AY329" s="1">
        <v>170.30770469111494</v>
      </c>
      <c r="AZ329" s="1">
        <v>148.31611782607035</v>
      </c>
      <c r="BA329" s="1">
        <v>151.43637838421435</v>
      </c>
      <c r="BB329" s="1">
        <v>147.91111873135125</v>
      </c>
      <c r="BC329" s="2">
        <v>8.9181565948742242E-2</v>
      </c>
      <c r="BD329" s="2">
        <v>0.10665277883445198</v>
      </c>
      <c r="BE329" s="2">
        <v>9.438849084854764E-2</v>
      </c>
      <c r="BF329" s="2">
        <v>7.149564986855049E-2</v>
      </c>
      <c r="BG329" s="2">
        <v>0.10368571810536763</v>
      </c>
      <c r="BH329" s="2">
        <v>8.4970330952544637E-2</v>
      </c>
      <c r="BI329" s="2">
        <v>8.4593878877262704E-2</v>
      </c>
      <c r="BJ329" s="2">
        <v>5.7447105462779965E-2</v>
      </c>
      <c r="BK329" s="2">
        <v>8.5153852345557474E-2</v>
      </c>
      <c r="BL329" s="2">
        <v>7.4158058913035174E-2</v>
      </c>
      <c r="BM329" s="2">
        <v>7.5718189192107169E-2</v>
      </c>
      <c r="BN329" s="2">
        <v>7.3955559365675619E-2</v>
      </c>
    </row>
    <row r="330" spans="1:66" x14ac:dyDescent="0.25">
      <c r="A330" s="8">
        <v>3589</v>
      </c>
      <c r="B330" s="8" t="s">
        <v>666</v>
      </c>
      <c r="C330" s="5">
        <v>0</v>
      </c>
      <c r="D330" s="5">
        <f>+$C330*BC330</f>
        <v>0</v>
      </c>
      <c r="E330" s="5">
        <f>+$C330*BD330</f>
        <v>0</v>
      </c>
      <c r="F330" s="5">
        <f>+$C330*BE330</f>
        <v>0</v>
      </c>
      <c r="G330" s="5">
        <f>+$C330*BF330</f>
        <v>0</v>
      </c>
      <c r="H330" s="5">
        <f>+$C330*BG330</f>
        <v>0</v>
      </c>
      <c r="I330" s="5">
        <f>+$C330*BH330</f>
        <v>0</v>
      </c>
      <c r="J330" s="5">
        <f>+$C330*BI330</f>
        <v>0</v>
      </c>
      <c r="K330" s="5">
        <f>+$C330*BJ330</f>
        <v>0</v>
      </c>
      <c r="L330" s="5">
        <f>+$C330*BK330</f>
        <v>0</v>
      </c>
      <c r="M330" s="5">
        <f>+$C330*BL330</f>
        <v>0</v>
      </c>
      <c r="N330" s="5">
        <f>+$C330*BM330</f>
        <v>0</v>
      </c>
      <c r="O330" s="5">
        <f>+$C330*BN330</f>
        <v>0</v>
      </c>
      <c r="P330" s="5">
        <v>0</v>
      </c>
      <c r="Q330" s="5">
        <f>+$P330*BC330</f>
        <v>0</v>
      </c>
      <c r="R330" s="5">
        <f>+$P330*BD330</f>
        <v>0</v>
      </c>
      <c r="S330" s="5">
        <f>+$P330*BE330</f>
        <v>0</v>
      </c>
      <c r="T330" s="5">
        <f>+$P330*BF330</f>
        <v>0</v>
      </c>
      <c r="U330" s="5">
        <f>+$P330*BG330</f>
        <v>0</v>
      </c>
      <c r="V330" s="5">
        <f>+$P330*BH330</f>
        <v>0</v>
      </c>
      <c r="W330" s="5">
        <f>+$P330*BI330</f>
        <v>0</v>
      </c>
      <c r="X330" s="5">
        <f>+$P330*BJ330</f>
        <v>0</v>
      </c>
      <c r="Y330" s="5">
        <f>+$P330*BK330</f>
        <v>0</v>
      </c>
      <c r="Z330" s="5">
        <f>+$P330*BL330</f>
        <v>0</v>
      </c>
      <c r="AA330" s="5">
        <f>+$P330*BM330</f>
        <v>0</v>
      </c>
      <c r="AB330" s="5">
        <f>+$P330*BN330</f>
        <v>0</v>
      </c>
      <c r="AC330" s="5">
        <v>0</v>
      </c>
      <c r="AD330" s="5">
        <f>+$AC330*BC330</f>
        <v>0</v>
      </c>
      <c r="AE330" s="5">
        <f>+$AC330*BD330</f>
        <v>0</v>
      </c>
      <c r="AF330" s="5">
        <f>+$AC330*BE330</f>
        <v>0</v>
      </c>
      <c r="AG330" s="5">
        <f>+$AC330*BF330</f>
        <v>0</v>
      </c>
      <c r="AH330" s="5">
        <f>+$AC330*BG330</f>
        <v>0</v>
      </c>
      <c r="AI330" s="5">
        <f>+$AC330*BH330</f>
        <v>0</v>
      </c>
      <c r="AJ330" s="5">
        <f>+$AC330*BI330</f>
        <v>0</v>
      </c>
      <c r="AK330" s="5">
        <f>+$AC330*BJ330</f>
        <v>0</v>
      </c>
      <c r="AL330" s="5">
        <f>+$AC330*BK330</f>
        <v>0</v>
      </c>
      <c r="AM330" s="5">
        <f>+$AC330*BL330</f>
        <v>0</v>
      </c>
      <c r="AN330" s="5">
        <f>+$AC330*BM330</f>
        <v>0</v>
      </c>
      <c r="AO330" s="5">
        <f>+$AC330*BN330</f>
        <v>0</v>
      </c>
      <c r="AP330" s="5">
        <f>+AC330+P330+C330</f>
        <v>0</v>
      </c>
      <c r="AQ330" s="1">
        <v>178.36313189748449</v>
      </c>
      <c r="AR330" s="1">
        <v>213.30555766890396</v>
      </c>
      <c r="AS330" s="1">
        <v>188.77698169709529</v>
      </c>
      <c r="AT330" s="1">
        <v>142.99129973710097</v>
      </c>
      <c r="AU330" s="1">
        <v>207.37143621073525</v>
      </c>
      <c r="AV330" s="1">
        <v>169.94066190508929</v>
      </c>
      <c r="AW330" s="1">
        <v>169.18775775452542</v>
      </c>
      <c r="AX330" s="1">
        <v>114.89421092555993</v>
      </c>
      <c r="AY330" s="1">
        <v>170.30770469111494</v>
      </c>
      <c r="AZ330" s="1">
        <v>148.31611782607035</v>
      </c>
      <c r="BA330" s="1">
        <v>151.43637838421435</v>
      </c>
      <c r="BB330" s="1">
        <v>147.91111873135125</v>
      </c>
      <c r="BC330" s="2">
        <v>8.9181565948742242E-2</v>
      </c>
      <c r="BD330" s="2">
        <v>0.10665277883445198</v>
      </c>
      <c r="BE330" s="2">
        <v>9.438849084854764E-2</v>
      </c>
      <c r="BF330" s="2">
        <v>7.149564986855049E-2</v>
      </c>
      <c r="BG330" s="2">
        <v>0.10368571810536763</v>
      </c>
      <c r="BH330" s="2">
        <v>8.4970330952544637E-2</v>
      </c>
      <c r="BI330" s="2">
        <v>8.4593878877262704E-2</v>
      </c>
      <c r="BJ330" s="2">
        <v>5.7447105462779965E-2</v>
      </c>
      <c r="BK330" s="2">
        <v>8.5153852345557474E-2</v>
      </c>
      <c r="BL330" s="2">
        <v>7.4158058913035174E-2</v>
      </c>
      <c r="BM330" s="2">
        <v>7.5718189192107169E-2</v>
      </c>
      <c r="BN330" s="2">
        <v>7.3955559365675619E-2</v>
      </c>
    </row>
    <row r="331" spans="1:66" x14ac:dyDescent="0.25">
      <c r="A331" s="8">
        <v>3780</v>
      </c>
      <c r="B331" s="8" t="s">
        <v>665</v>
      </c>
      <c r="C331" s="5">
        <v>2000</v>
      </c>
      <c r="D331" s="5">
        <f>+$C331*BC331</f>
        <v>178.36313189748449</v>
      </c>
      <c r="E331" s="5">
        <f>+$C331*BD331</f>
        <v>213.30555766890396</v>
      </c>
      <c r="F331" s="5">
        <f>+$C331*BE331</f>
        <v>188.77698169709529</v>
      </c>
      <c r="G331" s="5">
        <f>+$C331*BF331</f>
        <v>142.99129973710097</v>
      </c>
      <c r="H331" s="5">
        <f>+$C331*BG331</f>
        <v>207.37143621073525</v>
      </c>
      <c r="I331" s="5">
        <f>+$C331*BH331</f>
        <v>169.94066190508929</v>
      </c>
      <c r="J331" s="5">
        <f>+$C331*BI331</f>
        <v>169.18775775452542</v>
      </c>
      <c r="K331" s="5">
        <f>+$C331*BJ331</f>
        <v>114.89421092555993</v>
      </c>
      <c r="L331" s="5">
        <f>+$C331*BK331</f>
        <v>170.30770469111494</v>
      </c>
      <c r="M331" s="5">
        <f>+$C331*BL331</f>
        <v>148.31611782607035</v>
      </c>
      <c r="N331" s="5">
        <f>+$C331*BM331</f>
        <v>151.43637838421435</v>
      </c>
      <c r="O331" s="5">
        <f>+$C331*BN331</f>
        <v>147.91111873135125</v>
      </c>
      <c r="P331" s="5">
        <v>0</v>
      </c>
      <c r="Q331" s="5">
        <f>+$P331*BC331</f>
        <v>0</v>
      </c>
      <c r="R331" s="5">
        <f>+$P331*BD331</f>
        <v>0</v>
      </c>
      <c r="S331" s="5">
        <f>+$P331*BE331</f>
        <v>0</v>
      </c>
      <c r="T331" s="5">
        <f>+$P331*BF331</f>
        <v>0</v>
      </c>
      <c r="U331" s="5">
        <f>+$P331*BG331</f>
        <v>0</v>
      </c>
      <c r="V331" s="5">
        <f>+$P331*BH331</f>
        <v>0</v>
      </c>
      <c r="W331" s="5">
        <f>+$P331*BI331</f>
        <v>0</v>
      </c>
      <c r="X331" s="5">
        <f>+$P331*BJ331</f>
        <v>0</v>
      </c>
      <c r="Y331" s="5">
        <f>+$P331*BK331</f>
        <v>0</v>
      </c>
      <c r="Z331" s="5">
        <f>+$P331*BL331</f>
        <v>0</v>
      </c>
      <c r="AA331" s="5">
        <f>+$P331*BM331</f>
        <v>0</v>
      </c>
      <c r="AB331" s="5">
        <f>+$P331*BN331</f>
        <v>0</v>
      </c>
      <c r="AC331" s="5">
        <v>0</v>
      </c>
      <c r="AD331" s="5">
        <f>+$AC331*BC331</f>
        <v>0</v>
      </c>
      <c r="AE331" s="5">
        <f>+$AC331*BD331</f>
        <v>0</v>
      </c>
      <c r="AF331" s="5">
        <f>+$AC331*BE331</f>
        <v>0</v>
      </c>
      <c r="AG331" s="5">
        <f>+$AC331*BF331</f>
        <v>0</v>
      </c>
      <c r="AH331" s="5">
        <f>+$AC331*BG331</f>
        <v>0</v>
      </c>
      <c r="AI331" s="5">
        <f>+$AC331*BH331</f>
        <v>0</v>
      </c>
      <c r="AJ331" s="5">
        <f>+$AC331*BI331</f>
        <v>0</v>
      </c>
      <c r="AK331" s="5">
        <f>+$AC331*BJ331</f>
        <v>0</v>
      </c>
      <c r="AL331" s="5">
        <f>+$AC331*BK331</f>
        <v>0</v>
      </c>
      <c r="AM331" s="5">
        <f>+$AC331*BL331</f>
        <v>0</v>
      </c>
      <c r="AN331" s="5">
        <f>+$AC331*BM331</f>
        <v>0</v>
      </c>
      <c r="AO331" s="5">
        <f>+$AC331*BN331</f>
        <v>0</v>
      </c>
      <c r="AP331" s="5">
        <f>+AC331+P331+C331</f>
        <v>2000</v>
      </c>
      <c r="AQ331" s="1">
        <v>178.36313189748449</v>
      </c>
      <c r="AR331" s="1">
        <v>213.30555766890396</v>
      </c>
      <c r="AS331" s="1">
        <v>188.77698169709529</v>
      </c>
      <c r="AT331" s="1">
        <v>142.99129973710097</v>
      </c>
      <c r="AU331" s="1">
        <v>207.37143621073525</v>
      </c>
      <c r="AV331" s="1">
        <v>169.94066190508929</v>
      </c>
      <c r="AW331" s="1">
        <v>169.18775775452542</v>
      </c>
      <c r="AX331" s="1">
        <v>114.89421092555993</v>
      </c>
      <c r="AY331" s="1">
        <v>170.30770469111494</v>
      </c>
      <c r="AZ331" s="1">
        <v>148.31611782607035</v>
      </c>
      <c r="BA331" s="1">
        <v>151.43637838421435</v>
      </c>
      <c r="BB331" s="1">
        <v>147.91111873135125</v>
      </c>
      <c r="BC331" s="2">
        <v>8.9181565948742242E-2</v>
      </c>
      <c r="BD331" s="2">
        <v>0.10665277883445198</v>
      </c>
      <c r="BE331" s="2">
        <v>9.438849084854764E-2</v>
      </c>
      <c r="BF331" s="2">
        <v>7.149564986855049E-2</v>
      </c>
      <c r="BG331" s="2">
        <v>0.10368571810536763</v>
      </c>
      <c r="BH331" s="2">
        <v>8.4970330952544637E-2</v>
      </c>
      <c r="BI331" s="2">
        <v>8.4593878877262704E-2</v>
      </c>
      <c r="BJ331" s="2">
        <v>5.7447105462779965E-2</v>
      </c>
      <c r="BK331" s="2">
        <v>8.5153852345557474E-2</v>
      </c>
      <c r="BL331" s="2">
        <v>7.4158058913035174E-2</v>
      </c>
      <c r="BM331" s="2">
        <v>7.5718189192107169E-2</v>
      </c>
      <c r="BN331" s="2">
        <v>7.3955559365675619E-2</v>
      </c>
    </row>
    <row r="332" spans="1:66" x14ac:dyDescent="0.25">
      <c r="A332" s="8">
        <v>3951</v>
      </c>
      <c r="B332" s="8" t="s">
        <v>664</v>
      </c>
      <c r="C332" s="5">
        <v>30000</v>
      </c>
      <c r="D332" s="5">
        <f>+$C332*BC332</f>
        <v>2675.4469784622675</v>
      </c>
      <c r="E332" s="5">
        <f>+$C332*BD332</f>
        <v>3199.5833650335594</v>
      </c>
      <c r="F332" s="5">
        <f>+$C332*BE332</f>
        <v>2831.6547254564293</v>
      </c>
      <c r="G332" s="5">
        <f>+$C332*BF332</f>
        <v>2144.8694960565149</v>
      </c>
      <c r="H332" s="5">
        <f>+$C332*BG332</f>
        <v>3110.5715431610288</v>
      </c>
      <c r="I332" s="5">
        <f>+$C332*BH332</f>
        <v>2549.1099285763389</v>
      </c>
      <c r="J332" s="5">
        <f>+$C332*BI332</f>
        <v>2537.8163663178811</v>
      </c>
      <c r="K332" s="5">
        <f>+$C332*BJ332</f>
        <v>1723.413163883399</v>
      </c>
      <c r="L332" s="5">
        <f>+$C332*BK332</f>
        <v>2554.6155703667241</v>
      </c>
      <c r="M332" s="5">
        <f>+$C332*BL332</f>
        <v>2224.7417673910554</v>
      </c>
      <c r="N332" s="5">
        <f>+$C332*BM332</f>
        <v>2271.5456757632151</v>
      </c>
      <c r="O332" s="5">
        <f>+$C332*BN332</f>
        <v>2218.6667809702685</v>
      </c>
      <c r="P332" s="5">
        <v>0</v>
      </c>
      <c r="Q332" s="5">
        <f>+$P332*BC332</f>
        <v>0</v>
      </c>
      <c r="R332" s="5">
        <f>+$P332*BD332</f>
        <v>0</v>
      </c>
      <c r="S332" s="5">
        <f>+$P332*BE332</f>
        <v>0</v>
      </c>
      <c r="T332" s="5">
        <f>+$P332*BF332</f>
        <v>0</v>
      </c>
      <c r="U332" s="5">
        <f>+$P332*BG332</f>
        <v>0</v>
      </c>
      <c r="V332" s="5">
        <f>+$P332*BH332</f>
        <v>0</v>
      </c>
      <c r="W332" s="5">
        <f>+$P332*BI332</f>
        <v>0</v>
      </c>
      <c r="X332" s="5">
        <f>+$P332*BJ332</f>
        <v>0</v>
      </c>
      <c r="Y332" s="5">
        <f>+$P332*BK332</f>
        <v>0</v>
      </c>
      <c r="Z332" s="5">
        <f>+$P332*BL332</f>
        <v>0</v>
      </c>
      <c r="AA332" s="5">
        <f>+$P332*BM332</f>
        <v>0</v>
      </c>
      <c r="AB332" s="5">
        <f>+$P332*BN332</f>
        <v>0</v>
      </c>
      <c r="AC332" s="5">
        <v>2500</v>
      </c>
      <c r="AD332" s="5">
        <f>+$AC332*BC332</f>
        <v>222.9539148718556</v>
      </c>
      <c r="AE332" s="5">
        <f>+$AC332*BD332</f>
        <v>266.63194708612997</v>
      </c>
      <c r="AF332" s="5">
        <f>+$AC332*BE332</f>
        <v>235.97122712136911</v>
      </c>
      <c r="AG332" s="5">
        <f>+$AC332*BF332</f>
        <v>178.73912467137623</v>
      </c>
      <c r="AH332" s="5">
        <f>+$AC332*BG332</f>
        <v>259.21429526341905</v>
      </c>
      <c r="AI332" s="5">
        <f>+$AC332*BH332</f>
        <v>212.42582738136159</v>
      </c>
      <c r="AJ332" s="5">
        <f>+$AC332*BI332</f>
        <v>211.48469719315676</v>
      </c>
      <c r="AK332" s="5">
        <f>+$AC332*BJ332</f>
        <v>143.6177636569499</v>
      </c>
      <c r="AL332" s="5">
        <f>+$AC332*BK332</f>
        <v>212.88463086389368</v>
      </c>
      <c r="AM332" s="5">
        <f>+$AC332*BL332</f>
        <v>185.39514728258794</v>
      </c>
      <c r="AN332" s="5">
        <f>+$AC332*BM332</f>
        <v>189.29547298026793</v>
      </c>
      <c r="AO332" s="5">
        <f>+$AC332*BN332</f>
        <v>184.88889841418904</v>
      </c>
      <c r="AP332" s="5">
        <f>+AC332+P332+C332</f>
        <v>32500</v>
      </c>
      <c r="AQ332" s="1">
        <v>178.36313189748449</v>
      </c>
      <c r="AR332" s="1">
        <v>213.30555766890396</v>
      </c>
      <c r="AS332" s="1">
        <v>188.77698169709529</v>
      </c>
      <c r="AT332" s="1">
        <v>142.99129973710097</v>
      </c>
      <c r="AU332" s="1">
        <v>207.37143621073525</v>
      </c>
      <c r="AV332" s="1">
        <v>169.94066190508929</v>
      </c>
      <c r="AW332" s="1">
        <v>169.18775775452542</v>
      </c>
      <c r="AX332" s="1">
        <v>114.89421092555993</v>
      </c>
      <c r="AY332" s="1">
        <v>170.30770469111494</v>
      </c>
      <c r="AZ332" s="1">
        <v>148.31611782607035</v>
      </c>
      <c r="BA332" s="1">
        <v>151.43637838421435</v>
      </c>
      <c r="BB332" s="1">
        <v>147.91111873135125</v>
      </c>
      <c r="BC332" s="2">
        <v>8.9181565948742242E-2</v>
      </c>
      <c r="BD332" s="2">
        <v>0.10665277883445198</v>
      </c>
      <c r="BE332" s="2">
        <v>9.438849084854764E-2</v>
      </c>
      <c r="BF332" s="2">
        <v>7.149564986855049E-2</v>
      </c>
      <c r="BG332" s="2">
        <v>0.10368571810536763</v>
      </c>
      <c r="BH332" s="2">
        <v>8.4970330952544637E-2</v>
      </c>
      <c r="BI332" s="2">
        <v>8.4593878877262704E-2</v>
      </c>
      <c r="BJ332" s="2">
        <v>5.7447105462779965E-2</v>
      </c>
      <c r="BK332" s="2">
        <v>8.5153852345557474E-2</v>
      </c>
      <c r="BL332" s="2">
        <v>7.4158058913035174E-2</v>
      </c>
      <c r="BM332" s="2">
        <v>7.5718189192107169E-2</v>
      </c>
      <c r="BN332" s="2">
        <v>7.3955559365675619E-2</v>
      </c>
    </row>
    <row r="333" spans="1:66" x14ac:dyDescent="0.25">
      <c r="A333" s="8">
        <v>4097</v>
      </c>
      <c r="B333" s="8" t="s">
        <v>663</v>
      </c>
      <c r="C333" s="5">
        <v>1500</v>
      </c>
      <c r="D333" s="5">
        <f>+$C333*BC333</f>
        <v>133.77234892311336</v>
      </c>
      <c r="E333" s="5">
        <f>+$C333*BD333</f>
        <v>159.97916825167798</v>
      </c>
      <c r="F333" s="5">
        <f>+$C333*BE333</f>
        <v>141.58273627282145</v>
      </c>
      <c r="G333" s="5">
        <f>+$C333*BF333</f>
        <v>107.24347480282573</v>
      </c>
      <c r="H333" s="5">
        <f>+$C333*BG333</f>
        <v>155.52857715805143</v>
      </c>
      <c r="I333" s="5">
        <f>+$C333*BH333</f>
        <v>127.45549642881696</v>
      </c>
      <c r="J333" s="5">
        <f>+$C333*BI333</f>
        <v>126.89081831589405</v>
      </c>
      <c r="K333" s="5">
        <f>+$C333*BJ333</f>
        <v>86.170658194169945</v>
      </c>
      <c r="L333" s="5">
        <f>+$C333*BK333</f>
        <v>127.73077851833621</v>
      </c>
      <c r="M333" s="5">
        <f>+$C333*BL333</f>
        <v>111.23708836955277</v>
      </c>
      <c r="N333" s="5">
        <f>+$C333*BM333</f>
        <v>113.57728378816076</v>
      </c>
      <c r="O333" s="5">
        <f>+$C333*BN333</f>
        <v>110.93333904851343</v>
      </c>
      <c r="P333" s="5">
        <v>0</v>
      </c>
      <c r="Q333" s="5">
        <f>+$P333*BC333</f>
        <v>0</v>
      </c>
      <c r="R333" s="5">
        <f>+$P333*BD333</f>
        <v>0</v>
      </c>
      <c r="S333" s="5">
        <f>+$P333*BE333</f>
        <v>0</v>
      </c>
      <c r="T333" s="5">
        <f>+$P333*BF333</f>
        <v>0</v>
      </c>
      <c r="U333" s="5">
        <f>+$P333*BG333</f>
        <v>0</v>
      </c>
      <c r="V333" s="5">
        <f>+$P333*BH333</f>
        <v>0</v>
      </c>
      <c r="W333" s="5">
        <f>+$P333*BI333</f>
        <v>0</v>
      </c>
      <c r="X333" s="5">
        <f>+$P333*BJ333</f>
        <v>0</v>
      </c>
      <c r="Y333" s="5">
        <f>+$P333*BK333</f>
        <v>0</v>
      </c>
      <c r="Z333" s="5">
        <f>+$P333*BL333</f>
        <v>0</v>
      </c>
      <c r="AA333" s="5">
        <f>+$P333*BM333</f>
        <v>0</v>
      </c>
      <c r="AB333" s="5">
        <f>+$P333*BN333</f>
        <v>0</v>
      </c>
      <c r="AC333" s="5">
        <v>0</v>
      </c>
      <c r="AD333" s="5">
        <f>+$AC333*BC333</f>
        <v>0</v>
      </c>
      <c r="AE333" s="5">
        <f>+$AC333*BD333</f>
        <v>0</v>
      </c>
      <c r="AF333" s="5">
        <f>+$AC333*BE333</f>
        <v>0</v>
      </c>
      <c r="AG333" s="5">
        <f>+$AC333*BF333</f>
        <v>0</v>
      </c>
      <c r="AH333" s="5">
        <f>+$AC333*BG333</f>
        <v>0</v>
      </c>
      <c r="AI333" s="5">
        <f>+$AC333*BH333</f>
        <v>0</v>
      </c>
      <c r="AJ333" s="5">
        <f>+$AC333*BI333</f>
        <v>0</v>
      </c>
      <c r="AK333" s="5">
        <f>+$AC333*BJ333</f>
        <v>0</v>
      </c>
      <c r="AL333" s="5">
        <f>+$AC333*BK333</f>
        <v>0</v>
      </c>
      <c r="AM333" s="5">
        <f>+$AC333*BL333</f>
        <v>0</v>
      </c>
      <c r="AN333" s="5">
        <f>+$AC333*BM333</f>
        <v>0</v>
      </c>
      <c r="AO333" s="5">
        <f>+$AC333*BN333</f>
        <v>0</v>
      </c>
      <c r="AP333" s="5">
        <f>+AC333+P333+C333</f>
        <v>1500</v>
      </c>
      <c r="AQ333" s="1">
        <v>178.36313189748449</v>
      </c>
      <c r="AR333" s="1">
        <v>213.30555766890396</v>
      </c>
      <c r="AS333" s="1">
        <v>188.77698169709529</v>
      </c>
      <c r="AT333" s="1">
        <v>142.99129973710097</v>
      </c>
      <c r="AU333" s="1">
        <v>207.37143621073525</v>
      </c>
      <c r="AV333" s="1">
        <v>169.94066190508929</v>
      </c>
      <c r="AW333" s="1">
        <v>169.18775775452542</v>
      </c>
      <c r="AX333" s="1">
        <v>114.89421092555993</v>
      </c>
      <c r="AY333" s="1">
        <v>170.30770469111494</v>
      </c>
      <c r="AZ333" s="1">
        <v>148.31611782607035</v>
      </c>
      <c r="BA333" s="1">
        <v>151.43637838421435</v>
      </c>
      <c r="BB333" s="1">
        <v>147.91111873135125</v>
      </c>
      <c r="BC333" s="2">
        <v>8.9181565948742242E-2</v>
      </c>
      <c r="BD333" s="2">
        <v>0.10665277883445198</v>
      </c>
      <c r="BE333" s="2">
        <v>9.438849084854764E-2</v>
      </c>
      <c r="BF333" s="2">
        <v>7.149564986855049E-2</v>
      </c>
      <c r="BG333" s="2">
        <v>0.10368571810536763</v>
      </c>
      <c r="BH333" s="2">
        <v>8.4970330952544637E-2</v>
      </c>
      <c r="BI333" s="2">
        <v>8.4593878877262704E-2</v>
      </c>
      <c r="BJ333" s="2">
        <v>5.7447105462779965E-2</v>
      </c>
      <c r="BK333" s="2">
        <v>8.5153852345557474E-2</v>
      </c>
      <c r="BL333" s="2">
        <v>7.4158058913035174E-2</v>
      </c>
      <c r="BM333" s="2">
        <v>7.5718189192107169E-2</v>
      </c>
      <c r="BN333" s="2">
        <v>7.3955559365675619E-2</v>
      </c>
    </row>
    <row r="334" spans="1:66" x14ac:dyDescent="0.25">
      <c r="A334" s="8">
        <v>4219</v>
      </c>
      <c r="B334" s="8" t="s">
        <v>662</v>
      </c>
      <c r="C334" s="5">
        <v>0</v>
      </c>
      <c r="D334" s="5">
        <f>+$C334*BC334</f>
        <v>0</v>
      </c>
      <c r="E334" s="5">
        <f>+$C334*BD334</f>
        <v>0</v>
      </c>
      <c r="F334" s="5">
        <f>+$C334*BE334</f>
        <v>0</v>
      </c>
      <c r="G334" s="5">
        <f>+$C334*BF334</f>
        <v>0</v>
      </c>
      <c r="H334" s="5">
        <f>+$C334*BG334</f>
        <v>0</v>
      </c>
      <c r="I334" s="5">
        <f>+$C334*BH334</f>
        <v>0</v>
      </c>
      <c r="J334" s="5">
        <f>+$C334*BI334</f>
        <v>0</v>
      </c>
      <c r="K334" s="5">
        <f>+$C334*BJ334</f>
        <v>0</v>
      </c>
      <c r="L334" s="5">
        <f>+$C334*BK334</f>
        <v>0</v>
      </c>
      <c r="M334" s="5">
        <f>+$C334*BL334</f>
        <v>0</v>
      </c>
      <c r="N334" s="5">
        <f>+$C334*BM334</f>
        <v>0</v>
      </c>
      <c r="O334" s="5">
        <f>+$C334*BN334</f>
        <v>0</v>
      </c>
      <c r="P334" s="5">
        <v>0</v>
      </c>
      <c r="Q334" s="5">
        <f>+$P334*BC334</f>
        <v>0</v>
      </c>
      <c r="R334" s="5">
        <f>+$P334*BD334</f>
        <v>0</v>
      </c>
      <c r="S334" s="5">
        <f>+$P334*BE334</f>
        <v>0</v>
      </c>
      <c r="T334" s="5">
        <f>+$P334*BF334</f>
        <v>0</v>
      </c>
      <c r="U334" s="5">
        <f>+$P334*BG334</f>
        <v>0</v>
      </c>
      <c r="V334" s="5">
        <f>+$P334*BH334</f>
        <v>0</v>
      </c>
      <c r="W334" s="5">
        <f>+$P334*BI334</f>
        <v>0</v>
      </c>
      <c r="X334" s="5">
        <f>+$P334*BJ334</f>
        <v>0</v>
      </c>
      <c r="Y334" s="5">
        <f>+$P334*BK334</f>
        <v>0</v>
      </c>
      <c r="Z334" s="5">
        <f>+$P334*BL334</f>
        <v>0</v>
      </c>
      <c r="AA334" s="5">
        <f>+$P334*BM334</f>
        <v>0</v>
      </c>
      <c r="AB334" s="5">
        <f>+$P334*BN334</f>
        <v>0</v>
      </c>
      <c r="AC334" s="5">
        <v>500</v>
      </c>
      <c r="AD334" s="5">
        <f>+$AC334*BC334</f>
        <v>44.590782974371123</v>
      </c>
      <c r="AE334" s="5">
        <f>+$AC334*BD334</f>
        <v>53.32638941722599</v>
      </c>
      <c r="AF334" s="5">
        <f>+$AC334*BE334</f>
        <v>47.194245424273824</v>
      </c>
      <c r="AG334" s="5">
        <f>+$AC334*BF334</f>
        <v>35.747824934275243</v>
      </c>
      <c r="AH334" s="5">
        <f>+$AC334*BG334</f>
        <v>51.842859052683814</v>
      </c>
      <c r="AI334" s="5">
        <f>+$AC334*BH334</f>
        <v>42.485165476272321</v>
      </c>
      <c r="AJ334" s="5">
        <f>+$AC334*BI334</f>
        <v>42.296939438631355</v>
      </c>
      <c r="AK334" s="5">
        <f>+$AC334*BJ334</f>
        <v>28.723552731389983</v>
      </c>
      <c r="AL334" s="5">
        <f>+$AC334*BK334</f>
        <v>42.576926172778734</v>
      </c>
      <c r="AM334" s="5">
        <f>+$AC334*BL334</f>
        <v>37.079029456517588</v>
      </c>
      <c r="AN334" s="5">
        <f>+$AC334*BM334</f>
        <v>37.859094596053588</v>
      </c>
      <c r="AO334" s="5">
        <f>+$AC334*BN334</f>
        <v>36.977779682837813</v>
      </c>
      <c r="AP334" s="5">
        <f>+AC334+P334+C334</f>
        <v>500</v>
      </c>
      <c r="AQ334" s="1">
        <v>178.36313189748449</v>
      </c>
      <c r="AR334" s="1">
        <v>213.30555766890396</v>
      </c>
      <c r="AS334" s="1">
        <v>188.77698169709529</v>
      </c>
      <c r="AT334" s="1">
        <v>142.99129973710097</v>
      </c>
      <c r="AU334" s="1">
        <v>207.37143621073525</v>
      </c>
      <c r="AV334" s="1">
        <v>169.94066190508929</v>
      </c>
      <c r="AW334" s="1">
        <v>169.18775775452542</v>
      </c>
      <c r="AX334" s="1">
        <v>114.89421092555993</v>
      </c>
      <c r="AY334" s="1">
        <v>170.30770469111494</v>
      </c>
      <c r="AZ334" s="1">
        <v>148.31611782607035</v>
      </c>
      <c r="BA334" s="1">
        <v>151.43637838421435</v>
      </c>
      <c r="BB334" s="1">
        <v>147.91111873135125</v>
      </c>
      <c r="BC334" s="2">
        <v>8.9181565948742242E-2</v>
      </c>
      <c r="BD334" s="2">
        <v>0.10665277883445198</v>
      </c>
      <c r="BE334" s="2">
        <v>9.438849084854764E-2</v>
      </c>
      <c r="BF334" s="2">
        <v>7.149564986855049E-2</v>
      </c>
      <c r="BG334" s="2">
        <v>0.10368571810536763</v>
      </c>
      <c r="BH334" s="2">
        <v>8.4970330952544637E-2</v>
      </c>
      <c r="BI334" s="2">
        <v>8.4593878877262704E-2</v>
      </c>
      <c r="BJ334" s="2">
        <v>5.7447105462779965E-2</v>
      </c>
      <c r="BK334" s="2">
        <v>8.5153852345557474E-2</v>
      </c>
      <c r="BL334" s="2">
        <v>7.4158058913035174E-2</v>
      </c>
      <c r="BM334" s="2">
        <v>7.5718189192107169E-2</v>
      </c>
      <c r="BN334" s="2">
        <v>7.3955559365675619E-2</v>
      </c>
    </row>
    <row r="335" spans="1:66" x14ac:dyDescent="0.25">
      <c r="A335" s="8">
        <v>4342</v>
      </c>
      <c r="B335" s="8" t="s">
        <v>661</v>
      </c>
      <c r="C335" s="5">
        <v>4000</v>
      </c>
      <c r="D335" s="5">
        <f>+$C335*BC335</f>
        <v>356.72626379496899</v>
      </c>
      <c r="E335" s="5">
        <f>+$C335*BD335</f>
        <v>426.61111533780792</v>
      </c>
      <c r="F335" s="5">
        <f>+$C335*BE335</f>
        <v>377.55396339419059</v>
      </c>
      <c r="G335" s="5">
        <f>+$C335*BF335</f>
        <v>285.98259947420195</v>
      </c>
      <c r="H335" s="5">
        <f>+$C335*BG335</f>
        <v>414.74287242147051</v>
      </c>
      <c r="I335" s="5">
        <f>+$C335*BH335</f>
        <v>339.88132381017857</v>
      </c>
      <c r="J335" s="5">
        <f>+$C335*BI335</f>
        <v>338.37551550905084</v>
      </c>
      <c r="K335" s="5">
        <f>+$C335*BJ335</f>
        <v>229.78842185111986</v>
      </c>
      <c r="L335" s="5">
        <f>+$C335*BK335</f>
        <v>340.61540938222987</v>
      </c>
      <c r="M335" s="5">
        <f>+$C335*BL335</f>
        <v>296.63223565214071</v>
      </c>
      <c r="N335" s="5">
        <f>+$C335*BM335</f>
        <v>302.8727567684287</v>
      </c>
      <c r="O335" s="5">
        <f>+$C335*BN335</f>
        <v>295.8222374627025</v>
      </c>
      <c r="P335" s="5">
        <v>0</v>
      </c>
      <c r="Q335" s="5">
        <f>+$P335*BC335</f>
        <v>0</v>
      </c>
      <c r="R335" s="5">
        <f>+$P335*BD335</f>
        <v>0</v>
      </c>
      <c r="S335" s="5">
        <f>+$P335*BE335</f>
        <v>0</v>
      </c>
      <c r="T335" s="5">
        <f>+$P335*BF335</f>
        <v>0</v>
      </c>
      <c r="U335" s="5">
        <f>+$P335*BG335</f>
        <v>0</v>
      </c>
      <c r="V335" s="5">
        <f>+$P335*BH335</f>
        <v>0</v>
      </c>
      <c r="W335" s="5">
        <f>+$P335*BI335</f>
        <v>0</v>
      </c>
      <c r="X335" s="5">
        <f>+$P335*BJ335</f>
        <v>0</v>
      </c>
      <c r="Y335" s="5">
        <f>+$P335*BK335</f>
        <v>0</v>
      </c>
      <c r="Z335" s="5">
        <f>+$P335*BL335</f>
        <v>0</v>
      </c>
      <c r="AA335" s="5">
        <f>+$P335*BM335</f>
        <v>0</v>
      </c>
      <c r="AB335" s="5">
        <f>+$P335*BN335</f>
        <v>0</v>
      </c>
      <c r="AC335" s="5">
        <v>0</v>
      </c>
      <c r="AD335" s="5">
        <f>+$AC335*BC335</f>
        <v>0</v>
      </c>
      <c r="AE335" s="5">
        <f>+$AC335*BD335</f>
        <v>0</v>
      </c>
      <c r="AF335" s="5">
        <f>+$AC335*BE335</f>
        <v>0</v>
      </c>
      <c r="AG335" s="5">
        <f>+$AC335*BF335</f>
        <v>0</v>
      </c>
      <c r="AH335" s="5">
        <f>+$AC335*BG335</f>
        <v>0</v>
      </c>
      <c r="AI335" s="5">
        <f>+$AC335*BH335</f>
        <v>0</v>
      </c>
      <c r="AJ335" s="5">
        <f>+$AC335*BI335</f>
        <v>0</v>
      </c>
      <c r="AK335" s="5">
        <f>+$AC335*BJ335</f>
        <v>0</v>
      </c>
      <c r="AL335" s="5">
        <f>+$AC335*BK335</f>
        <v>0</v>
      </c>
      <c r="AM335" s="5">
        <f>+$AC335*BL335</f>
        <v>0</v>
      </c>
      <c r="AN335" s="5">
        <f>+$AC335*BM335</f>
        <v>0</v>
      </c>
      <c r="AO335" s="5">
        <f>+$AC335*BN335</f>
        <v>0</v>
      </c>
      <c r="AP335" s="5">
        <f>+AC335+P335+C335</f>
        <v>4000</v>
      </c>
      <c r="AQ335" s="1">
        <v>178.36313189748449</v>
      </c>
      <c r="AR335" s="1">
        <v>213.30555766890396</v>
      </c>
      <c r="AS335" s="1">
        <v>188.77698169709529</v>
      </c>
      <c r="AT335" s="1">
        <v>142.99129973710097</v>
      </c>
      <c r="AU335" s="1">
        <v>207.37143621073525</v>
      </c>
      <c r="AV335" s="1">
        <v>169.94066190508929</v>
      </c>
      <c r="AW335" s="1">
        <v>169.18775775452542</v>
      </c>
      <c r="AX335" s="1">
        <v>114.89421092555993</v>
      </c>
      <c r="AY335" s="1">
        <v>170.30770469111494</v>
      </c>
      <c r="AZ335" s="1">
        <v>148.31611782607035</v>
      </c>
      <c r="BA335" s="1">
        <v>151.43637838421435</v>
      </c>
      <c r="BB335" s="1">
        <v>147.91111873135125</v>
      </c>
      <c r="BC335" s="2">
        <v>8.9181565948742242E-2</v>
      </c>
      <c r="BD335" s="2">
        <v>0.10665277883445198</v>
      </c>
      <c r="BE335" s="2">
        <v>9.438849084854764E-2</v>
      </c>
      <c r="BF335" s="2">
        <v>7.149564986855049E-2</v>
      </c>
      <c r="BG335" s="2">
        <v>0.10368571810536763</v>
      </c>
      <c r="BH335" s="2">
        <v>8.4970330952544637E-2</v>
      </c>
      <c r="BI335" s="2">
        <v>8.4593878877262704E-2</v>
      </c>
      <c r="BJ335" s="2">
        <v>5.7447105462779965E-2</v>
      </c>
      <c r="BK335" s="2">
        <v>8.5153852345557474E-2</v>
      </c>
      <c r="BL335" s="2">
        <v>7.4158058913035174E-2</v>
      </c>
      <c r="BM335" s="2">
        <v>7.5718189192107169E-2</v>
      </c>
      <c r="BN335" s="2">
        <v>7.3955559365675619E-2</v>
      </c>
    </row>
    <row r="336" spans="1:66" x14ac:dyDescent="0.25">
      <c r="A336" s="8">
        <v>4757</v>
      </c>
      <c r="B336" s="8" t="s">
        <v>660</v>
      </c>
      <c r="C336" s="5">
        <v>0</v>
      </c>
      <c r="D336" s="5">
        <f>+$C336*BC336</f>
        <v>0</v>
      </c>
      <c r="E336" s="5">
        <f>+$C336*BD336</f>
        <v>0</v>
      </c>
      <c r="F336" s="5">
        <f>+$C336*BE336</f>
        <v>0</v>
      </c>
      <c r="G336" s="5">
        <f>+$C336*BF336</f>
        <v>0</v>
      </c>
      <c r="H336" s="5">
        <f>+$C336*BG336</f>
        <v>0</v>
      </c>
      <c r="I336" s="5">
        <f>+$C336*BH336</f>
        <v>0</v>
      </c>
      <c r="J336" s="5">
        <f>+$C336*BI336</f>
        <v>0</v>
      </c>
      <c r="K336" s="5">
        <f>+$C336*BJ336</f>
        <v>0</v>
      </c>
      <c r="L336" s="5">
        <f>+$C336*BK336</f>
        <v>0</v>
      </c>
      <c r="M336" s="5">
        <f>+$C336*BL336</f>
        <v>0</v>
      </c>
      <c r="N336" s="5">
        <f>+$C336*BM336</f>
        <v>0</v>
      </c>
      <c r="O336" s="5">
        <f>+$C336*BN336</f>
        <v>0</v>
      </c>
      <c r="P336" s="5">
        <v>0</v>
      </c>
      <c r="Q336" s="5">
        <f>+$P336*BC336</f>
        <v>0</v>
      </c>
      <c r="R336" s="5">
        <f>+$P336*BD336</f>
        <v>0</v>
      </c>
      <c r="S336" s="5">
        <f>+$P336*BE336</f>
        <v>0</v>
      </c>
      <c r="T336" s="5">
        <f>+$P336*BF336</f>
        <v>0</v>
      </c>
      <c r="U336" s="5">
        <f>+$P336*BG336</f>
        <v>0</v>
      </c>
      <c r="V336" s="5">
        <f>+$P336*BH336</f>
        <v>0</v>
      </c>
      <c r="W336" s="5">
        <f>+$P336*BI336</f>
        <v>0</v>
      </c>
      <c r="X336" s="5">
        <f>+$P336*BJ336</f>
        <v>0</v>
      </c>
      <c r="Y336" s="5">
        <f>+$P336*BK336</f>
        <v>0</v>
      </c>
      <c r="Z336" s="5">
        <f>+$P336*BL336</f>
        <v>0</v>
      </c>
      <c r="AA336" s="5">
        <f>+$P336*BM336</f>
        <v>0</v>
      </c>
      <c r="AB336" s="5">
        <f>+$P336*BN336</f>
        <v>0</v>
      </c>
      <c r="AC336" s="5">
        <v>0</v>
      </c>
      <c r="AD336" s="5">
        <f>+$AC336*BC336</f>
        <v>0</v>
      </c>
      <c r="AE336" s="5">
        <f>+$AC336*BD336</f>
        <v>0</v>
      </c>
      <c r="AF336" s="5">
        <f>+$AC336*BE336</f>
        <v>0</v>
      </c>
      <c r="AG336" s="5">
        <f>+$AC336*BF336</f>
        <v>0</v>
      </c>
      <c r="AH336" s="5">
        <f>+$AC336*BG336</f>
        <v>0</v>
      </c>
      <c r="AI336" s="5">
        <f>+$AC336*BH336</f>
        <v>0</v>
      </c>
      <c r="AJ336" s="5">
        <f>+$AC336*BI336</f>
        <v>0</v>
      </c>
      <c r="AK336" s="5">
        <f>+$AC336*BJ336</f>
        <v>0</v>
      </c>
      <c r="AL336" s="5">
        <f>+$AC336*BK336</f>
        <v>0</v>
      </c>
      <c r="AM336" s="5">
        <f>+$AC336*BL336</f>
        <v>0</v>
      </c>
      <c r="AN336" s="5">
        <f>+$AC336*BM336</f>
        <v>0</v>
      </c>
      <c r="AO336" s="5">
        <f>+$AC336*BN336</f>
        <v>0</v>
      </c>
      <c r="AP336" s="5">
        <f>+AC336+P336+C336</f>
        <v>0</v>
      </c>
      <c r="AQ336" s="1">
        <v>178.36313189748449</v>
      </c>
      <c r="AR336" s="1">
        <v>213.30555766890396</v>
      </c>
      <c r="AS336" s="1">
        <v>188.77698169709529</v>
      </c>
      <c r="AT336" s="1">
        <v>142.99129973710097</v>
      </c>
      <c r="AU336" s="1">
        <v>207.37143621073525</v>
      </c>
      <c r="AV336" s="1">
        <v>169.94066190508929</v>
      </c>
      <c r="AW336" s="1">
        <v>169.18775775452542</v>
      </c>
      <c r="AX336" s="1">
        <v>114.89421092555993</v>
      </c>
      <c r="AY336" s="1">
        <v>170.30770469111494</v>
      </c>
      <c r="AZ336" s="1">
        <v>148.31611782607035</v>
      </c>
      <c r="BA336" s="1">
        <v>151.43637838421435</v>
      </c>
      <c r="BB336" s="1">
        <v>147.91111873135125</v>
      </c>
      <c r="BC336" s="2">
        <v>8.9181565948742242E-2</v>
      </c>
      <c r="BD336" s="2">
        <v>0.10665277883445198</v>
      </c>
      <c r="BE336" s="2">
        <v>9.438849084854764E-2</v>
      </c>
      <c r="BF336" s="2">
        <v>7.149564986855049E-2</v>
      </c>
      <c r="BG336" s="2">
        <v>0.10368571810536763</v>
      </c>
      <c r="BH336" s="2">
        <v>8.4970330952544637E-2</v>
      </c>
      <c r="BI336" s="2">
        <v>8.4593878877262704E-2</v>
      </c>
      <c r="BJ336" s="2">
        <v>5.7447105462779965E-2</v>
      </c>
      <c r="BK336" s="2">
        <v>8.5153852345557474E-2</v>
      </c>
      <c r="BL336" s="2">
        <v>7.4158058913035174E-2</v>
      </c>
      <c r="BM336" s="2">
        <v>7.5718189192107169E-2</v>
      </c>
      <c r="BN336" s="2">
        <v>7.3955559365675619E-2</v>
      </c>
    </row>
    <row r="337" spans="1:66" x14ac:dyDescent="0.25">
      <c r="A337" s="8">
        <v>4818</v>
      </c>
      <c r="B337" s="8" t="s">
        <v>659</v>
      </c>
      <c r="C337" s="5">
        <v>0</v>
      </c>
      <c r="D337" s="5">
        <f>+$C337*BC337</f>
        <v>0</v>
      </c>
      <c r="E337" s="5">
        <f>+$C337*BD337</f>
        <v>0</v>
      </c>
      <c r="F337" s="5">
        <f>+$C337*BE337</f>
        <v>0</v>
      </c>
      <c r="G337" s="5">
        <f>+$C337*BF337</f>
        <v>0</v>
      </c>
      <c r="H337" s="5">
        <f>+$C337*BG337</f>
        <v>0</v>
      </c>
      <c r="I337" s="5">
        <f>+$C337*BH337</f>
        <v>0</v>
      </c>
      <c r="J337" s="5">
        <f>+$C337*BI337</f>
        <v>0</v>
      </c>
      <c r="K337" s="5">
        <f>+$C337*BJ337</f>
        <v>0</v>
      </c>
      <c r="L337" s="5">
        <f>+$C337*BK337</f>
        <v>0</v>
      </c>
      <c r="M337" s="5">
        <f>+$C337*BL337</f>
        <v>0</v>
      </c>
      <c r="N337" s="5">
        <f>+$C337*BM337</f>
        <v>0</v>
      </c>
      <c r="O337" s="5">
        <f>+$C337*BN337</f>
        <v>0</v>
      </c>
      <c r="P337" s="5">
        <v>0</v>
      </c>
      <c r="Q337" s="5">
        <f>+$P337*BC337</f>
        <v>0</v>
      </c>
      <c r="R337" s="5">
        <f>+$P337*BD337</f>
        <v>0</v>
      </c>
      <c r="S337" s="5">
        <f>+$P337*BE337</f>
        <v>0</v>
      </c>
      <c r="T337" s="5">
        <f>+$P337*BF337</f>
        <v>0</v>
      </c>
      <c r="U337" s="5">
        <f>+$P337*BG337</f>
        <v>0</v>
      </c>
      <c r="V337" s="5">
        <f>+$P337*BH337</f>
        <v>0</v>
      </c>
      <c r="W337" s="5">
        <f>+$P337*BI337</f>
        <v>0</v>
      </c>
      <c r="X337" s="5">
        <f>+$P337*BJ337</f>
        <v>0</v>
      </c>
      <c r="Y337" s="5">
        <f>+$P337*BK337</f>
        <v>0</v>
      </c>
      <c r="Z337" s="5">
        <f>+$P337*BL337</f>
        <v>0</v>
      </c>
      <c r="AA337" s="5">
        <f>+$P337*BM337</f>
        <v>0</v>
      </c>
      <c r="AB337" s="5">
        <f>+$P337*BN337</f>
        <v>0</v>
      </c>
      <c r="AC337" s="5">
        <v>0</v>
      </c>
      <c r="AD337" s="5">
        <f>+$AC337*BC337</f>
        <v>0</v>
      </c>
      <c r="AE337" s="5">
        <f>+$AC337*BD337</f>
        <v>0</v>
      </c>
      <c r="AF337" s="5">
        <f>+$AC337*BE337</f>
        <v>0</v>
      </c>
      <c r="AG337" s="5">
        <f>+$AC337*BF337</f>
        <v>0</v>
      </c>
      <c r="AH337" s="5">
        <f>+$AC337*BG337</f>
        <v>0</v>
      </c>
      <c r="AI337" s="5">
        <f>+$AC337*BH337</f>
        <v>0</v>
      </c>
      <c r="AJ337" s="5">
        <f>+$AC337*BI337</f>
        <v>0</v>
      </c>
      <c r="AK337" s="5">
        <f>+$AC337*BJ337</f>
        <v>0</v>
      </c>
      <c r="AL337" s="5">
        <f>+$AC337*BK337</f>
        <v>0</v>
      </c>
      <c r="AM337" s="5">
        <f>+$AC337*BL337</f>
        <v>0</v>
      </c>
      <c r="AN337" s="5">
        <f>+$AC337*BM337</f>
        <v>0</v>
      </c>
      <c r="AO337" s="5">
        <f>+$AC337*BN337</f>
        <v>0</v>
      </c>
      <c r="AP337" s="5">
        <f>+AC337+P337+C337</f>
        <v>0</v>
      </c>
      <c r="AQ337" s="1">
        <v>178.36313189748449</v>
      </c>
      <c r="AR337" s="1">
        <v>213.30555766890396</v>
      </c>
      <c r="AS337" s="1">
        <v>188.77698169709529</v>
      </c>
      <c r="AT337" s="1">
        <v>142.99129973710097</v>
      </c>
      <c r="AU337" s="1">
        <v>207.37143621073525</v>
      </c>
      <c r="AV337" s="1">
        <v>169.94066190508929</v>
      </c>
      <c r="AW337" s="1">
        <v>169.18775775452542</v>
      </c>
      <c r="AX337" s="1">
        <v>114.89421092555993</v>
      </c>
      <c r="AY337" s="1">
        <v>170.30770469111494</v>
      </c>
      <c r="AZ337" s="1">
        <v>148.31611782607035</v>
      </c>
      <c r="BA337" s="1">
        <v>151.43637838421435</v>
      </c>
      <c r="BB337" s="1">
        <v>147.91111873135125</v>
      </c>
      <c r="BC337" s="2">
        <v>8.9181565948742242E-2</v>
      </c>
      <c r="BD337" s="2">
        <v>0.10665277883445198</v>
      </c>
      <c r="BE337" s="2">
        <v>9.438849084854764E-2</v>
      </c>
      <c r="BF337" s="2">
        <v>7.149564986855049E-2</v>
      </c>
      <c r="BG337" s="2">
        <v>0.10368571810536763</v>
      </c>
      <c r="BH337" s="2">
        <v>8.4970330952544637E-2</v>
      </c>
      <c r="BI337" s="2">
        <v>8.4593878877262704E-2</v>
      </c>
      <c r="BJ337" s="2">
        <v>5.7447105462779965E-2</v>
      </c>
      <c r="BK337" s="2">
        <v>8.5153852345557474E-2</v>
      </c>
      <c r="BL337" s="2">
        <v>7.4158058913035174E-2</v>
      </c>
      <c r="BM337" s="2">
        <v>7.5718189192107169E-2</v>
      </c>
      <c r="BN337" s="2">
        <v>7.3955559365675619E-2</v>
      </c>
    </row>
    <row r="338" spans="1:66" x14ac:dyDescent="0.25">
      <c r="A338" s="8">
        <v>5028</v>
      </c>
      <c r="B338" s="8" t="s">
        <v>658</v>
      </c>
      <c r="C338" s="5">
        <v>2000</v>
      </c>
      <c r="D338" s="5">
        <f>+$C338*BC338</f>
        <v>178.36313189748449</v>
      </c>
      <c r="E338" s="5">
        <f>+$C338*BD338</f>
        <v>213.30555766890396</v>
      </c>
      <c r="F338" s="5">
        <f>+$C338*BE338</f>
        <v>188.77698169709529</v>
      </c>
      <c r="G338" s="5">
        <f>+$C338*BF338</f>
        <v>142.99129973710097</v>
      </c>
      <c r="H338" s="5">
        <f>+$C338*BG338</f>
        <v>207.37143621073525</v>
      </c>
      <c r="I338" s="5">
        <f>+$C338*BH338</f>
        <v>169.94066190508929</v>
      </c>
      <c r="J338" s="5">
        <f>+$C338*BI338</f>
        <v>169.18775775452542</v>
      </c>
      <c r="K338" s="5">
        <f>+$C338*BJ338</f>
        <v>114.89421092555993</v>
      </c>
      <c r="L338" s="5">
        <f>+$C338*BK338</f>
        <v>170.30770469111494</v>
      </c>
      <c r="M338" s="5">
        <f>+$C338*BL338</f>
        <v>148.31611782607035</v>
      </c>
      <c r="N338" s="5">
        <f>+$C338*BM338</f>
        <v>151.43637838421435</v>
      </c>
      <c r="O338" s="5">
        <f>+$C338*BN338</f>
        <v>147.91111873135125</v>
      </c>
      <c r="P338" s="5">
        <v>0</v>
      </c>
      <c r="Q338" s="5">
        <f>+$P338*BC338</f>
        <v>0</v>
      </c>
      <c r="R338" s="5">
        <f>+$P338*BD338</f>
        <v>0</v>
      </c>
      <c r="S338" s="5">
        <f>+$P338*BE338</f>
        <v>0</v>
      </c>
      <c r="T338" s="5">
        <f>+$P338*BF338</f>
        <v>0</v>
      </c>
      <c r="U338" s="5">
        <f>+$P338*BG338</f>
        <v>0</v>
      </c>
      <c r="V338" s="5">
        <f>+$P338*BH338</f>
        <v>0</v>
      </c>
      <c r="W338" s="5">
        <f>+$P338*BI338</f>
        <v>0</v>
      </c>
      <c r="X338" s="5">
        <f>+$P338*BJ338</f>
        <v>0</v>
      </c>
      <c r="Y338" s="5">
        <f>+$P338*BK338</f>
        <v>0</v>
      </c>
      <c r="Z338" s="5">
        <f>+$P338*BL338</f>
        <v>0</v>
      </c>
      <c r="AA338" s="5">
        <f>+$P338*BM338</f>
        <v>0</v>
      </c>
      <c r="AB338" s="5">
        <f>+$P338*BN338</f>
        <v>0</v>
      </c>
      <c r="AC338" s="5">
        <v>0</v>
      </c>
      <c r="AD338" s="5">
        <f>+$AC338*BC338</f>
        <v>0</v>
      </c>
      <c r="AE338" s="5">
        <f>+$AC338*BD338</f>
        <v>0</v>
      </c>
      <c r="AF338" s="5">
        <f>+$AC338*BE338</f>
        <v>0</v>
      </c>
      <c r="AG338" s="5">
        <f>+$AC338*BF338</f>
        <v>0</v>
      </c>
      <c r="AH338" s="5">
        <f>+$AC338*BG338</f>
        <v>0</v>
      </c>
      <c r="AI338" s="5">
        <f>+$AC338*BH338</f>
        <v>0</v>
      </c>
      <c r="AJ338" s="5">
        <f>+$AC338*BI338</f>
        <v>0</v>
      </c>
      <c r="AK338" s="5">
        <f>+$AC338*BJ338</f>
        <v>0</v>
      </c>
      <c r="AL338" s="5">
        <f>+$AC338*BK338</f>
        <v>0</v>
      </c>
      <c r="AM338" s="5">
        <f>+$AC338*BL338</f>
        <v>0</v>
      </c>
      <c r="AN338" s="5">
        <f>+$AC338*BM338</f>
        <v>0</v>
      </c>
      <c r="AO338" s="5">
        <f>+$AC338*BN338</f>
        <v>0</v>
      </c>
      <c r="AP338" s="5">
        <f>+AC338+P338+C338</f>
        <v>2000</v>
      </c>
      <c r="AQ338" s="1">
        <v>445.9078297437112</v>
      </c>
      <c r="AR338" s="1">
        <v>533.26389417225994</v>
      </c>
      <c r="AS338" s="1">
        <v>471.94245424273822</v>
      </c>
      <c r="AT338" s="1">
        <v>357.47824934275246</v>
      </c>
      <c r="AU338" s="1">
        <v>518.42859052683809</v>
      </c>
      <c r="AV338" s="1">
        <v>424.85165476272317</v>
      </c>
      <c r="AW338" s="1">
        <v>422.96939438631352</v>
      </c>
      <c r="AX338" s="1">
        <v>287.23552731389981</v>
      </c>
      <c r="AY338" s="1">
        <v>425.76926172778735</v>
      </c>
      <c r="AZ338" s="1">
        <v>370.79029456517588</v>
      </c>
      <c r="BA338" s="1">
        <v>378.59094596053586</v>
      </c>
      <c r="BB338" s="1">
        <v>369.77779682837809</v>
      </c>
      <c r="BC338" s="2">
        <v>8.9181565948742242E-2</v>
      </c>
      <c r="BD338" s="2">
        <v>0.10665277883445198</v>
      </c>
      <c r="BE338" s="2">
        <v>9.438849084854764E-2</v>
      </c>
      <c r="BF338" s="2">
        <v>7.149564986855049E-2</v>
      </c>
      <c r="BG338" s="2">
        <v>0.10368571810536763</v>
      </c>
      <c r="BH338" s="2">
        <v>8.4970330952544637E-2</v>
      </c>
      <c r="BI338" s="2">
        <v>8.4593878877262704E-2</v>
      </c>
      <c r="BJ338" s="2">
        <v>5.7447105462779965E-2</v>
      </c>
      <c r="BK338" s="2">
        <v>8.5153852345557474E-2</v>
      </c>
      <c r="BL338" s="2">
        <v>7.4158058913035174E-2</v>
      </c>
      <c r="BM338" s="2">
        <v>7.5718189192107169E-2</v>
      </c>
      <c r="BN338" s="2">
        <v>7.3955559365675619E-2</v>
      </c>
    </row>
    <row r="339" spans="1:66" x14ac:dyDescent="0.25">
      <c r="A339" s="8">
        <v>5311</v>
      </c>
      <c r="B339" s="8" t="s">
        <v>657</v>
      </c>
      <c r="C339" s="5">
        <v>0</v>
      </c>
      <c r="D339" s="5">
        <f>+$C339*BC339</f>
        <v>0</v>
      </c>
      <c r="E339" s="5">
        <f>+$C339*BD339</f>
        <v>0</v>
      </c>
      <c r="F339" s="5">
        <f>+$C339*BE339</f>
        <v>0</v>
      </c>
      <c r="G339" s="5">
        <f>+$C339*BF339</f>
        <v>0</v>
      </c>
      <c r="H339" s="5">
        <f>+$C339*BG339</f>
        <v>0</v>
      </c>
      <c r="I339" s="5">
        <f>+$C339*BH339</f>
        <v>0</v>
      </c>
      <c r="J339" s="5">
        <f>+$C339*BI339</f>
        <v>0</v>
      </c>
      <c r="K339" s="5">
        <f>+$C339*BJ339</f>
        <v>0</v>
      </c>
      <c r="L339" s="5">
        <f>+$C339*BK339</f>
        <v>0</v>
      </c>
      <c r="M339" s="5">
        <f>+$C339*BL339</f>
        <v>0</v>
      </c>
      <c r="N339" s="5">
        <f>+$C339*BM339</f>
        <v>0</v>
      </c>
      <c r="O339" s="5">
        <f>+$C339*BN339</f>
        <v>0</v>
      </c>
      <c r="P339" s="5">
        <v>1500</v>
      </c>
      <c r="Q339" s="5">
        <f>+$P339*BC339</f>
        <v>133.77234892311336</v>
      </c>
      <c r="R339" s="5">
        <f>+$P339*BD339</f>
        <v>159.97916825167798</v>
      </c>
      <c r="S339" s="5">
        <f>+$P339*BE339</f>
        <v>141.58273627282145</v>
      </c>
      <c r="T339" s="5">
        <f>+$P339*BF339</f>
        <v>107.24347480282573</v>
      </c>
      <c r="U339" s="5">
        <f>+$P339*BG339</f>
        <v>155.52857715805143</v>
      </c>
      <c r="V339" s="5">
        <f>+$P339*BH339</f>
        <v>127.45549642881696</v>
      </c>
      <c r="W339" s="5">
        <f>+$P339*BI339</f>
        <v>126.89081831589405</v>
      </c>
      <c r="X339" s="5">
        <f>+$P339*BJ339</f>
        <v>86.170658194169945</v>
      </c>
      <c r="Y339" s="5">
        <f>+$P339*BK339</f>
        <v>127.73077851833621</v>
      </c>
      <c r="Z339" s="5">
        <f>+$P339*BL339</f>
        <v>111.23708836955277</v>
      </c>
      <c r="AA339" s="5">
        <f>+$P339*BM339</f>
        <v>113.57728378816076</v>
      </c>
      <c r="AB339" s="5">
        <f>+$P339*BN339</f>
        <v>110.93333904851343</v>
      </c>
      <c r="AC339" s="5">
        <v>0</v>
      </c>
      <c r="AD339" s="5">
        <f>+$AC339*BC339</f>
        <v>0</v>
      </c>
      <c r="AE339" s="5">
        <f>+$AC339*BD339</f>
        <v>0</v>
      </c>
      <c r="AF339" s="5">
        <f>+$AC339*BE339</f>
        <v>0</v>
      </c>
      <c r="AG339" s="5">
        <f>+$AC339*BF339</f>
        <v>0</v>
      </c>
      <c r="AH339" s="5">
        <f>+$AC339*BG339</f>
        <v>0</v>
      </c>
      <c r="AI339" s="5">
        <f>+$AC339*BH339</f>
        <v>0</v>
      </c>
      <c r="AJ339" s="5">
        <f>+$AC339*BI339</f>
        <v>0</v>
      </c>
      <c r="AK339" s="5">
        <f>+$AC339*BJ339</f>
        <v>0</v>
      </c>
      <c r="AL339" s="5">
        <f>+$AC339*BK339</f>
        <v>0</v>
      </c>
      <c r="AM339" s="5">
        <f>+$AC339*BL339</f>
        <v>0</v>
      </c>
      <c r="AN339" s="5">
        <f>+$AC339*BM339</f>
        <v>0</v>
      </c>
      <c r="AO339" s="5">
        <f>+$AC339*BN339</f>
        <v>0</v>
      </c>
      <c r="AP339" s="5">
        <f>+AC339+P339+C339</f>
        <v>1500</v>
      </c>
      <c r="AQ339" s="1">
        <v>178.36313189748449</v>
      </c>
      <c r="AR339" s="1">
        <v>213.30555766890396</v>
      </c>
      <c r="AS339" s="1">
        <v>188.77698169709529</v>
      </c>
      <c r="AT339" s="1">
        <v>142.99129973710097</v>
      </c>
      <c r="AU339" s="1">
        <v>207.37143621073525</v>
      </c>
      <c r="AV339" s="1">
        <v>169.94066190508929</v>
      </c>
      <c r="AW339" s="1">
        <v>169.18775775452542</v>
      </c>
      <c r="AX339" s="1">
        <v>114.89421092555993</v>
      </c>
      <c r="AY339" s="1">
        <v>170.30770469111494</v>
      </c>
      <c r="AZ339" s="1">
        <v>148.31611782607035</v>
      </c>
      <c r="BA339" s="1">
        <v>151.43637838421435</v>
      </c>
      <c r="BB339" s="1">
        <v>147.91111873135125</v>
      </c>
      <c r="BC339" s="2">
        <v>8.9181565948742242E-2</v>
      </c>
      <c r="BD339" s="2">
        <v>0.10665277883445198</v>
      </c>
      <c r="BE339" s="2">
        <v>9.438849084854764E-2</v>
      </c>
      <c r="BF339" s="2">
        <v>7.149564986855049E-2</v>
      </c>
      <c r="BG339" s="2">
        <v>0.10368571810536763</v>
      </c>
      <c r="BH339" s="2">
        <v>8.4970330952544637E-2</v>
      </c>
      <c r="BI339" s="2">
        <v>8.4593878877262704E-2</v>
      </c>
      <c r="BJ339" s="2">
        <v>5.7447105462779965E-2</v>
      </c>
      <c r="BK339" s="2">
        <v>8.5153852345557474E-2</v>
      </c>
      <c r="BL339" s="2">
        <v>7.4158058913035174E-2</v>
      </c>
      <c r="BM339" s="2">
        <v>7.5718189192107169E-2</v>
      </c>
      <c r="BN339" s="2">
        <v>7.3955559365675619E-2</v>
      </c>
    </row>
    <row r="340" spans="1:66" x14ac:dyDescent="0.25">
      <c r="A340" s="8">
        <v>5321</v>
      </c>
      <c r="B340" s="8" t="s">
        <v>656</v>
      </c>
      <c r="C340" s="5">
        <v>0</v>
      </c>
      <c r="D340" s="5">
        <f>+$C340*BC340</f>
        <v>0</v>
      </c>
      <c r="E340" s="5">
        <f>+$C340*BD340</f>
        <v>0</v>
      </c>
      <c r="F340" s="5">
        <f>+$C340*BE340</f>
        <v>0</v>
      </c>
      <c r="G340" s="5">
        <f>+$C340*BF340</f>
        <v>0</v>
      </c>
      <c r="H340" s="5">
        <f>+$C340*BG340</f>
        <v>0</v>
      </c>
      <c r="I340" s="5">
        <f>+$C340*BH340</f>
        <v>0</v>
      </c>
      <c r="J340" s="5">
        <f>+$C340*BI340</f>
        <v>0</v>
      </c>
      <c r="K340" s="5">
        <f>+$C340*BJ340</f>
        <v>0</v>
      </c>
      <c r="L340" s="5">
        <f>+$C340*BK340</f>
        <v>0</v>
      </c>
      <c r="M340" s="5">
        <f>+$C340*BL340</f>
        <v>0</v>
      </c>
      <c r="N340" s="5">
        <f>+$C340*BM340</f>
        <v>0</v>
      </c>
      <c r="O340" s="5">
        <f>+$C340*BN340</f>
        <v>0</v>
      </c>
      <c r="P340" s="5">
        <v>0</v>
      </c>
      <c r="Q340" s="5">
        <f>+$P340*BC340</f>
        <v>0</v>
      </c>
      <c r="R340" s="5">
        <f>+$P340*BD340</f>
        <v>0</v>
      </c>
      <c r="S340" s="5">
        <f>+$P340*BE340</f>
        <v>0</v>
      </c>
      <c r="T340" s="5">
        <f>+$P340*BF340</f>
        <v>0</v>
      </c>
      <c r="U340" s="5">
        <f>+$P340*BG340</f>
        <v>0</v>
      </c>
      <c r="V340" s="5">
        <f>+$P340*BH340</f>
        <v>0</v>
      </c>
      <c r="W340" s="5">
        <f>+$P340*BI340</f>
        <v>0</v>
      </c>
      <c r="X340" s="5">
        <f>+$P340*BJ340</f>
        <v>0</v>
      </c>
      <c r="Y340" s="5">
        <f>+$P340*BK340</f>
        <v>0</v>
      </c>
      <c r="Z340" s="5">
        <f>+$P340*BL340</f>
        <v>0</v>
      </c>
      <c r="AA340" s="5">
        <f>+$P340*BM340</f>
        <v>0</v>
      </c>
      <c r="AB340" s="5">
        <f>+$P340*BN340</f>
        <v>0</v>
      </c>
      <c r="AC340" s="5">
        <v>0</v>
      </c>
      <c r="AD340" s="5">
        <f>+$AC340*BC340</f>
        <v>0</v>
      </c>
      <c r="AE340" s="5">
        <f>+$AC340*BD340</f>
        <v>0</v>
      </c>
      <c r="AF340" s="5">
        <f>+$AC340*BE340</f>
        <v>0</v>
      </c>
      <c r="AG340" s="5">
        <f>+$AC340*BF340</f>
        <v>0</v>
      </c>
      <c r="AH340" s="5">
        <f>+$AC340*BG340</f>
        <v>0</v>
      </c>
      <c r="AI340" s="5">
        <f>+$AC340*BH340</f>
        <v>0</v>
      </c>
      <c r="AJ340" s="5">
        <f>+$AC340*BI340</f>
        <v>0</v>
      </c>
      <c r="AK340" s="5">
        <f>+$AC340*BJ340</f>
        <v>0</v>
      </c>
      <c r="AL340" s="5">
        <f>+$AC340*BK340</f>
        <v>0</v>
      </c>
      <c r="AM340" s="5">
        <f>+$AC340*BL340</f>
        <v>0</v>
      </c>
      <c r="AN340" s="5">
        <f>+$AC340*BM340</f>
        <v>0</v>
      </c>
      <c r="AO340" s="5">
        <f>+$AC340*BN340</f>
        <v>0</v>
      </c>
      <c r="AP340" s="5">
        <f>+AC340+P340+C340</f>
        <v>0</v>
      </c>
      <c r="AQ340" s="1">
        <v>178.36313189748449</v>
      </c>
      <c r="AR340" s="1">
        <v>213.30555766890396</v>
      </c>
      <c r="AS340" s="1">
        <v>188.77698169709529</v>
      </c>
      <c r="AT340" s="1">
        <v>142.99129973710097</v>
      </c>
      <c r="AU340" s="1">
        <v>207.37143621073525</v>
      </c>
      <c r="AV340" s="1">
        <v>169.94066190508929</v>
      </c>
      <c r="AW340" s="1">
        <v>169.18775775452542</v>
      </c>
      <c r="AX340" s="1">
        <v>114.89421092555993</v>
      </c>
      <c r="AY340" s="1">
        <v>170.30770469111494</v>
      </c>
      <c r="AZ340" s="1">
        <v>148.31611782607035</v>
      </c>
      <c r="BA340" s="1">
        <v>151.43637838421435</v>
      </c>
      <c r="BB340" s="1">
        <v>147.91111873135125</v>
      </c>
      <c r="BC340" s="2">
        <v>8.9181565948742242E-2</v>
      </c>
      <c r="BD340" s="2">
        <v>0.10665277883445198</v>
      </c>
      <c r="BE340" s="2">
        <v>9.438849084854764E-2</v>
      </c>
      <c r="BF340" s="2">
        <v>7.149564986855049E-2</v>
      </c>
      <c r="BG340" s="2">
        <v>0.10368571810536763</v>
      </c>
      <c r="BH340" s="2">
        <v>8.4970330952544637E-2</v>
      </c>
      <c r="BI340" s="2">
        <v>8.4593878877262704E-2</v>
      </c>
      <c r="BJ340" s="2">
        <v>5.7447105462779965E-2</v>
      </c>
      <c r="BK340" s="2">
        <v>8.5153852345557474E-2</v>
      </c>
      <c r="BL340" s="2">
        <v>7.4158058913035174E-2</v>
      </c>
      <c r="BM340" s="2">
        <v>7.5718189192107169E-2</v>
      </c>
      <c r="BN340" s="2">
        <v>7.3955559365675619E-2</v>
      </c>
    </row>
    <row r="341" spans="1:66" x14ac:dyDescent="0.25">
      <c r="A341" s="8">
        <v>5406</v>
      </c>
      <c r="B341" s="8" t="s">
        <v>655</v>
      </c>
      <c r="C341" s="5">
        <v>3000</v>
      </c>
      <c r="D341" s="5">
        <f>+$C341*BC341</f>
        <v>267.54469784622671</v>
      </c>
      <c r="E341" s="5">
        <f>+$C341*BD341</f>
        <v>319.95833650335595</v>
      </c>
      <c r="F341" s="5">
        <f>+$C341*BE341</f>
        <v>283.1654725456429</v>
      </c>
      <c r="G341" s="5">
        <f>+$C341*BF341</f>
        <v>214.48694960565146</v>
      </c>
      <c r="H341" s="5">
        <f>+$C341*BG341</f>
        <v>311.05715431610287</v>
      </c>
      <c r="I341" s="5">
        <f>+$C341*BH341</f>
        <v>254.91099285763391</v>
      </c>
      <c r="J341" s="5">
        <f>+$C341*BI341</f>
        <v>253.7816366317881</v>
      </c>
      <c r="K341" s="5">
        <f>+$C341*BJ341</f>
        <v>172.34131638833989</v>
      </c>
      <c r="L341" s="5">
        <f>+$C341*BK341</f>
        <v>255.46155703667242</v>
      </c>
      <c r="M341" s="5">
        <f>+$C341*BL341</f>
        <v>222.47417673910553</v>
      </c>
      <c r="N341" s="5">
        <f>+$C341*BM341</f>
        <v>227.15456757632151</v>
      </c>
      <c r="O341" s="5">
        <f>+$C341*BN341</f>
        <v>221.86667809702686</v>
      </c>
      <c r="P341" s="5">
        <v>0</v>
      </c>
      <c r="Q341" s="5">
        <f>+$P341*BC341</f>
        <v>0</v>
      </c>
      <c r="R341" s="5">
        <f>+$P341*BD341</f>
        <v>0</v>
      </c>
      <c r="S341" s="5">
        <f>+$P341*BE341</f>
        <v>0</v>
      </c>
      <c r="T341" s="5">
        <f>+$P341*BF341</f>
        <v>0</v>
      </c>
      <c r="U341" s="5">
        <f>+$P341*BG341</f>
        <v>0</v>
      </c>
      <c r="V341" s="5">
        <f>+$P341*BH341</f>
        <v>0</v>
      </c>
      <c r="W341" s="5">
        <f>+$P341*BI341</f>
        <v>0</v>
      </c>
      <c r="X341" s="5">
        <f>+$P341*BJ341</f>
        <v>0</v>
      </c>
      <c r="Y341" s="5">
        <f>+$P341*BK341</f>
        <v>0</v>
      </c>
      <c r="Z341" s="5">
        <f>+$P341*BL341</f>
        <v>0</v>
      </c>
      <c r="AA341" s="5">
        <f>+$P341*BM341</f>
        <v>0</v>
      </c>
      <c r="AB341" s="5">
        <f>+$P341*BN341</f>
        <v>0</v>
      </c>
      <c r="AC341" s="5">
        <v>0</v>
      </c>
      <c r="AD341" s="5">
        <f>+$AC341*BC341</f>
        <v>0</v>
      </c>
      <c r="AE341" s="5">
        <f>+$AC341*BD341</f>
        <v>0</v>
      </c>
      <c r="AF341" s="5">
        <f>+$AC341*BE341</f>
        <v>0</v>
      </c>
      <c r="AG341" s="5">
        <f>+$AC341*BF341</f>
        <v>0</v>
      </c>
      <c r="AH341" s="5">
        <f>+$AC341*BG341</f>
        <v>0</v>
      </c>
      <c r="AI341" s="5">
        <f>+$AC341*BH341</f>
        <v>0</v>
      </c>
      <c r="AJ341" s="5">
        <f>+$AC341*BI341</f>
        <v>0</v>
      </c>
      <c r="AK341" s="5">
        <f>+$AC341*BJ341</f>
        <v>0</v>
      </c>
      <c r="AL341" s="5">
        <f>+$AC341*BK341</f>
        <v>0</v>
      </c>
      <c r="AM341" s="5">
        <f>+$AC341*BL341</f>
        <v>0</v>
      </c>
      <c r="AN341" s="5">
        <f>+$AC341*BM341</f>
        <v>0</v>
      </c>
      <c r="AO341" s="5">
        <f>+$AC341*BN341</f>
        <v>0</v>
      </c>
      <c r="AP341" s="5">
        <f>+AC341+P341+C341</f>
        <v>3000</v>
      </c>
      <c r="AQ341" s="1">
        <v>178.36313189748449</v>
      </c>
      <c r="AR341" s="1">
        <v>213.30555766890396</v>
      </c>
      <c r="AS341" s="1">
        <v>188.77698169709529</v>
      </c>
      <c r="AT341" s="1">
        <v>142.99129973710097</v>
      </c>
      <c r="AU341" s="1">
        <v>207.37143621073525</v>
      </c>
      <c r="AV341" s="1">
        <v>169.94066190508929</v>
      </c>
      <c r="AW341" s="1">
        <v>169.18775775452542</v>
      </c>
      <c r="AX341" s="1">
        <v>114.89421092555993</v>
      </c>
      <c r="AY341" s="1">
        <v>170.30770469111494</v>
      </c>
      <c r="AZ341" s="1">
        <v>148.31611782607035</v>
      </c>
      <c r="BA341" s="1">
        <v>151.43637838421435</v>
      </c>
      <c r="BB341" s="1">
        <v>147.91111873135125</v>
      </c>
      <c r="BC341" s="2">
        <v>8.9181565948742242E-2</v>
      </c>
      <c r="BD341" s="2">
        <v>0.10665277883445198</v>
      </c>
      <c r="BE341" s="2">
        <v>9.438849084854764E-2</v>
      </c>
      <c r="BF341" s="2">
        <v>7.149564986855049E-2</v>
      </c>
      <c r="BG341" s="2">
        <v>0.10368571810536763</v>
      </c>
      <c r="BH341" s="2">
        <v>8.4970330952544637E-2</v>
      </c>
      <c r="BI341" s="2">
        <v>8.4593878877262704E-2</v>
      </c>
      <c r="BJ341" s="2">
        <v>5.7447105462779965E-2</v>
      </c>
      <c r="BK341" s="2">
        <v>8.5153852345557474E-2</v>
      </c>
      <c r="BL341" s="2">
        <v>7.4158058913035174E-2</v>
      </c>
      <c r="BM341" s="2">
        <v>7.5718189192107169E-2</v>
      </c>
      <c r="BN341" s="2">
        <v>7.3955559365675619E-2</v>
      </c>
    </row>
    <row r="342" spans="1:66" x14ac:dyDescent="0.25">
      <c r="A342" s="8">
        <v>5517</v>
      </c>
      <c r="B342" s="8" t="s">
        <v>654</v>
      </c>
      <c r="C342" s="5">
        <v>0</v>
      </c>
      <c r="D342" s="5">
        <f>+$C342*BC342</f>
        <v>0</v>
      </c>
      <c r="E342" s="5">
        <f>+$C342*BD342</f>
        <v>0</v>
      </c>
      <c r="F342" s="5">
        <f>+$C342*BE342</f>
        <v>0</v>
      </c>
      <c r="G342" s="5">
        <f>+$C342*BF342</f>
        <v>0</v>
      </c>
      <c r="H342" s="5">
        <f>+$C342*BG342</f>
        <v>0</v>
      </c>
      <c r="I342" s="5">
        <f>+$C342*BH342</f>
        <v>0</v>
      </c>
      <c r="J342" s="5">
        <f>+$C342*BI342</f>
        <v>0</v>
      </c>
      <c r="K342" s="5">
        <f>+$C342*BJ342</f>
        <v>0</v>
      </c>
      <c r="L342" s="5">
        <f>+$C342*BK342</f>
        <v>0</v>
      </c>
      <c r="M342" s="5">
        <f>+$C342*BL342</f>
        <v>0</v>
      </c>
      <c r="N342" s="5">
        <f>+$C342*BM342</f>
        <v>0</v>
      </c>
      <c r="O342" s="5">
        <f>+$C342*BN342</f>
        <v>0</v>
      </c>
      <c r="P342" s="5">
        <v>0</v>
      </c>
      <c r="Q342" s="5">
        <f>+$P342*BC342</f>
        <v>0</v>
      </c>
      <c r="R342" s="5">
        <f>+$P342*BD342</f>
        <v>0</v>
      </c>
      <c r="S342" s="5">
        <f>+$P342*BE342</f>
        <v>0</v>
      </c>
      <c r="T342" s="5">
        <f>+$P342*BF342</f>
        <v>0</v>
      </c>
      <c r="U342" s="5">
        <f>+$P342*BG342</f>
        <v>0</v>
      </c>
      <c r="V342" s="5">
        <f>+$P342*BH342</f>
        <v>0</v>
      </c>
      <c r="W342" s="5">
        <f>+$P342*BI342</f>
        <v>0</v>
      </c>
      <c r="X342" s="5">
        <f>+$P342*BJ342</f>
        <v>0</v>
      </c>
      <c r="Y342" s="5">
        <f>+$P342*BK342</f>
        <v>0</v>
      </c>
      <c r="Z342" s="5">
        <f>+$P342*BL342</f>
        <v>0</v>
      </c>
      <c r="AA342" s="5">
        <f>+$P342*BM342</f>
        <v>0</v>
      </c>
      <c r="AB342" s="5">
        <f>+$P342*BN342</f>
        <v>0</v>
      </c>
      <c r="AC342" s="5">
        <v>0</v>
      </c>
      <c r="AD342" s="5">
        <f>+$AC342*BC342</f>
        <v>0</v>
      </c>
      <c r="AE342" s="5">
        <f>+$AC342*BD342</f>
        <v>0</v>
      </c>
      <c r="AF342" s="5">
        <f>+$AC342*BE342</f>
        <v>0</v>
      </c>
      <c r="AG342" s="5">
        <f>+$AC342*BF342</f>
        <v>0</v>
      </c>
      <c r="AH342" s="5">
        <f>+$AC342*BG342</f>
        <v>0</v>
      </c>
      <c r="AI342" s="5">
        <f>+$AC342*BH342</f>
        <v>0</v>
      </c>
      <c r="AJ342" s="5">
        <f>+$AC342*BI342</f>
        <v>0</v>
      </c>
      <c r="AK342" s="5">
        <f>+$AC342*BJ342</f>
        <v>0</v>
      </c>
      <c r="AL342" s="5">
        <f>+$AC342*BK342</f>
        <v>0</v>
      </c>
      <c r="AM342" s="5">
        <f>+$AC342*BL342</f>
        <v>0</v>
      </c>
      <c r="AN342" s="5">
        <f>+$AC342*BM342</f>
        <v>0</v>
      </c>
      <c r="AO342" s="5">
        <f>+$AC342*BN342</f>
        <v>0</v>
      </c>
      <c r="AP342" s="5">
        <f>+AC342+P342+C342</f>
        <v>0</v>
      </c>
      <c r="AQ342" s="1">
        <v>178.36313189748449</v>
      </c>
      <c r="AR342" s="1">
        <v>213.30555766890396</v>
      </c>
      <c r="AS342" s="1">
        <v>188.77698169709529</v>
      </c>
      <c r="AT342" s="1">
        <v>142.99129973710097</v>
      </c>
      <c r="AU342" s="1">
        <v>207.37143621073525</v>
      </c>
      <c r="AV342" s="1">
        <v>169.94066190508929</v>
      </c>
      <c r="AW342" s="1">
        <v>169.18775775452542</v>
      </c>
      <c r="AX342" s="1">
        <v>114.89421092555993</v>
      </c>
      <c r="AY342" s="1">
        <v>170.30770469111494</v>
      </c>
      <c r="AZ342" s="1">
        <v>148.31611782607035</v>
      </c>
      <c r="BA342" s="1">
        <v>151.43637838421435</v>
      </c>
      <c r="BB342" s="1">
        <v>147.91111873135125</v>
      </c>
      <c r="BC342" s="2">
        <v>8.9181565948742242E-2</v>
      </c>
      <c r="BD342" s="2">
        <v>0.10665277883445198</v>
      </c>
      <c r="BE342" s="2">
        <v>9.438849084854764E-2</v>
      </c>
      <c r="BF342" s="2">
        <v>7.149564986855049E-2</v>
      </c>
      <c r="BG342" s="2">
        <v>0.10368571810536763</v>
      </c>
      <c r="BH342" s="2">
        <v>8.4970330952544637E-2</v>
      </c>
      <c r="BI342" s="2">
        <v>8.4593878877262704E-2</v>
      </c>
      <c r="BJ342" s="2">
        <v>5.7447105462779965E-2</v>
      </c>
      <c r="BK342" s="2">
        <v>8.5153852345557474E-2</v>
      </c>
      <c r="BL342" s="2">
        <v>7.4158058913035174E-2</v>
      </c>
      <c r="BM342" s="2">
        <v>7.5718189192107169E-2</v>
      </c>
      <c r="BN342" s="2">
        <v>7.3955559365675619E-2</v>
      </c>
    </row>
    <row r="343" spans="1:66" x14ac:dyDescent="0.25">
      <c r="A343" s="8">
        <v>6542</v>
      </c>
      <c r="B343" s="8" t="s">
        <v>653</v>
      </c>
      <c r="C343" s="5">
        <v>0</v>
      </c>
      <c r="D343" s="5">
        <f>+$C343*BC343</f>
        <v>0</v>
      </c>
      <c r="E343" s="5">
        <f>+$C343*BD343</f>
        <v>0</v>
      </c>
      <c r="F343" s="5">
        <f>+$C343*BE343</f>
        <v>0</v>
      </c>
      <c r="G343" s="5">
        <f>+$C343*BF343</f>
        <v>0</v>
      </c>
      <c r="H343" s="5">
        <f>+$C343*BG343</f>
        <v>0</v>
      </c>
      <c r="I343" s="5">
        <f>+$C343*BH343</f>
        <v>0</v>
      </c>
      <c r="J343" s="5">
        <f>+$C343*BI343</f>
        <v>0</v>
      </c>
      <c r="K343" s="5">
        <f>+$C343*BJ343</f>
        <v>0</v>
      </c>
      <c r="L343" s="5">
        <f>+$C343*BK343</f>
        <v>0</v>
      </c>
      <c r="M343" s="5">
        <f>+$C343*BL343</f>
        <v>0</v>
      </c>
      <c r="N343" s="5">
        <f>+$C343*BM343</f>
        <v>0</v>
      </c>
      <c r="O343" s="5">
        <f>+$C343*BN343</f>
        <v>0</v>
      </c>
      <c r="P343" s="5">
        <v>0</v>
      </c>
      <c r="Q343" s="5">
        <f>+$P343*BC343</f>
        <v>0</v>
      </c>
      <c r="R343" s="5">
        <f>+$P343*BD343</f>
        <v>0</v>
      </c>
      <c r="S343" s="5">
        <f>+$P343*BE343</f>
        <v>0</v>
      </c>
      <c r="T343" s="5">
        <f>+$P343*BF343</f>
        <v>0</v>
      </c>
      <c r="U343" s="5">
        <f>+$P343*BG343</f>
        <v>0</v>
      </c>
      <c r="V343" s="5">
        <f>+$P343*BH343</f>
        <v>0</v>
      </c>
      <c r="W343" s="5">
        <f>+$P343*BI343</f>
        <v>0</v>
      </c>
      <c r="X343" s="5">
        <f>+$P343*BJ343</f>
        <v>0</v>
      </c>
      <c r="Y343" s="5">
        <f>+$P343*BK343</f>
        <v>0</v>
      </c>
      <c r="Z343" s="5">
        <f>+$P343*BL343</f>
        <v>0</v>
      </c>
      <c r="AA343" s="5">
        <f>+$P343*BM343</f>
        <v>0</v>
      </c>
      <c r="AB343" s="5">
        <f>+$P343*BN343</f>
        <v>0</v>
      </c>
      <c r="AC343" s="5">
        <v>1500</v>
      </c>
      <c r="AD343" s="5">
        <f>+$AC343*BC343</f>
        <v>133.77234892311336</v>
      </c>
      <c r="AE343" s="5">
        <f>+$AC343*BD343</f>
        <v>159.97916825167798</v>
      </c>
      <c r="AF343" s="5">
        <f>+$AC343*BE343</f>
        <v>141.58273627282145</v>
      </c>
      <c r="AG343" s="5">
        <f>+$AC343*BF343</f>
        <v>107.24347480282573</v>
      </c>
      <c r="AH343" s="5">
        <f>+$AC343*BG343</f>
        <v>155.52857715805143</v>
      </c>
      <c r="AI343" s="5">
        <f>+$AC343*BH343</f>
        <v>127.45549642881696</v>
      </c>
      <c r="AJ343" s="5">
        <f>+$AC343*BI343</f>
        <v>126.89081831589405</v>
      </c>
      <c r="AK343" s="5">
        <f>+$AC343*BJ343</f>
        <v>86.170658194169945</v>
      </c>
      <c r="AL343" s="5">
        <f>+$AC343*BK343</f>
        <v>127.73077851833621</v>
      </c>
      <c r="AM343" s="5">
        <f>+$AC343*BL343</f>
        <v>111.23708836955277</v>
      </c>
      <c r="AN343" s="5">
        <f>+$AC343*BM343</f>
        <v>113.57728378816076</v>
      </c>
      <c r="AO343" s="5">
        <f>+$AC343*BN343</f>
        <v>110.93333904851343</v>
      </c>
      <c r="AP343" s="5">
        <f>+AC343+P343+C343</f>
        <v>1500</v>
      </c>
      <c r="AQ343" s="1">
        <v>178.36313189748449</v>
      </c>
      <c r="AR343" s="1">
        <v>213.30555766890396</v>
      </c>
      <c r="AS343" s="1">
        <v>188.77698169709529</v>
      </c>
      <c r="AT343" s="1">
        <v>142.99129973710097</v>
      </c>
      <c r="AU343" s="1">
        <v>207.37143621073525</v>
      </c>
      <c r="AV343" s="1">
        <v>169.94066190508929</v>
      </c>
      <c r="AW343" s="1">
        <v>169.18775775452542</v>
      </c>
      <c r="AX343" s="1">
        <v>114.89421092555993</v>
      </c>
      <c r="AY343" s="1">
        <v>170.30770469111494</v>
      </c>
      <c r="AZ343" s="1">
        <v>148.31611782607035</v>
      </c>
      <c r="BA343" s="1">
        <v>151.43637838421435</v>
      </c>
      <c r="BB343" s="1">
        <v>147.91111873135125</v>
      </c>
      <c r="BC343" s="2">
        <v>8.9181565948742242E-2</v>
      </c>
      <c r="BD343" s="2">
        <v>0.10665277883445198</v>
      </c>
      <c r="BE343" s="2">
        <v>9.438849084854764E-2</v>
      </c>
      <c r="BF343" s="2">
        <v>7.149564986855049E-2</v>
      </c>
      <c r="BG343" s="2">
        <v>0.10368571810536763</v>
      </c>
      <c r="BH343" s="2">
        <v>8.4970330952544637E-2</v>
      </c>
      <c r="BI343" s="2">
        <v>8.4593878877262704E-2</v>
      </c>
      <c r="BJ343" s="2">
        <v>5.7447105462779965E-2</v>
      </c>
      <c r="BK343" s="2">
        <v>8.5153852345557474E-2</v>
      </c>
      <c r="BL343" s="2">
        <v>7.4158058913035174E-2</v>
      </c>
      <c r="BM343" s="2">
        <v>7.5718189192107169E-2</v>
      </c>
      <c r="BN343" s="2">
        <v>7.3955559365675619E-2</v>
      </c>
    </row>
    <row r="344" spans="1:66" x14ac:dyDescent="0.25">
      <c r="A344" s="8">
        <v>6578</v>
      </c>
      <c r="B344" s="8" t="s">
        <v>652</v>
      </c>
      <c r="C344" s="5">
        <v>0</v>
      </c>
      <c r="D344" s="5">
        <f>+$C344*BC344</f>
        <v>0</v>
      </c>
      <c r="E344" s="5">
        <f>+$C344*BD344</f>
        <v>0</v>
      </c>
      <c r="F344" s="5">
        <f>+$C344*BE344</f>
        <v>0</v>
      </c>
      <c r="G344" s="5">
        <f>+$C344*BF344</f>
        <v>0</v>
      </c>
      <c r="H344" s="5">
        <f>+$C344*BG344</f>
        <v>0</v>
      </c>
      <c r="I344" s="5">
        <f>+$C344*BH344</f>
        <v>0</v>
      </c>
      <c r="J344" s="5">
        <f>+$C344*BI344</f>
        <v>0</v>
      </c>
      <c r="K344" s="5">
        <f>+$C344*BJ344</f>
        <v>0</v>
      </c>
      <c r="L344" s="5">
        <f>+$C344*BK344</f>
        <v>0</v>
      </c>
      <c r="M344" s="5">
        <f>+$C344*BL344</f>
        <v>0</v>
      </c>
      <c r="N344" s="5">
        <f>+$C344*BM344</f>
        <v>0</v>
      </c>
      <c r="O344" s="5">
        <f>+$C344*BN344</f>
        <v>0</v>
      </c>
      <c r="P344" s="5">
        <v>0</v>
      </c>
      <c r="Q344" s="5">
        <f>+$P344*BC344</f>
        <v>0</v>
      </c>
      <c r="R344" s="5">
        <f>+$P344*BD344</f>
        <v>0</v>
      </c>
      <c r="S344" s="5">
        <f>+$P344*BE344</f>
        <v>0</v>
      </c>
      <c r="T344" s="5">
        <f>+$P344*BF344</f>
        <v>0</v>
      </c>
      <c r="U344" s="5">
        <f>+$P344*BG344</f>
        <v>0</v>
      </c>
      <c r="V344" s="5">
        <f>+$P344*BH344</f>
        <v>0</v>
      </c>
      <c r="W344" s="5">
        <f>+$P344*BI344</f>
        <v>0</v>
      </c>
      <c r="X344" s="5">
        <f>+$P344*BJ344</f>
        <v>0</v>
      </c>
      <c r="Y344" s="5">
        <f>+$P344*BK344</f>
        <v>0</v>
      </c>
      <c r="Z344" s="5">
        <f>+$P344*BL344</f>
        <v>0</v>
      </c>
      <c r="AA344" s="5">
        <f>+$P344*BM344</f>
        <v>0</v>
      </c>
      <c r="AB344" s="5">
        <f>+$P344*BN344</f>
        <v>0</v>
      </c>
      <c r="AC344" s="5">
        <v>0</v>
      </c>
      <c r="AD344" s="5">
        <f>+$AC344*BC344</f>
        <v>0</v>
      </c>
      <c r="AE344" s="5">
        <f>+$AC344*BD344</f>
        <v>0</v>
      </c>
      <c r="AF344" s="5">
        <f>+$AC344*BE344</f>
        <v>0</v>
      </c>
      <c r="AG344" s="5">
        <f>+$AC344*BF344</f>
        <v>0</v>
      </c>
      <c r="AH344" s="5">
        <f>+$AC344*BG344</f>
        <v>0</v>
      </c>
      <c r="AI344" s="5">
        <f>+$AC344*BH344</f>
        <v>0</v>
      </c>
      <c r="AJ344" s="5">
        <f>+$AC344*BI344</f>
        <v>0</v>
      </c>
      <c r="AK344" s="5">
        <f>+$AC344*BJ344</f>
        <v>0</v>
      </c>
      <c r="AL344" s="5">
        <f>+$AC344*BK344</f>
        <v>0</v>
      </c>
      <c r="AM344" s="5">
        <f>+$AC344*BL344</f>
        <v>0</v>
      </c>
      <c r="AN344" s="5">
        <f>+$AC344*BM344</f>
        <v>0</v>
      </c>
      <c r="AO344" s="5">
        <f>+$AC344*BN344</f>
        <v>0</v>
      </c>
      <c r="AP344" s="5">
        <f>+AC344+P344+C344</f>
        <v>0</v>
      </c>
      <c r="AQ344" s="1">
        <v>178.36313189748449</v>
      </c>
      <c r="AR344" s="1">
        <v>213.30555766890396</v>
      </c>
      <c r="AS344" s="1">
        <v>188.77698169709529</v>
      </c>
      <c r="AT344" s="1">
        <v>142.99129973710097</v>
      </c>
      <c r="AU344" s="1">
        <v>207.37143621073525</v>
      </c>
      <c r="AV344" s="1">
        <v>169.94066190508929</v>
      </c>
      <c r="AW344" s="1">
        <v>169.18775775452542</v>
      </c>
      <c r="AX344" s="1">
        <v>114.89421092555993</v>
      </c>
      <c r="AY344" s="1">
        <v>170.30770469111494</v>
      </c>
      <c r="AZ344" s="1">
        <v>148.31611782607035</v>
      </c>
      <c r="BA344" s="1">
        <v>151.43637838421435</v>
      </c>
      <c r="BB344" s="1">
        <v>147.91111873135125</v>
      </c>
      <c r="BC344" s="2">
        <v>8.9181565948742242E-2</v>
      </c>
      <c r="BD344" s="2">
        <v>0.10665277883445198</v>
      </c>
      <c r="BE344" s="2">
        <v>9.438849084854764E-2</v>
      </c>
      <c r="BF344" s="2">
        <v>7.149564986855049E-2</v>
      </c>
      <c r="BG344" s="2">
        <v>0.10368571810536763</v>
      </c>
      <c r="BH344" s="2">
        <v>8.4970330952544637E-2</v>
      </c>
      <c r="BI344" s="2">
        <v>8.4593878877262704E-2</v>
      </c>
      <c r="BJ344" s="2">
        <v>5.7447105462779965E-2</v>
      </c>
      <c r="BK344" s="2">
        <v>8.5153852345557474E-2</v>
      </c>
      <c r="BL344" s="2">
        <v>7.4158058913035174E-2</v>
      </c>
      <c r="BM344" s="2">
        <v>7.5718189192107169E-2</v>
      </c>
      <c r="BN344" s="2">
        <v>7.3955559365675619E-2</v>
      </c>
    </row>
    <row r="345" spans="1:66" x14ac:dyDescent="0.25">
      <c r="A345" s="8">
        <v>6593</v>
      </c>
      <c r="B345" s="8" t="s">
        <v>651</v>
      </c>
      <c r="C345" s="5">
        <v>0</v>
      </c>
      <c r="D345" s="5">
        <f>+$C345*BC345</f>
        <v>0</v>
      </c>
      <c r="E345" s="5">
        <f>+$C345*BD345</f>
        <v>0</v>
      </c>
      <c r="F345" s="5">
        <f>+$C345*BE345</f>
        <v>0</v>
      </c>
      <c r="G345" s="5">
        <f>+$C345*BF345</f>
        <v>0</v>
      </c>
      <c r="H345" s="5">
        <f>+$C345*BG345</f>
        <v>0</v>
      </c>
      <c r="I345" s="5">
        <f>+$C345*BH345</f>
        <v>0</v>
      </c>
      <c r="J345" s="5">
        <f>+$C345*BI345</f>
        <v>0</v>
      </c>
      <c r="K345" s="5">
        <f>+$C345*BJ345</f>
        <v>0</v>
      </c>
      <c r="L345" s="5">
        <f>+$C345*BK345</f>
        <v>0</v>
      </c>
      <c r="M345" s="5">
        <f>+$C345*BL345</f>
        <v>0</v>
      </c>
      <c r="N345" s="5">
        <f>+$C345*BM345</f>
        <v>0</v>
      </c>
      <c r="O345" s="5">
        <f>+$C345*BN345</f>
        <v>0</v>
      </c>
      <c r="P345" s="5">
        <v>0</v>
      </c>
      <c r="Q345" s="5">
        <f>+$P345*BC345</f>
        <v>0</v>
      </c>
      <c r="R345" s="5">
        <f>+$P345*BD345</f>
        <v>0</v>
      </c>
      <c r="S345" s="5">
        <f>+$P345*BE345</f>
        <v>0</v>
      </c>
      <c r="T345" s="5">
        <f>+$P345*BF345</f>
        <v>0</v>
      </c>
      <c r="U345" s="5">
        <f>+$P345*BG345</f>
        <v>0</v>
      </c>
      <c r="V345" s="5">
        <f>+$P345*BH345</f>
        <v>0</v>
      </c>
      <c r="W345" s="5">
        <f>+$P345*BI345</f>
        <v>0</v>
      </c>
      <c r="X345" s="5">
        <f>+$P345*BJ345</f>
        <v>0</v>
      </c>
      <c r="Y345" s="5">
        <f>+$P345*BK345</f>
        <v>0</v>
      </c>
      <c r="Z345" s="5">
        <f>+$P345*BL345</f>
        <v>0</v>
      </c>
      <c r="AA345" s="5">
        <f>+$P345*BM345</f>
        <v>0</v>
      </c>
      <c r="AB345" s="5">
        <f>+$P345*BN345</f>
        <v>0</v>
      </c>
      <c r="AC345" s="5">
        <v>1600</v>
      </c>
      <c r="AD345" s="5">
        <f>+$AC345*BC345</f>
        <v>142.69050551798759</v>
      </c>
      <c r="AE345" s="5">
        <f>+$AC345*BD345</f>
        <v>170.64444613512316</v>
      </c>
      <c r="AF345" s="5">
        <f>+$AC345*BE345</f>
        <v>151.02158535767623</v>
      </c>
      <c r="AG345" s="5">
        <f>+$AC345*BF345</f>
        <v>114.39303978968078</v>
      </c>
      <c r="AH345" s="5">
        <f>+$AC345*BG345</f>
        <v>165.8971489685882</v>
      </c>
      <c r="AI345" s="5">
        <f>+$AC345*BH345</f>
        <v>135.95252952407142</v>
      </c>
      <c r="AJ345" s="5">
        <f>+$AC345*BI345</f>
        <v>135.35020620362033</v>
      </c>
      <c r="AK345" s="5">
        <f>+$AC345*BJ345</f>
        <v>91.915368740447946</v>
      </c>
      <c r="AL345" s="5">
        <f>+$AC345*BK345</f>
        <v>136.24616375289196</v>
      </c>
      <c r="AM345" s="5">
        <f>+$AC345*BL345</f>
        <v>118.65289426085627</v>
      </c>
      <c r="AN345" s="5">
        <f>+$AC345*BM345</f>
        <v>121.14910270737147</v>
      </c>
      <c r="AO345" s="5">
        <f>+$AC345*BN345</f>
        <v>118.32889498508099</v>
      </c>
      <c r="AP345" s="5">
        <f>+AC345+P345+C345</f>
        <v>1600</v>
      </c>
      <c r="AQ345" s="1">
        <v>178.36313189748449</v>
      </c>
      <c r="AR345" s="1">
        <v>213.30555766890396</v>
      </c>
      <c r="AS345" s="1">
        <v>188.77698169709529</v>
      </c>
      <c r="AT345" s="1">
        <v>142.99129973710097</v>
      </c>
      <c r="AU345" s="1">
        <v>207.37143621073525</v>
      </c>
      <c r="AV345" s="1">
        <v>169.94066190508929</v>
      </c>
      <c r="AW345" s="1">
        <v>169.18775775452542</v>
      </c>
      <c r="AX345" s="1">
        <v>114.89421092555993</v>
      </c>
      <c r="AY345" s="1">
        <v>170.30770469111494</v>
      </c>
      <c r="AZ345" s="1">
        <v>148.31611782607035</v>
      </c>
      <c r="BA345" s="1">
        <v>151.43637838421435</v>
      </c>
      <c r="BB345" s="1">
        <v>147.91111873135125</v>
      </c>
      <c r="BC345" s="2">
        <v>8.9181565948742242E-2</v>
      </c>
      <c r="BD345" s="2">
        <v>0.10665277883445198</v>
      </c>
      <c r="BE345" s="2">
        <v>9.438849084854764E-2</v>
      </c>
      <c r="BF345" s="2">
        <v>7.149564986855049E-2</v>
      </c>
      <c r="BG345" s="2">
        <v>0.10368571810536763</v>
      </c>
      <c r="BH345" s="2">
        <v>8.4970330952544637E-2</v>
      </c>
      <c r="BI345" s="2">
        <v>8.4593878877262704E-2</v>
      </c>
      <c r="BJ345" s="2">
        <v>5.7447105462779965E-2</v>
      </c>
      <c r="BK345" s="2">
        <v>8.5153852345557474E-2</v>
      </c>
      <c r="BL345" s="2">
        <v>7.4158058913035174E-2</v>
      </c>
      <c r="BM345" s="2">
        <v>7.5718189192107169E-2</v>
      </c>
      <c r="BN345" s="2">
        <v>7.3955559365675619E-2</v>
      </c>
    </row>
    <row r="346" spans="1:66" x14ac:dyDescent="0.25">
      <c r="A346" s="8">
        <v>6612</v>
      </c>
      <c r="B346" s="8" t="s">
        <v>650</v>
      </c>
      <c r="C346" s="5">
        <v>0</v>
      </c>
      <c r="D346" s="5">
        <f>+$C346*BC346</f>
        <v>0</v>
      </c>
      <c r="E346" s="5">
        <f>+$C346*BD346</f>
        <v>0</v>
      </c>
      <c r="F346" s="5">
        <f>+$C346*BE346</f>
        <v>0</v>
      </c>
      <c r="G346" s="5">
        <f>+$C346*BF346</f>
        <v>0</v>
      </c>
      <c r="H346" s="5">
        <f>+$C346*BG346</f>
        <v>0</v>
      </c>
      <c r="I346" s="5">
        <f>+$C346*BH346</f>
        <v>0</v>
      </c>
      <c r="J346" s="5">
        <f>+$C346*BI346</f>
        <v>0</v>
      </c>
      <c r="K346" s="5">
        <f>+$C346*BJ346</f>
        <v>0</v>
      </c>
      <c r="L346" s="5">
        <f>+$C346*BK346</f>
        <v>0</v>
      </c>
      <c r="M346" s="5">
        <f>+$C346*BL346</f>
        <v>0</v>
      </c>
      <c r="N346" s="5">
        <f>+$C346*BM346</f>
        <v>0</v>
      </c>
      <c r="O346" s="5">
        <f>+$C346*BN346</f>
        <v>0</v>
      </c>
      <c r="P346" s="5">
        <v>2500</v>
      </c>
      <c r="Q346" s="5">
        <f>+$P346*BC346</f>
        <v>222.9539148718556</v>
      </c>
      <c r="R346" s="5">
        <f>+$P346*BD346</f>
        <v>266.63194708612997</v>
      </c>
      <c r="S346" s="5">
        <f>+$P346*BE346</f>
        <v>235.97122712136911</v>
      </c>
      <c r="T346" s="5">
        <f>+$P346*BF346</f>
        <v>178.73912467137623</v>
      </c>
      <c r="U346" s="5">
        <f>+$P346*BG346</f>
        <v>259.21429526341905</v>
      </c>
      <c r="V346" s="5">
        <f>+$P346*BH346</f>
        <v>212.42582738136159</v>
      </c>
      <c r="W346" s="5">
        <f>+$P346*BI346</f>
        <v>211.48469719315676</v>
      </c>
      <c r="X346" s="5">
        <f>+$P346*BJ346</f>
        <v>143.6177636569499</v>
      </c>
      <c r="Y346" s="5">
        <f>+$P346*BK346</f>
        <v>212.88463086389368</v>
      </c>
      <c r="Z346" s="5">
        <f>+$P346*BL346</f>
        <v>185.39514728258794</v>
      </c>
      <c r="AA346" s="5">
        <f>+$P346*BM346</f>
        <v>189.29547298026793</v>
      </c>
      <c r="AB346" s="5">
        <f>+$P346*BN346</f>
        <v>184.88889841418904</v>
      </c>
      <c r="AC346" s="5">
        <v>0</v>
      </c>
      <c r="AD346" s="5">
        <f>+$AC346*BC346</f>
        <v>0</v>
      </c>
      <c r="AE346" s="5">
        <f>+$AC346*BD346</f>
        <v>0</v>
      </c>
      <c r="AF346" s="5">
        <f>+$AC346*BE346</f>
        <v>0</v>
      </c>
      <c r="AG346" s="5">
        <f>+$AC346*BF346</f>
        <v>0</v>
      </c>
      <c r="AH346" s="5">
        <f>+$AC346*BG346</f>
        <v>0</v>
      </c>
      <c r="AI346" s="5">
        <f>+$AC346*BH346</f>
        <v>0</v>
      </c>
      <c r="AJ346" s="5">
        <f>+$AC346*BI346</f>
        <v>0</v>
      </c>
      <c r="AK346" s="5">
        <f>+$AC346*BJ346</f>
        <v>0</v>
      </c>
      <c r="AL346" s="5">
        <f>+$AC346*BK346</f>
        <v>0</v>
      </c>
      <c r="AM346" s="5">
        <f>+$AC346*BL346</f>
        <v>0</v>
      </c>
      <c r="AN346" s="5">
        <f>+$AC346*BM346</f>
        <v>0</v>
      </c>
      <c r="AO346" s="5">
        <f>+$AC346*BN346</f>
        <v>0</v>
      </c>
      <c r="AP346" s="5">
        <f>+AC346+P346+C346</f>
        <v>2500</v>
      </c>
      <c r="AQ346" s="1">
        <v>178.36313189748449</v>
      </c>
      <c r="AR346" s="1">
        <v>213.30555766890396</v>
      </c>
      <c r="AS346" s="1">
        <v>188.77698169709529</v>
      </c>
      <c r="AT346" s="1">
        <v>142.99129973710097</v>
      </c>
      <c r="AU346" s="1">
        <v>207.37143621073525</v>
      </c>
      <c r="AV346" s="1">
        <v>169.94066190508929</v>
      </c>
      <c r="AW346" s="1">
        <v>169.18775775452542</v>
      </c>
      <c r="AX346" s="1">
        <v>114.89421092555993</v>
      </c>
      <c r="AY346" s="1">
        <v>170.30770469111494</v>
      </c>
      <c r="AZ346" s="1">
        <v>148.31611782607035</v>
      </c>
      <c r="BA346" s="1">
        <v>151.43637838421435</v>
      </c>
      <c r="BB346" s="1">
        <v>147.91111873135125</v>
      </c>
      <c r="BC346" s="2">
        <v>8.9181565948742242E-2</v>
      </c>
      <c r="BD346" s="2">
        <v>0.10665277883445198</v>
      </c>
      <c r="BE346" s="2">
        <v>9.438849084854764E-2</v>
      </c>
      <c r="BF346" s="2">
        <v>7.149564986855049E-2</v>
      </c>
      <c r="BG346" s="2">
        <v>0.10368571810536763</v>
      </c>
      <c r="BH346" s="2">
        <v>8.4970330952544637E-2</v>
      </c>
      <c r="BI346" s="2">
        <v>8.4593878877262704E-2</v>
      </c>
      <c r="BJ346" s="2">
        <v>5.7447105462779965E-2</v>
      </c>
      <c r="BK346" s="2">
        <v>8.5153852345557474E-2</v>
      </c>
      <c r="BL346" s="2">
        <v>7.4158058913035174E-2</v>
      </c>
      <c r="BM346" s="2">
        <v>7.5718189192107169E-2</v>
      </c>
      <c r="BN346" s="2">
        <v>7.3955559365675619E-2</v>
      </c>
    </row>
    <row r="347" spans="1:66" x14ac:dyDescent="0.25">
      <c r="A347" s="8">
        <v>6619</v>
      </c>
      <c r="B347" s="8" t="s">
        <v>649</v>
      </c>
      <c r="C347" s="5">
        <v>0</v>
      </c>
      <c r="D347" s="5">
        <f>+$C347*BC347</f>
        <v>0</v>
      </c>
      <c r="E347" s="5">
        <f>+$C347*BD347</f>
        <v>0</v>
      </c>
      <c r="F347" s="5">
        <f>+$C347*BE347</f>
        <v>0</v>
      </c>
      <c r="G347" s="5">
        <f>+$C347*BF347</f>
        <v>0</v>
      </c>
      <c r="H347" s="5">
        <f>+$C347*BG347</f>
        <v>0</v>
      </c>
      <c r="I347" s="5">
        <f>+$C347*BH347</f>
        <v>0</v>
      </c>
      <c r="J347" s="5">
        <f>+$C347*BI347</f>
        <v>0</v>
      </c>
      <c r="K347" s="5">
        <f>+$C347*BJ347</f>
        <v>0</v>
      </c>
      <c r="L347" s="5">
        <f>+$C347*BK347</f>
        <v>0</v>
      </c>
      <c r="M347" s="5">
        <f>+$C347*BL347</f>
        <v>0</v>
      </c>
      <c r="N347" s="5">
        <f>+$C347*BM347</f>
        <v>0</v>
      </c>
      <c r="O347" s="5">
        <f>+$C347*BN347</f>
        <v>0</v>
      </c>
      <c r="P347" s="5">
        <v>0</v>
      </c>
      <c r="Q347" s="5">
        <f>+$P347*BC347</f>
        <v>0</v>
      </c>
      <c r="R347" s="5">
        <f>+$P347*BD347</f>
        <v>0</v>
      </c>
      <c r="S347" s="5">
        <f>+$P347*BE347</f>
        <v>0</v>
      </c>
      <c r="T347" s="5">
        <f>+$P347*BF347</f>
        <v>0</v>
      </c>
      <c r="U347" s="5">
        <f>+$P347*BG347</f>
        <v>0</v>
      </c>
      <c r="V347" s="5">
        <f>+$P347*BH347</f>
        <v>0</v>
      </c>
      <c r="W347" s="5">
        <f>+$P347*BI347</f>
        <v>0</v>
      </c>
      <c r="X347" s="5">
        <f>+$P347*BJ347</f>
        <v>0</v>
      </c>
      <c r="Y347" s="5">
        <f>+$P347*BK347</f>
        <v>0</v>
      </c>
      <c r="Z347" s="5">
        <f>+$P347*BL347</f>
        <v>0</v>
      </c>
      <c r="AA347" s="5">
        <f>+$P347*BM347</f>
        <v>0</v>
      </c>
      <c r="AB347" s="5">
        <f>+$P347*BN347</f>
        <v>0</v>
      </c>
      <c r="AC347" s="5">
        <v>2000</v>
      </c>
      <c r="AD347" s="5">
        <f>+$AC347*BC347</f>
        <v>178.36313189748449</v>
      </c>
      <c r="AE347" s="5">
        <f>+$AC347*BD347</f>
        <v>213.30555766890396</v>
      </c>
      <c r="AF347" s="5">
        <f>+$AC347*BE347</f>
        <v>188.77698169709529</v>
      </c>
      <c r="AG347" s="5">
        <f>+$AC347*BF347</f>
        <v>142.99129973710097</v>
      </c>
      <c r="AH347" s="5">
        <f>+$AC347*BG347</f>
        <v>207.37143621073525</v>
      </c>
      <c r="AI347" s="5">
        <f>+$AC347*BH347</f>
        <v>169.94066190508929</v>
      </c>
      <c r="AJ347" s="5">
        <f>+$AC347*BI347</f>
        <v>169.18775775452542</v>
      </c>
      <c r="AK347" s="5">
        <f>+$AC347*BJ347</f>
        <v>114.89421092555993</v>
      </c>
      <c r="AL347" s="5">
        <f>+$AC347*BK347</f>
        <v>170.30770469111494</v>
      </c>
      <c r="AM347" s="5">
        <f>+$AC347*BL347</f>
        <v>148.31611782607035</v>
      </c>
      <c r="AN347" s="5">
        <f>+$AC347*BM347</f>
        <v>151.43637838421435</v>
      </c>
      <c r="AO347" s="5">
        <f>+$AC347*BN347</f>
        <v>147.91111873135125</v>
      </c>
      <c r="AP347" s="5">
        <f>+AC347+P347+C347</f>
        <v>2000</v>
      </c>
      <c r="AQ347" s="1">
        <v>178.36313189748449</v>
      </c>
      <c r="AR347" s="1">
        <v>213.30555766890396</v>
      </c>
      <c r="AS347" s="1">
        <v>188.77698169709529</v>
      </c>
      <c r="AT347" s="1">
        <v>142.99129973710097</v>
      </c>
      <c r="AU347" s="1">
        <v>207.37143621073525</v>
      </c>
      <c r="AV347" s="1">
        <v>169.94066190508929</v>
      </c>
      <c r="AW347" s="1">
        <v>169.18775775452542</v>
      </c>
      <c r="AX347" s="1">
        <v>114.89421092555993</v>
      </c>
      <c r="AY347" s="1">
        <v>170.30770469111494</v>
      </c>
      <c r="AZ347" s="1">
        <v>148.31611782607035</v>
      </c>
      <c r="BA347" s="1">
        <v>151.43637838421435</v>
      </c>
      <c r="BB347" s="1">
        <v>147.91111873135125</v>
      </c>
      <c r="BC347" s="2">
        <v>8.9181565948742242E-2</v>
      </c>
      <c r="BD347" s="2">
        <v>0.10665277883445198</v>
      </c>
      <c r="BE347" s="2">
        <v>9.438849084854764E-2</v>
      </c>
      <c r="BF347" s="2">
        <v>7.149564986855049E-2</v>
      </c>
      <c r="BG347" s="2">
        <v>0.10368571810536763</v>
      </c>
      <c r="BH347" s="2">
        <v>8.4970330952544637E-2</v>
      </c>
      <c r="BI347" s="2">
        <v>8.4593878877262704E-2</v>
      </c>
      <c r="BJ347" s="2">
        <v>5.7447105462779965E-2</v>
      </c>
      <c r="BK347" s="2">
        <v>8.5153852345557474E-2</v>
      </c>
      <c r="BL347" s="2">
        <v>7.4158058913035174E-2</v>
      </c>
      <c r="BM347" s="2">
        <v>7.5718189192107169E-2</v>
      </c>
      <c r="BN347" s="2">
        <v>7.3955559365675619E-2</v>
      </c>
    </row>
    <row r="348" spans="1:66" x14ac:dyDescent="0.25">
      <c r="A348" s="8">
        <v>6634</v>
      </c>
      <c r="B348" s="8" t="s">
        <v>648</v>
      </c>
      <c r="C348" s="5">
        <v>0</v>
      </c>
      <c r="D348" s="5">
        <f>+$C348*BC348</f>
        <v>0</v>
      </c>
      <c r="E348" s="5">
        <f>+$C348*BD348</f>
        <v>0</v>
      </c>
      <c r="F348" s="5">
        <f>+$C348*BE348</f>
        <v>0</v>
      </c>
      <c r="G348" s="5">
        <f>+$C348*BF348</f>
        <v>0</v>
      </c>
      <c r="H348" s="5">
        <f>+$C348*BG348</f>
        <v>0</v>
      </c>
      <c r="I348" s="5">
        <f>+$C348*BH348</f>
        <v>0</v>
      </c>
      <c r="J348" s="5">
        <f>+$C348*BI348</f>
        <v>0</v>
      </c>
      <c r="K348" s="5">
        <f>+$C348*BJ348</f>
        <v>0</v>
      </c>
      <c r="L348" s="5">
        <f>+$C348*BK348</f>
        <v>0</v>
      </c>
      <c r="M348" s="5">
        <f>+$C348*BL348</f>
        <v>0</v>
      </c>
      <c r="N348" s="5">
        <f>+$C348*BM348</f>
        <v>0</v>
      </c>
      <c r="O348" s="5">
        <f>+$C348*BN348</f>
        <v>0</v>
      </c>
      <c r="P348" s="5">
        <v>0</v>
      </c>
      <c r="Q348" s="5">
        <f>+$P348*BC348</f>
        <v>0</v>
      </c>
      <c r="R348" s="5">
        <f>+$P348*BD348</f>
        <v>0</v>
      </c>
      <c r="S348" s="5">
        <f>+$P348*BE348</f>
        <v>0</v>
      </c>
      <c r="T348" s="5">
        <f>+$P348*BF348</f>
        <v>0</v>
      </c>
      <c r="U348" s="5">
        <f>+$P348*BG348</f>
        <v>0</v>
      </c>
      <c r="V348" s="5">
        <f>+$P348*BH348</f>
        <v>0</v>
      </c>
      <c r="W348" s="5">
        <f>+$P348*BI348</f>
        <v>0</v>
      </c>
      <c r="X348" s="5">
        <f>+$P348*BJ348</f>
        <v>0</v>
      </c>
      <c r="Y348" s="5">
        <f>+$P348*BK348</f>
        <v>0</v>
      </c>
      <c r="Z348" s="5">
        <f>+$P348*BL348</f>
        <v>0</v>
      </c>
      <c r="AA348" s="5">
        <f>+$P348*BM348</f>
        <v>0</v>
      </c>
      <c r="AB348" s="5">
        <f>+$P348*BN348</f>
        <v>0</v>
      </c>
      <c r="AC348" s="5">
        <v>0</v>
      </c>
      <c r="AD348" s="5">
        <f>+$AC348*BC348</f>
        <v>0</v>
      </c>
      <c r="AE348" s="5">
        <f>+$AC348*BD348</f>
        <v>0</v>
      </c>
      <c r="AF348" s="5">
        <f>+$AC348*BE348</f>
        <v>0</v>
      </c>
      <c r="AG348" s="5">
        <f>+$AC348*BF348</f>
        <v>0</v>
      </c>
      <c r="AH348" s="5">
        <f>+$AC348*BG348</f>
        <v>0</v>
      </c>
      <c r="AI348" s="5">
        <f>+$AC348*BH348</f>
        <v>0</v>
      </c>
      <c r="AJ348" s="5">
        <f>+$AC348*BI348</f>
        <v>0</v>
      </c>
      <c r="AK348" s="5">
        <f>+$AC348*BJ348</f>
        <v>0</v>
      </c>
      <c r="AL348" s="5">
        <f>+$AC348*BK348</f>
        <v>0</v>
      </c>
      <c r="AM348" s="5">
        <f>+$AC348*BL348</f>
        <v>0</v>
      </c>
      <c r="AN348" s="5">
        <f>+$AC348*BM348</f>
        <v>0</v>
      </c>
      <c r="AO348" s="5">
        <f>+$AC348*BN348</f>
        <v>0</v>
      </c>
      <c r="AP348" s="5">
        <f>+AC348+P348+C348</f>
        <v>0</v>
      </c>
      <c r="AQ348" s="1">
        <v>178.36313189748449</v>
      </c>
      <c r="AR348" s="1">
        <v>213.30555766890396</v>
      </c>
      <c r="AS348" s="1">
        <v>188.77698169709529</v>
      </c>
      <c r="AT348" s="1">
        <v>142.99129973710097</v>
      </c>
      <c r="AU348" s="1">
        <v>207.37143621073525</v>
      </c>
      <c r="AV348" s="1">
        <v>169.94066190508929</v>
      </c>
      <c r="AW348" s="1">
        <v>169.18775775452542</v>
      </c>
      <c r="AX348" s="1">
        <v>114.89421092555993</v>
      </c>
      <c r="AY348" s="1">
        <v>170.30770469111494</v>
      </c>
      <c r="AZ348" s="1">
        <v>148.31611782607035</v>
      </c>
      <c r="BA348" s="1">
        <v>151.43637838421435</v>
      </c>
      <c r="BB348" s="1">
        <v>147.91111873135125</v>
      </c>
      <c r="BC348" s="2">
        <v>8.9181565948742242E-2</v>
      </c>
      <c r="BD348" s="2">
        <v>0.10665277883445198</v>
      </c>
      <c r="BE348" s="2">
        <v>9.438849084854764E-2</v>
      </c>
      <c r="BF348" s="2">
        <v>7.149564986855049E-2</v>
      </c>
      <c r="BG348" s="2">
        <v>0.10368571810536763</v>
      </c>
      <c r="BH348" s="2">
        <v>8.4970330952544637E-2</v>
      </c>
      <c r="BI348" s="2">
        <v>8.4593878877262704E-2</v>
      </c>
      <c r="BJ348" s="2">
        <v>5.7447105462779965E-2</v>
      </c>
      <c r="BK348" s="2">
        <v>8.5153852345557474E-2</v>
      </c>
      <c r="BL348" s="2">
        <v>7.4158058913035174E-2</v>
      </c>
      <c r="BM348" s="2">
        <v>7.5718189192107169E-2</v>
      </c>
      <c r="BN348" s="2">
        <v>7.3955559365675619E-2</v>
      </c>
    </row>
    <row r="349" spans="1:66" x14ac:dyDescent="0.25">
      <c r="A349" s="8">
        <v>6680</v>
      </c>
      <c r="B349" s="8" t="s">
        <v>647</v>
      </c>
      <c r="C349" s="5">
        <v>0</v>
      </c>
      <c r="D349" s="5">
        <f>+$C349*BC349</f>
        <v>0</v>
      </c>
      <c r="E349" s="5">
        <f>+$C349*BD349</f>
        <v>0</v>
      </c>
      <c r="F349" s="5">
        <f>+$C349*BE349</f>
        <v>0</v>
      </c>
      <c r="G349" s="5">
        <f>+$C349*BF349</f>
        <v>0</v>
      </c>
      <c r="H349" s="5">
        <f>+$C349*BG349</f>
        <v>0</v>
      </c>
      <c r="I349" s="5">
        <f>+$C349*BH349</f>
        <v>0</v>
      </c>
      <c r="J349" s="5">
        <f>+$C349*BI349</f>
        <v>0</v>
      </c>
      <c r="K349" s="5">
        <f>+$C349*BJ349</f>
        <v>0</v>
      </c>
      <c r="L349" s="5">
        <f>+$C349*BK349</f>
        <v>0</v>
      </c>
      <c r="M349" s="5">
        <f>+$C349*BL349</f>
        <v>0</v>
      </c>
      <c r="N349" s="5">
        <f>+$C349*BM349</f>
        <v>0</v>
      </c>
      <c r="O349" s="5">
        <f>+$C349*BN349</f>
        <v>0</v>
      </c>
      <c r="P349" s="5">
        <v>0</v>
      </c>
      <c r="Q349" s="5">
        <f>+$P349*BC349</f>
        <v>0</v>
      </c>
      <c r="R349" s="5">
        <f>+$P349*BD349</f>
        <v>0</v>
      </c>
      <c r="S349" s="5">
        <f>+$P349*BE349</f>
        <v>0</v>
      </c>
      <c r="T349" s="5">
        <f>+$P349*BF349</f>
        <v>0</v>
      </c>
      <c r="U349" s="5">
        <f>+$P349*BG349</f>
        <v>0</v>
      </c>
      <c r="V349" s="5">
        <f>+$P349*BH349</f>
        <v>0</v>
      </c>
      <c r="W349" s="5">
        <f>+$P349*BI349</f>
        <v>0</v>
      </c>
      <c r="X349" s="5">
        <f>+$P349*BJ349</f>
        <v>0</v>
      </c>
      <c r="Y349" s="5">
        <f>+$P349*BK349</f>
        <v>0</v>
      </c>
      <c r="Z349" s="5">
        <f>+$P349*BL349</f>
        <v>0</v>
      </c>
      <c r="AA349" s="5">
        <f>+$P349*BM349</f>
        <v>0</v>
      </c>
      <c r="AB349" s="5">
        <f>+$P349*BN349</f>
        <v>0</v>
      </c>
      <c r="AC349" s="5">
        <v>2000</v>
      </c>
      <c r="AD349" s="5">
        <f>+$AC349*BC349</f>
        <v>178.36313189748449</v>
      </c>
      <c r="AE349" s="5">
        <f>+$AC349*BD349</f>
        <v>213.30555766890396</v>
      </c>
      <c r="AF349" s="5">
        <f>+$AC349*BE349</f>
        <v>188.77698169709529</v>
      </c>
      <c r="AG349" s="5">
        <f>+$AC349*BF349</f>
        <v>142.99129973710097</v>
      </c>
      <c r="AH349" s="5">
        <f>+$AC349*BG349</f>
        <v>207.37143621073525</v>
      </c>
      <c r="AI349" s="5">
        <f>+$AC349*BH349</f>
        <v>169.94066190508929</v>
      </c>
      <c r="AJ349" s="5">
        <f>+$AC349*BI349</f>
        <v>169.18775775452542</v>
      </c>
      <c r="AK349" s="5">
        <f>+$AC349*BJ349</f>
        <v>114.89421092555993</v>
      </c>
      <c r="AL349" s="5">
        <f>+$AC349*BK349</f>
        <v>170.30770469111494</v>
      </c>
      <c r="AM349" s="5">
        <f>+$AC349*BL349</f>
        <v>148.31611782607035</v>
      </c>
      <c r="AN349" s="5">
        <f>+$AC349*BM349</f>
        <v>151.43637838421435</v>
      </c>
      <c r="AO349" s="5">
        <f>+$AC349*BN349</f>
        <v>147.91111873135125</v>
      </c>
      <c r="AP349" s="5">
        <f>+AC349+P349+C349</f>
        <v>2000</v>
      </c>
      <c r="AQ349" s="1">
        <v>178.36313189748449</v>
      </c>
      <c r="AR349" s="1">
        <v>213.30555766890396</v>
      </c>
      <c r="AS349" s="1">
        <v>188.77698169709529</v>
      </c>
      <c r="AT349" s="1">
        <v>142.99129973710097</v>
      </c>
      <c r="AU349" s="1">
        <v>207.37143621073525</v>
      </c>
      <c r="AV349" s="1">
        <v>169.94066190508929</v>
      </c>
      <c r="AW349" s="1">
        <v>169.18775775452542</v>
      </c>
      <c r="AX349" s="1">
        <v>114.89421092555993</v>
      </c>
      <c r="AY349" s="1">
        <v>170.30770469111494</v>
      </c>
      <c r="AZ349" s="1">
        <v>148.31611782607035</v>
      </c>
      <c r="BA349" s="1">
        <v>151.43637838421435</v>
      </c>
      <c r="BB349" s="1">
        <v>147.91111873135125</v>
      </c>
      <c r="BC349" s="2">
        <v>8.9181565948742242E-2</v>
      </c>
      <c r="BD349" s="2">
        <v>0.10665277883445198</v>
      </c>
      <c r="BE349" s="2">
        <v>9.438849084854764E-2</v>
      </c>
      <c r="BF349" s="2">
        <v>7.149564986855049E-2</v>
      </c>
      <c r="BG349" s="2">
        <v>0.10368571810536763</v>
      </c>
      <c r="BH349" s="2">
        <v>8.4970330952544637E-2</v>
      </c>
      <c r="BI349" s="2">
        <v>8.4593878877262704E-2</v>
      </c>
      <c r="BJ349" s="2">
        <v>5.7447105462779965E-2</v>
      </c>
      <c r="BK349" s="2">
        <v>8.5153852345557474E-2</v>
      </c>
      <c r="BL349" s="2">
        <v>7.4158058913035174E-2</v>
      </c>
      <c r="BM349" s="2">
        <v>7.5718189192107169E-2</v>
      </c>
      <c r="BN349" s="2">
        <v>7.3955559365675619E-2</v>
      </c>
    </row>
    <row r="350" spans="1:66" x14ac:dyDescent="0.25">
      <c r="A350" s="8">
        <v>17319</v>
      </c>
      <c r="B350" s="8" t="s">
        <v>646</v>
      </c>
      <c r="C350" s="5">
        <v>0</v>
      </c>
      <c r="D350" s="5">
        <f>+$C350*BC350</f>
        <v>0</v>
      </c>
      <c r="E350" s="5">
        <f>+$C350*BD350</f>
        <v>0</v>
      </c>
      <c r="F350" s="5">
        <f>+$C350*BE350</f>
        <v>0</v>
      </c>
      <c r="G350" s="5">
        <f>+$C350*BF350</f>
        <v>0</v>
      </c>
      <c r="H350" s="5">
        <f>+$C350*BG350</f>
        <v>0</v>
      </c>
      <c r="I350" s="5">
        <f>+$C350*BH350</f>
        <v>0</v>
      </c>
      <c r="J350" s="5">
        <f>+$C350*BI350</f>
        <v>0</v>
      </c>
      <c r="K350" s="5">
        <f>+$C350*BJ350</f>
        <v>0</v>
      </c>
      <c r="L350" s="5">
        <f>+$C350*BK350</f>
        <v>0</v>
      </c>
      <c r="M350" s="5">
        <f>+$C350*BL350</f>
        <v>0</v>
      </c>
      <c r="N350" s="5">
        <f>+$C350*BM350</f>
        <v>0</v>
      </c>
      <c r="O350" s="5">
        <f>+$C350*BN350</f>
        <v>0</v>
      </c>
      <c r="P350" s="5">
        <v>0</v>
      </c>
      <c r="Q350" s="5">
        <f>+$P350*BC350</f>
        <v>0</v>
      </c>
      <c r="R350" s="5">
        <f>+$P350*BD350</f>
        <v>0</v>
      </c>
      <c r="S350" s="5">
        <f>+$P350*BE350</f>
        <v>0</v>
      </c>
      <c r="T350" s="5">
        <f>+$P350*BF350</f>
        <v>0</v>
      </c>
      <c r="U350" s="5">
        <f>+$P350*BG350</f>
        <v>0</v>
      </c>
      <c r="V350" s="5">
        <f>+$P350*BH350</f>
        <v>0</v>
      </c>
      <c r="W350" s="5">
        <f>+$P350*BI350</f>
        <v>0</v>
      </c>
      <c r="X350" s="5">
        <f>+$P350*BJ350</f>
        <v>0</v>
      </c>
      <c r="Y350" s="5">
        <f>+$P350*BK350</f>
        <v>0</v>
      </c>
      <c r="Z350" s="5">
        <f>+$P350*BL350</f>
        <v>0</v>
      </c>
      <c r="AA350" s="5">
        <f>+$P350*BM350</f>
        <v>0</v>
      </c>
      <c r="AB350" s="5">
        <f>+$P350*BN350</f>
        <v>0</v>
      </c>
      <c r="AC350" s="5">
        <v>0</v>
      </c>
      <c r="AD350" s="5">
        <f>+$AC350*BC350</f>
        <v>0</v>
      </c>
      <c r="AE350" s="5">
        <f>+$AC350*BD350</f>
        <v>0</v>
      </c>
      <c r="AF350" s="5">
        <f>+$AC350*BE350</f>
        <v>0</v>
      </c>
      <c r="AG350" s="5">
        <f>+$AC350*BF350</f>
        <v>0</v>
      </c>
      <c r="AH350" s="5">
        <f>+$AC350*BG350</f>
        <v>0</v>
      </c>
      <c r="AI350" s="5">
        <f>+$AC350*BH350</f>
        <v>0</v>
      </c>
      <c r="AJ350" s="5">
        <f>+$AC350*BI350</f>
        <v>0</v>
      </c>
      <c r="AK350" s="5">
        <f>+$AC350*BJ350</f>
        <v>0</v>
      </c>
      <c r="AL350" s="5">
        <f>+$AC350*BK350</f>
        <v>0</v>
      </c>
      <c r="AM350" s="5">
        <f>+$AC350*BL350</f>
        <v>0</v>
      </c>
      <c r="AN350" s="5">
        <f>+$AC350*BM350</f>
        <v>0</v>
      </c>
      <c r="AO350" s="5">
        <f>+$AC350*BN350</f>
        <v>0</v>
      </c>
      <c r="AP350" s="5">
        <f>+AC350+P350+C350</f>
        <v>0</v>
      </c>
      <c r="AQ350" s="1">
        <v>178.36313189748449</v>
      </c>
      <c r="AR350" s="1">
        <v>213.30555766890396</v>
      </c>
      <c r="AS350" s="1">
        <v>188.77698169709529</v>
      </c>
      <c r="AT350" s="1">
        <v>142.99129973710097</v>
      </c>
      <c r="AU350" s="1">
        <v>207.37143621073525</v>
      </c>
      <c r="AV350" s="1">
        <v>169.94066190508929</v>
      </c>
      <c r="AW350" s="1">
        <v>169.18775775452542</v>
      </c>
      <c r="AX350" s="1">
        <v>114.89421092555993</v>
      </c>
      <c r="AY350" s="1">
        <v>170.30770469111494</v>
      </c>
      <c r="AZ350" s="1">
        <v>148.31611782607035</v>
      </c>
      <c r="BA350" s="1">
        <v>151.43637838421435</v>
      </c>
      <c r="BB350" s="1">
        <v>147.91111873135125</v>
      </c>
      <c r="BC350" s="2">
        <v>8.9181565948742242E-2</v>
      </c>
      <c r="BD350" s="2">
        <v>0.10665277883445198</v>
      </c>
      <c r="BE350" s="2">
        <v>9.438849084854764E-2</v>
      </c>
      <c r="BF350" s="2">
        <v>7.149564986855049E-2</v>
      </c>
      <c r="BG350" s="2">
        <v>0.10368571810536763</v>
      </c>
      <c r="BH350" s="2">
        <v>8.4970330952544637E-2</v>
      </c>
      <c r="BI350" s="2">
        <v>8.4593878877262704E-2</v>
      </c>
      <c r="BJ350" s="2">
        <v>5.7447105462779965E-2</v>
      </c>
      <c r="BK350" s="2">
        <v>8.5153852345557474E-2</v>
      </c>
      <c r="BL350" s="2">
        <v>7.4158058913035174E-2</v>
      </c>
      <c r="BM350" s="2">
        <v>7.5718189192107169E-2</v>
      </c>
      <c r="BN350" s="2">
        <v>7.3955559365675619E-2</v>
      </c>
    </row>
    <row r="351" spans="1:66" x14ac:dyDescent="0.25">
      <c r="A351" s="8">
        <v>29206</v>
      </c>
      <c r="B351" s="8" t="s">
        <v>645</v>
      </c>
      <c r="C351" s="5">
        <v>2000</v>
      </c>
      <c r="D351" s="5">
        <f>+$C351*BC351</f>
        <v>178.36313189748449</v>
      </c>
      <c r="E351" s="5">
        <f>+$C351*BD351</f>
        <v>213.30555766890396</v>
      </c>
      <c r="F351" s="5">
        <f>+$C351*BE351</f>
        <v>188.77698169709529</v>
      </c>
      <c r="G351" s="5">
        <f>+$C351*BF351</f>
        <v>142.99129973710097</v>
      </c>
      <c r="H351" s="5">
        <f>+$C351*BG351</f>
        <v>207.37143621073525</v>
      </c>
      <c r="I351" s="5">
        <f>+$C351*BH351</f>
        <v>169.94066190508929</v>
      </c>
      <c r="J351" s="5">
        <f>+$C351*BI351</f>
        <v>169.18775775452542</v>
      </c>
      <c r="K351" s="5">
        <f>+$C351*BJ351</f>
        <v>114.89421092555993</v>
      </c>
      <c r="L351" s="5">
        <f>+$C351*BK351</f>
        <v>170.30770469111494</v>
      </c>
      <c r="M351" s="5">
        <f>+$C351*BL351</f>
        <v>148.31611782607035</v>
      </c>
      <c r="N351" s="5">
        <f>+$C351*BM351</f>
        <v>151.43637838421435</v>
      </c>
      <c r="O351" s="5">
        <f>+$C351*BN351</f>
        <v>147.91111873135125</v>
      </c>
      <c r="P351" s="5">
        <v>4000</v>
      </c>
      <c r="Q351" s="5">
        <f>+$P351*BC351</f>
        <v>356.72626379496899</v>
      </c>
      <c r="R351" s="5">
        <f>+$P351*BD351</f>
        <v>426.61111533780792</v>
      </c>
      <c r="S351" s="5">
        <f>+$P351*BE351</f>
        <v>377.55396339419059</v>
      </c>
      <c r="T351" s="5">
        <f>+$P351*BF351</f>
        <v>285.98259947420195</v>
      </c>
      <c r="U351" s="5">
        <f>+$P351*BG351</f>
        <v>414.74287242147051</v>
      </c>
      <c r="V351" s="5">
        <f>+$P351*BH351</f>
        <v>339.88132381017857</v>
      </c>
      <c r="W351" s="5">
        <f>+$P351*BI351</f>
        <v>338.37551550905084</v>
      </c>
      <c r="X351" s="5">
        <f>+$P351*BJ351</f>
        <v>229.78842185111986</v>
      </c>
      <c r="Y351" s="5">
        <f>+$P351*BK351</f>
        <v>340.61540938222987</v>
      </c>
      <c r="Z351" s="5">
        <f>+$P351*BL351</f>
        <v>296.63223565214071</v>
      </c>
      <c r="AA351" s="5">
        <f>+$P351*BM351</f>
        <v>302.8727567684287</v>
      </c>
      <c r="AB351" s="5">
        <f>+$P351*BN351</f>
        <v>295.8222374627025</v>
      </c>
      <c r="AC351" s="5">
        <v>0</v>
      </c>
      <c r="AD351" s="5">
        <f>+$AC351*BC351</f>
        <v>0</v>
      </c>
      <c r="AE351" s="5">
        <f>+$AC351*BD351</f>
        <v>0</v>
      </c>
      <c r="AF351" s="5">
        <f>+$AC351*BE351</f>
        <v>0</v>
      </c>
      <c r="AG351" s="5">
        <f>+$AC351*BF351</f>
        <v>0</v>
      </c>
      <c r="AH351" s="5">
        <f>+$AC351*BG351</f>
        <v>0</v>
      </c>
      <c r="AI351" s="5">
        <f>+$AC351*BH351</f>
        <v>0</v>
      </c>
      <c r="AJ351" s="5">
        <f>+$AC351*BI351</f>
        <v>0</v>
      </c>
      <c r="AK351" s="5">
        <f>+$AC351*BJ351</f>
        <v>0</v>
      </c>
      <c r="AL351" s="5">
        <f>+$AC351*BK351</f>
        <v>0</v>
      </c>
      <c r="AM351" s="5">
        <f>+$AC351*BL351</f>
        <v>0</v>
      </c>
      <c r="AN351" s="5">
        <f>+$AC351*BM351</f>
        <v>0</v>
      </c>
      <c r="AO351" s="5">
        <f>+$AC351*BN351</f>
        <v>0</v>
      </c>
      <c r="AP351" s="5">
        <f>+AC351+P351+C351</f>
        <v>6000</v>
      </c>
      <c r="AQ351" s="1">
        <v>178.36313189748449</v>
      </c>
      <c r="AR351" s="1">
        <v>213.30555766890396</v>
      </c>
      <c r="AS351" s="1">
        <v>188.77698169709529</v>
      </c>
      <c r="AT351" s="1">
        <v>142.99129973710097</v>
      </c>
      <c r="AU351" s="1">
        <v>207.37143621073525</v>
      </c>
      <c r="AV351" s="1">
        <v>169.94066190508929</v>
      </c>
      <c r="AW351" s="1">
        <v>169.18775775452542</v>
      </c>
      <c r="AX351" s="1">
        <v>114.89421092555993</v>
      </c>
      <c r="AY351" s="1">
        <v>170.30770469111494</v>
      </c>
      <c r="AZ351" s="1">
        <v>148.31611782607035</v>
      </c>
      <c r="BA351" s="1">
        <v>151.43637838421435</v>
      </c>
      <c r="BB351" s="1">
        <v>147.91111873135125</v>
      </c>
      <c r="BC351" s="2">
        <v>8.9181565948742242E-2</v>
      </c>
      <c r="BD351" s="2">
        <v>0.10665277883445198</v>
      </c>
      <c r="BE351" s="2">
        <v>9.438849084854764E-2</v>
      </c>
      <c r="BF351" s="2">
        <v>7.149564986855049E-2</v>
      </c>
      <c r="BG351" s="2">
        <v>0.10368571810536763</v>
      </c>
      <c r="BH351" s="2">
        <v>8.4970330952544637E-2</v>
      </c>
      <c r="BI351" s="2">
        <v>8.4593878877262704E-2</v>
      </c>
      <c r="BJ351" s="2">
        <v>5.7447105462779965E-2</v>
      </c>
      <c r="BK351" s="2">
        <v>8.5153852345557474E-2</v>
      </c>
      <c r="BL351" s="2">
        <v>7.4158058913035174E-2</v>
      </c>
      <c r="BM351" s="2">
        <v>7.5718189192107169E-2</v>
      </c>
      <c r="BN351" s="2">
        <v>7.3955559365675619E-2</v>
      </c>
    </row>
    <row r="352" spans="1:66" x14ac:dyDescent="0.25">
      <c r="A352" s="8">
        <v>1716</v>
      </c>
      <c r="B352" s="8" t="s">
        <v>644</v>
      </c>
      <c r="C352" s="5">
        <v>1000</v>
      </c>
      <c r="D352" s="5">
        <f>+$C352*BC352</f>
        <v>89.181565948742247</v>
      </c>
      <c r="E352" s="5">
        <f>+$C352*BD352</f>
        <v>106.65277883445198</v>
      </c>
      <c r="F352" s="5">
        <f>+$C352*BE352</f>
        <v>94.388490848547647</v>
      </c>
      <c r="G352" s="5">
        <f>+$C352*BF352</f>
        <v>71.495649868550487</v>
      </c>
      <c r="H352" s="5">
        <f>+$C352*BG352</f>
        <v>103.68571810536763</v>
      </c>
      <c r="I352" s="5">
        <f>+$C352*BH352</f>
        <v>84.970330952544643</v>
      </c>
      <c r="J352" s="5">
        <f>+$C352*BI352</f>
        <v>84.593878877262711</v>
      </c>
      <c r="K352" s="5">
        <f>+$C352*BJ352</f>
        <v>57.447105462779966</v>
      </c>
      <c r="L352" s="5">
        <f>+$C352*BK352</f>
        <v>85.153852345557468</v>
      </c>
      <c r="M352" s="5">
        <f>+$C352*BL352</f>
        <v>74.158058913035177</v>
      </c>
      <c r="N352" s="5">
        <f>+$C352*BM352</f>
        <v>75.718189192107175</v>
      </c>
      <c r="O352" s="5">
        <f>+$C352*BN352</f>
        <v>73.955559365675626</v>
      </c>
      <c r="P352" s="5">
        <v>0</v>
      </c>
      <c r="Q352" s="5">
        <f>+$P352*BC352</f>
        <v>0</v>
      </c>
      <c r="R352" s="5">
        <f>+$P352*BD352</f>
        <v>0</v>
      </c>
      <c r="S352" s="5">
        <f>+$P352*BE352</f>
        <v>0</v>
      </c>
      <c r="T352" s="5">
        <f>+$P352*BF352</f>
        <v>0</v>
      </c>
      <c r="U352" s="5">
        <f>+$P352*BG352</f>
        <v>0</v>
      </c>
      <c r="V352" s="5">
        <f>+$P352*BH352</f>
        <v>0</v>
      </c>
      <c r="W352" s="5">
        <f>+$P352*BI352</f>
        <v>0</v>
      </c>
      <c r="X352" s="5">
        <f>+$P352*BJ352</f>
        <v>0</v>
      </c>
      <c r="Y352" s="5">
        <f>+$P352*BK352</f>
        <v>0</v>
      </c>
      <c r="Z352" s="5">
        <f>+$P352*BL352</f>
        <v>0</v>
      </c>
      <c r="AA352" s="5">
        <f>+$P352*BM352</f>
        <v>0</v>
      </c>
      <c r="AB352" s="5">
        <f>+$P352*BN352</f>
        <v>0</v>
      </c>
      <c r="AC352" s="5">
        <v>0</v>
      </c>
      <c r="AD352" s="5">
        <f>+$AC352*BC352</f>
        <v>0</v>
      </c>
      <c r="AE352" s="5">
        <f>+$AC352*BD352</f>
        <v>0</v>
      </c>
      <c r="AF352" s="5">
        <f>+$AC352*BE352</f>
        <v>0</v>
      </c>
      <c r="AG352" s="5">
        <f>+$AC352*BF352</f>
        <v>0</v>
      </c>
      <c r="AH352" s="5">
        <f>+$AC352*BG352</f>
        <v>0</v>
      </c>
      <c r="AI352" s="5">
        <f>+$AC352*BH352</f>
        <v>0</v>
      </c>
      <c r="AJ352" s="5">
        <f>+$AC352*BI352</f>
        <v>0</v>
      </c>
      <c r="AK352" s="5">
        <f>+$AC352*BJ352</f>
        <v>0</v>
      </c>
      <c r="AL352" s="5">
        <f>+$AC352*BK352</f>
        <v>0</v>
      </c>
      <c r="AM352" s="5">
        <f>+$AC352*BL352</f>
        <v>0</v>
      </c>
      <c r="AN352" s="5">
        <f>+$AC352*BM352</f>
        <v>0</v>
      </c>
      <c r="AO352" s="5">
        <f>+$AC352*BN352</f>
        <v>0</v>
      </c>
      <c r="AP352" s="5">
        <f>+AC352+P352+C352</f>
        <v>1000</v>
      </c>
      <c r="AQ352" s="1">
        <v>178.36313189748449</v>
      </c>
      <c r="AR352" s="1">
        <v>213.30555766890396</v>
      </c>
      <c r="AS352" s="1">
        <v>188.77698169709529</v>
      </c>
      <c r="AT352" s="1">
        <v>142.99129973710097</v>
      </c>
      <c r="AU352" s="1">
        <v>207.37143621073525</v>
      </c>
      <c r="AV352" s="1">
        <v>169.94066190508929</v>
      </c>
      <c r="AW352" s="1">
        <v>169.18775775452542</v>
      </c>
      <c r="AX352" s="1">
        <v>114.89421092555993</v>
      </c>
      <c r="AY352" s="1">
        <v>170.30770469111494</v>
      </c>
      <c r="AZ352" s="1">
        <v>148.31611782607035</v>
      </c>
      <c r="BA352" s="1">
        <v>151.43637838421435</v>
      </c>
      <c r="BB352" s="1">
        <v>147.91111873135125</v>
      </c>
      <c r="BC352" s="2">
        <v>8.9181565948742242E-2</v>
      </c>
      <c r="BD352" s="2">
        <v>0.10665277883445198</v>
      </c>
      <c r="BE352" s="2">
        <v>9.438849084854764E-2</v>
      </c>
      <c r="BF352" s="2">
        <v>7.149564986855049E-2</v>
      </c>
      <c r="BG352" s="2">
        <v>0.10368571810536763</v>
      </c>
      <c r="BH352" s="2">
        <v>8.4970330952544637E-2</v>
      </c>
      <c r="BI352" s="2">
        <v>8.4593878877262704E-2</v>
      </c>
      <c r="BJ352" s="2">
        <v>5.7447105462779965E-2</v>
      </c>
      <c r="BK352" s="2">
        <v>8.5153852345557474E-2</v>
      </c>
      <c r="BL352" s="2">
        <v>7.4158058913035174E-2</v>
      </c>
      <c r="BM352" s="2">
        <v>7.5718189192107169E-2</v>
      </c>
      <c r="BN352" s="2">
        <v>7.3955559365675619E-2</v>
      </c>
    </row>
    <row r="353" spans="1:66" x14ac:dyDescent="0.25">
      <c r="A353" s="8">
        <v>34046</v>
      </c>
      <c r="B353" s="8" t="s">
        <v>643</v>
      </c>
      <c r="C353" s="5">
        <v>1500</v>
      </c>
      <c r="D353" s="5">
        <f>+$C353*BC353</f>
        <v>133.77234892311336</v>
      </c>
      <c r="E353" s="5">
        <f>+$C353*BD353</f>
        <v>159.97916825167798</v>
      </c>
      <c r="F353" s="5">
        <f>+$C353*BE353</f>
        <v>141.58273627282145</v>
      </c>
      <c r="G353" s="5">
        <f>+$C353*BF353</f>
        <v>107.24347480282573</v>
      </c>
      <c r="H353" s="5">
        <f>+$C353*BG353</f>
        <v>155.52857715805143</v>
      </c>
      <c r="I353" s="5">
        <f>+$C353*BH353</f>
        <v>127.45549642881696</v>
      </c>
      <c r="J353" s="5">
        <f>+$C353*BI353</f>
        <v>126.89081831589405</v>
      </c>
      <c r="K353" s="5">
        <f>+$C353*BJ353</f>
        <v>86.170658194169945</v>
      </c>
      <c r="L353" s="5">
        <f>+$C353*BK353</f>
        <v>127.73077851833621</v>
      </c>
      <c r="M353" s="5">
        <f>+$C353*BL353</f>
        <v>111.23708836955277</v>
      </c>
      <c r="N353" s="5">
        <f>+$C353*BM353</f>
        <v>113.57728378816076</v>
      </c>
      <c r="O353" s="5">
        <f>+$C353*BN353</f>
        <v>110.93333904851343</v>
      </c>
      <c r="P353" s="5">
        <v>0</v>
      </c>
      <c r="Q353" s="5">
        <f>+$P353*BC353</f>
        <v>0</v>
      </c>
      <c r="R353" s="5">
        <f>+$P353*BD353</f>
        <v>0</v>
      </c>
      <c r="S353" s="5">
        <f>+$P353*BE353</f>
        <v>0</v>
      </c>
      <c r="T353" s="5">
        <f>+$P353*BF353</f>
        <v>0</v>
      </c>
      <c r="U353" s="5">
        <f>+$P353*BG353</f>
        <v>0</v>
      </c>
      <c r="V353" s="5">
        <f>+$P353*BH353</f>
        <v>0</v>
      </c>
      <c r="W353" s="5">
        <f>+$P353*BI353</f>
        <v>0</v>
      </c>
      <c r="X353" s="5">
        <f>+$P353*BJ353</f>
        <v>0</v>
      </c>
      <c r="Y353" s="5">
        <f>+$P353*BK353</f>
        <v>0</v>
      </c>
      <c r="Z353" s="5">
        <f>+$P353*BL353</f>
        <v>0</v>
      </c>
      <c r="AA353" s="5">
        <f>+$P353*BM353</f>
        <v>0</v>
      </c>
      <c r="AB353" s="5">
        <f>+$P353*BN353</f>
        <v>0</v>
      </c>
      <c r="AC353" s="5">
        <v>0</v>
      </c>
      <c r="AD353" s="5">
        <f>+$AC353*BC353</f>
        <v>0</v>
      </c>
      <c r="AE353" s="5">
        <f>+$AC353*BD353</f>
        <v>0</v>
      </c>
      <c r="AF353" s="5">
        <f>+$AC353*BE353</f>
        <v>0</v>
      </c>
      <c r="AG353" s="5">
        <f>+$AC353*BF353</f>
        <v>0</v>
      </c>
      <c r="AH353" s="5">
        <f>+$AC353*BG353</f>
        <v>0</v>
      </c>
      <c r="AI353" s="5">
        <f>+$AC353*BH353</f>
        <v>0</v>
      </c>
      <c r="AJ353" s="5">
        <f>+$AC353*BI353</f>
        <v>0</v>
      </c>
      <c r="AK353" s="5">
        <f>+$AC353*BJ353</f>
        <v>0</v>
      </c>
      <c r="AL353" s="5">
        <f>+$AC353*BK353</f>
        <v>0</v>
      </c>
      <c r="AM353" s="5">
        <f>+$AC353*BL353</f>
        <v>0</v>
      </c>
      <c r="AN353" s="5">
        <f>+$AC353*BM353</f>
        <v>0</v>
      </c>
      <c r="AO353" s="5">
        <f>+$AC353*BN353</f>
        <v>0</v>
      </c>
      <c r="AP353" s="5">
        <f>+AC353+P353+C353</f>
        <v>1500</v>
      </c>
      <c r="AQ353" s="1">
        <v>169.31236231404449</v>
      </c>
      <c r="AR353" s="1">
        <v>202.48168710333195</v>
      </c>
      <c r="AS353" s="1">
        <v>179.19777692634875</v>
      </c>
      <c r="AT353" s="1">
        <v>135.73542071889142</v>
      </c>
      <c r="AU353" s="1">
        <v>196.84868373737584</v>
      </c>
      <c r="AV353" s="1">
        <v>161.3172779277084</v>
      </c>
      <c r="AW353" s="1">
        <v>160.60257876890867</v>
      </c>
      <c r="AX353" s="1">
        <v>109.06407653345879</v>
      </c>
      <c r="AY353" s="1">
        <v>161.66569567812138</v>
      </c>
      <c r="AZ353" s="1">
        <v>140.79003890116317</v>
      </c>
      <c r="BA353" s="1">
        <v>143.75196651767496</v>
      </c>
      <c r="BB353" s="1">
        <v>140.40559087800693</v>
      </c>
      <c r="BC353" s="2">
        <v>8.9181565948742242E-2</v>
      </c>
      <c r="BD353" s="2">
        <v>0.10665277883445198</v>
      </c>
      <c r="BE353" s="2">
        <v>9.438849084854764E-2</v>
      </c>
      <c r="BF353" s="2">
        <v>7.149564986855049E-2</v>
      </c>
      <c r="BG353" s="2">
        <v>0.10368571810536763</v>
      </c>
      <c r="BH353" s="2">
        <v>8.4970330952544637E-2</v>
      </c>
      <c r="BI353" s="2">
        <v>8.4593878877262704E-2</v>
      </c>
      <c r="BJ353" s="2">
        <v>5.7447105462779965E-2</v>
      </c>
      <c r="BK353" s="2">
        <v>8.5153852345557474E-2</v>
      </c>
      <c r="BL353" s="2">
        <v>7.4158058913035174E-2</v>
      </c>
      <c r="BM353" s="2">
        <v>7.5718189192107169E-2</v>
      </c>
      <c r="BN353" s="2">
        <v>7.3955559365675619E-2</v>
      </c>
    </row>
    <row r="354" spans="1:66" x14ac:dyDescent="0.25">
      <c r="A354" s="8">
        <v>3745</v>
      </c>
      <c r="B354" s="8" t="s">
        <v>642</v>
      </c>
      <c r="C354" s="5">
        <v>0</v>
      </c>
      <c r="D354" s="5">
        <f>+$C354*BC354</f>
        <v>0</v>
      </c>
      <c r="E354" s="5">
        <f>+$C354*BD354</f>
        <v>0</v>
      </c>
      <c r="F354" s="5">
        <f>+$C354*BE354</f>
        <v>0</v>
      </c>
      <c r="G354" s="5">
        <f>+$C354*BF354</f>
        <v>0</v>
      </c>
      <c r="H354" s="5">
        <f>+$C354*BG354</f>
        <v>0</v>
      </c>
      <c r="I354" s="5">
        <f>+$C354*BH354</f>
        <v>0</v>
      </c>
      <c r="J354" s="5">
        <f>+$C354*BI354</f>
        <v>0</v>
      </c>
      <c r="K354" s="5">
        <f>+$C354*BJ354</f>
        <v>0</v>
      </c>
      <c r="L354" s="5">
        <f>+$C354*BK354</f>
        <v>0</v>
      </c>
      <c r="M354" s="5">
        <f>+$C354*BL354</f>
        <v>0</v>
      </c>
      <c r="N354" s="5">
        <f>+$C354*BM354</f>
        <v>0</v>
      </c>
      <c r="O354" s="5">
        <f>+$C354*BN354</f>
        <v>0</v>
      </c>
      <c r="P354" s="5">
        <v>0</v>
      </c>
      <c r="Q354" s="5">
        <f>+$P354*BC354</f>
        <v>0</v>
      </c>
      <c r="R354" s="5">
        <f>+$P354*BD354</f>
        <v>0</v>
      </c>
      <c r="S354" s="5">
        <f>+$P354*BE354</f>
        <v>0</v>
      </c>
      <c r="T354" s="5">
        <f>+$P354*BF354</f>
        <v>0</v>
      </c>
      <c r="U354" s="5">
        <f>+$P354*BG354</f>
        <v>0</v>
      </c>
      <c r="V354" s="5">
        <f>+$P354*BH354</f>
        <v>0</v>
      </c>
      <c r="W354" s="5">
        <f>+$P354*BI354</f>
        <v>0</v>
      </c>
      <c r="X354" s="5">
        <f>+$P354*BJ354</f>
        <v>0</v>
      </c>
      <c r="Y354" s="5">
        <f>+$P354*BK354</f>
        <v>0</v>
      </c>
      <c r="Z354" s="5">
        <f>+$P354*BL354</f>
        <v>0</v>
      </c>
      <c r="AA354" s="5">
        <f>+$P354*BM354</f>
        <v>0</v>
      </c>
      <c r="AB354" s="5">
        <f>+$P354*BN354</f>
        <v>0</v>
      </c>
      <c r="AC354" s="5">
        <v>0</v>
      </c>
      <c r="AD354" s="5">
        <f>+$AC354*BC354</f>
        <v>0</v>
      </c>
      <c r="AE354" s="5">
        <f>+$AC354*BD354</f>
        <v>0</v>
      </c>
      <c r="AF354" s="5">
        <f>+$AC354*BE354</f>
        <v>0</v>
      </c>
      <c r="AG354" s="5">
        <f>+$AC354*BF354</f>
        <v>0</v>
      </c>
      <c r="AH354" s="5">
        <f>+$AC354*BG354</f>
        <v>0</v>
      </c>
      <c r="AI354" s="5">
        <f>+$AC354*BH354</f>
        <v>0</v>
      </c>
      <c r="AJ354" s="5">
        <f>+$AC354*BI354</f>
        <v>0</v>
      </c>
      <c r="AK354" s="5">
        <f>+$AC354*BJ354</f>
        <v>0</v>
      </c>
      <c r="AL354" s="5">
        <f>+$AC354*BK354</f>
        <v>0</v>
      </c>
      <c r="AM354" s="5">
        <f>+$AC354*BL354</f>
        <v>0</v>
      </c>
      <c r="AN354" s="5">
        <f>+$AC354*BM354</f>
        <v>0</v>
      </c>
      <c r="AO354" s="5">
        <f>+$AC354*BN354</f>
        <v>0</v>
      </c>
      <c r="AP354" s="5">
        <f>+AC354+P354+C354</f>
        <v>0</v>
      </c>
      <c r="AQ354" s="1">
        <v>165.04065448666569</v>
      </c>
      <c r="AR354" s="1">
        <v>197.37312564994053</v>
      </c>
      <c r="AS354" s="1">
        <v>174.67666260319416</v>
      </c>
      <c r="AT354" s="1">
        <v>132.3108505858377</v>
      </c>
      <c r="AU354" s="1">
        <v>191.88224152584681</v>
      </c>
      <c r="AV354" s="1">
        <v>157.24728404541244</v>
      </c>
      <c r="AW354" s="1">
        <v>156.55061656456664</v>
      </c>
      <c r="AX354" s="1">
        <v>106.31241762889708</v>
      </c>
      <c r="AY354" s="1">
        <v>157.58691130462151</v>
      </c>
      <c r="AZ354" s="1">
        <v>137.23794203728767</v>
      </c>
      <c r="BA354" s="1">
        <v>140.12514097356222</v>
      </c>
      <c r="BB354" s="1">
        <v>136.86319353995043</v>
      </c>
      <c r="BC354" s="2">
        <v>8.9181565948742242E-2</v>
      </c>
      <c r="BD354" s="2">
        <v>0.10665277883445198</v>
      </c>
      <c r="BE354" s="2">
        <v>9.438849084854764E-2</v>
      </c>
      <c r="BF354" s="2">
        <v>7.149564986855049E-2</v>
      </c>
      <c r="BG354" s="2">
        <v>0.10368571810536763</v>
      </c>
      <c r="BH354" s="2">
        <v>8.4970330952544637E-2</v>
      </c>
      <c r="BI354" s="2">
        <v>8.4593878877262704E-2</v>
      </c>
      <c r="BJ354" s="2">
        <v>5.7447105462779965E-2</v>
      </c>
      <c r="BK354" s="2">
        <v>8.5153852345557474E-2</v>
      </c>
      <c r="BL354" s="2">
        <v>7.4158058913035174E-2</v>
      </c>
      <c r="BM354" s="2">
        <v>7.5718189192107169E-2</v>
      </c>
      <c r="BN354" s="2">
        <v>7.3955559365675619E-2</v>
      </c>
    </row>
    <row r="355" spans="1:66" x14ac:dyDescent="0.25">
      <c r="A355" s="8">
        <v>5248</v>
      </c>
      <c r="B355" s="8" t="s">
        <v>641</v>
      </c>
      <c r="C355" s="5">
        <v>0</v>
      </c>
      <c r="D355" s="5">
        <f>+$C355*BC355</f>
        <v>0</v>
      </c>
      <c r="E355" s="5">
        <f>+$C355*BD355</f>
        <v>0</v>
      </c>
      <c r="F355" s="5">
        <f>+$C355*BE355</f>
        <v>0</v>
      </c>
      <c r="G355" s="5">
        <f>+$C355*BF355</f>
        <v>0</v>
      </c>
      <c r="H355" s="5">
        <f>+$C355*BG355</f>
        <v>0</v>
      </c>
      <c r="I355" s="5">
        <f>+$C355*BH355</f>
        <v>0</v>
      </c>
      <c r="J355" s="5">
        <f>+$C355*BI355</f>
        <v>0</v>
      </c>
      <c r="K355" s="5">
        <f>+$C355*BJ355</f>
        <v>0</v>
      </c>
      <c r="L355" s="5">
        <f>+$C355*BK355</f>
        <v>0</v>
      </c>
      <c r="M355" s="5">
        <f>+$C355*BL355</f>
        <v>0</v>
      </c>
      <c r="N355" s="5">
        <f>+$C355*BM355</f>
        <v>0</v>
      </c>
      <c r="O355" s="5">
        <f>+$C355*BN355</f>
        <v>0</v>
      </c>
      <c r="P355" s="5">
        <v>3000</v>
      </c>
      <c r="Q355" s="5">
        <f>+$P355*BC355</f>
        <v>267.54469784622671</v>
      </c>
      <c r="R355" s="5">
        <f>+$P355*BD355</f>
        <v>319.95833650335595</v>
      </c>
      <c r="S355" s="5">
        <f>+$P355*BE355</f>
        <v>283.1654725456429</v>
      </c>
      <c r="T355" s="5">
        <f>+$P355*BF355</f>
        <v>214.48694960565146</v>
      </c>
      <c r="U355" s="5">
        <f>+$P355*BG355</f>
        <v>311.05715431610287</v>
      </c>
      <c r="V355" s="5">
        <f>+$P355*BH355</f>
        <v>254.91099285763391</v>
      </c>
      <c r="W355" s="5">
        <f>+$P355*BI355</f>
        <v>253.7816366317881</v>
      </c>
      <c r="X355" s="5">
        <f>+$P355*BJ355</f>
        <v>172.34131638833989</v>
      </c>
      <c r="Y355" s="5">
        <f>+$P355*BK355</f>
        <v>255.46155703667242</v>
      </c>
      <c r="Z355" s="5">
        <f>+$P355*BL355</f>
        <v>222.47417673910553</v>
      </c>
      <c r="AA355" s="5">
        <f>+$P355*BM355</f>
        <v>227.15456757632151</v>
      </c>
      <c r="AB355" s="5">
        <f>+$P355*BN355</f>
        <v>221.86667809702686</v>
      </c>
      <c r="AC355" s="5">
        <v>0</v>
      </c>
      <c r="AD355" s="5">
        <f>+$AC355*BC355</f>
        <v>0</v>
      </c>
      <c r="AE355" s="5">
        <f>+$AC355*BD355</f>
        <v>0</v>
      </c>
      <c r="AF355" s="5">
        <f>+$AC355*BE355</f>
        <v>0</v>
      </c>
      <c r="AG355" s="5">
        <f>+$AC355*BF355</f>
        <v>0</v>
      </c>
      <c r="AH355" s="5">
        <f>+$AC355*BG355</f>
        <v>0</v>
      </c>
      <c r="AI355" s="5">
        <f>+$AC355*BH355</f>
        <v>0</v>
      </c>
      <c r="AJ355" s="5">
        <f>+$AC355*BI355</f>
        <v>0</v>
      </c>
      <c r="AK355" s="5">
        <f>+$AC355*BJ355</f>
        <v>0</v>
      </c>
      <c r="AL355" s="5">
        <f>+$AC355*BK355</f>
        <v>0</v>
      </c>
      <c r="AM355" s="5">
        <f>+$AC355*BL355</f>
        <v>0</v>
      </c>
      <c r="AN355" s="5">
        <f>+$AC355*BM355</f>
        <v>0</v>
      </c>
      <c r="AO355" s="5">
        <f>+$AC355*BN355</f>
        <v>0</v>
      </c>
      <c r="AP355" s="5">
        <f>+AC355+P355+C355</f>
        <v>3000</v>
      </c>
      <c r="AQ355" s="1">
        <v>160.52681870773603</v>
      </c>
      <c r="AR355" s="1">
        <v>191.97500190201356</v>
      </c>
      <c r="AS355" s="1">
        <v>169.89928352738576</v>
      </c>
      <c r="AT355" s="1">
        <v>128.69216976339089</v>
      </c>
      <c r="AU355" s="1">
        <v>186.63429258966173</v>
      </c>
      <c r="AV355" s="1">
        <v>152.94659571458035</v>
      </c>
      <c r="AW355" s="1">
        <v>152.26898197907286</v>
      </c>
      <c r="AX355" s="1">
        <v>103.40478983300393</v>
      </c>
      <c r="AY355" s="1">
        <v>153.27693422200346</v>
      </c>
      <c r="AZ355" s="1">
        <v>133.48450604346331</v>
      </c>
      <c r="BA355" s="1">
        <v>136.2927405457929</v>
      </c>
      <c r="BB355" s="1">
        <v>133.1200068582161</v>
      </c>
      <c r="BC355" s="2">
        <v>8.9181565948742242E-2</v>
      </c>
      <c r="BD355" s="2">
        <v>0.10665277883445198</v>
      </c>
      <c r="BE355" s="2">
        <v>9.438849084854764E-2</v>
      </c>
      <c r="BF355" s="2">
        <v>7.149564986855049E-2</v>
      </c>
      <c r="BG355" s="2">
        <v>0.10368571810536763</v>
      </c>
      <c r="BH355" s="2">
        <v>8.4970330952544637E-2</v>
      </c>
      <c r="BI355" s="2">
        <v>8.4593878877262704E-2</v>
      </c>
      <c r="BJ355" s="2">
        <v>5.7447105462779965E-2</v>
      </c>
      <c r="BK355" s="2">
        <v>8.5153852345557474E-2</v>
      </c>
      <c r="BL355" s="2">
        <v>7.4158058913035174E-2</v>
      </c>
      <c r="BM355" s="2">
        <v>7.5718189192107169E-2</v>
      </c>
      <c r="BN355" s="2">
        <v>7.3955559365675619E-2</v>
      </c>
    </row>
    <row r="356" spans="1:66" x14ac:dyDescent="0.25">
      <c r="A356" s="8">
        <v>34011</v>
      </c>
      <c r="B356" s="8" t="s">
        <v>640</v>
      </c>
      <c r="C356" s="5">
        <v>2000</v>
      </c>
      <c r="D356" s="5">
        <f>+$C356*BC356</f>
        <v>178.36313189748449</v>
      </c>
      <c r="E356" s="5">
        <f>+$C356*BD356</f>
        <v>213.30555766890396</v>
      </c>
      <c r="F356" s="5">
        <f>+$C356*BE356</f>
        <v>188.77698169709529</v>
      </c>
      <c r="G356" s="5">
        <f>+$C356*BF356</f>
        <v>142.99129973710097</v>
      </c>
      <c r="H356" s="5">
        <f>+$C356*BG356</f>
        <v>207.37143621073525</v>
      </c>
      <c r="I356" s="5">
        <f>+$C356*BH356</f>
        <v>169.94066190508929</v>
      </c>
      <c r="J356" s="5">
        <f>+$C356*BI356</f>
        <v>169.18775775452542</v>
      </c>
      <c r="K356" s="5">
        <f>+$C356*BJ356</f>
        <v>114.89421092555993</v>
      </c>
      <c r="L356" s="5">
        <f>+$C356*BK356</f>
        <v>170.30770469111494</v>
      </c>
      <c r="M356" s="5">
        <f>+$C356*BL356</f>
        <v>148.31611782607035</v>
      </c>
      <c r="N356" s="5">
        <f>+$C356*BM356</f>
        <v>151.43637838421435</v>
      </c>
      <c r="O356" s="5">
        <f>+$C356*BN356</f>
        <v>147.91111873135125</v>
      </c>
      <c r="P356" s="5">
        <v>0</v>
      </c>
      <c r="Q356" s="5">
        <f>+$P356*BC356</f>
        <v>0</v>
      </c>
      <c r="R356" s="5">
        <f>+$P356*BD356</f>
        <v>0</v>
      </c>
      <c r="S356" s="5">
        <f>+$P356*BE356</f>
        <v>0</v>
      </c>
      <c r="T356" s="5">
        <f>+$P356*BF356</f>
        <v>0</v>
      </c>
      <c r="U356" s="5">
        <f>+$P356*BG356</f>
        <v>0</v>
      </c>
      <c r="V356" s="5">
        <f>+$P356*BH356</f>
        <v>0</v>
      </c>
      <c r="W356" s="5">
        <f>+$P356*BI356</f>
        <v>0</v>
      </c>
      <c r="X356" s="5">
        <f>+$P356*BJ356</f>
        <v>0</v>
      </c>
      <c r="Y356" s="5">
        <f>+$P356*BK356</f>
        <v>0</v>
      </c>
      <c r="Z356" s="5">
        <f>+$P356*BL356</f>
        <v>0</v>
      </c>
      <c r="AA356" s="5">
        <f>+$P356*BM356</f>
        <v>0</v>
      </c>
      <c r="AB356" s="5">
        <f>+$P356*BN356</f>
        <v>0</v>
      </c>
      <c r="AC356" s="5">
        <v>0</v>
      </c>
      <c r="AD356" s="5">
        <f>+$AC356*BC356</f>
        <v>0</v>
      </c>
      <c r="AE356" s="5">
        <f>+$AC356*BD356</f>
        <v>0</v>
      </c>
      <c r="AF356" s="5">
        <f>+$AC356*BE356</f>
        <v>0</v>
      </c>
      <c r="AG356" s="5">
        <f>+$AC356*BF356</f>
        <v>0</v>
      </c>
      <c r="AH356" s="5">
        <f>+$AC356*BG356</f>
        <v>0</v>
      </c>
      <c r="AI356" s="5">
        <f>+$AC356*BH356</f>
        <v>0</v>
      </c>
      <c r="AJ356" s="5">
        <f>+$AC356*BI356</f>
        <v>0</v>
      </c>
      <c r="AK356" s="5">
        <f>+$AC356*BJ356</f>
        <v>0</v>
      </c>
      <c r="AL356" s="5">
        <f>+$AC356*BK356</f>
        <v>0</v>
      </c>
      <c r="AM356" s="5">
        <f>+$AC356*BL356</f>
        <v>0</v>
      </c>
      <c r="AN356" s="5">
        <f>+$AC356*BM356</f>
        <v>0</v>
      </c>
      <c r="AO356" s="5">
        <f>+$AC356*BN356</f>
        <v>0</v>
      </c>
      <c r="AP356" s="5">
        <f>+AC356+P356+C356</f>
        <v>2000</v>
      </c>
      <c r="AQ356" s="1">
        <v>145.97238714490132</v>
      </c>
      <c r="AR356" s="1">
        <v>174.56926839623102</v>
      </c>
      <c r="AS356" s="1">
        <v>154.49508182090278</v>
      </c>
      <c r="AT356" s="1">
        <v>117.02407970484346</v>
      </c>
      <c r="AU356" s="1">
        <v>169.71278339486574</v>
      </c>
      <c r="AV356" s="1">
        <v>139.07943770312508</v>
      </c>
      <c r="AW356" s="1">
        <v>138.46326094630362</v>
      </c>
      <c r="AX356" s="1">
        <v>94.029422221478256</v>
      </c>
      <c r="AY356" s="1">
        <v>139.37982551920848</v>
      </c>
      <c r="AZ356" s="1">
        <v>121.38191082885599</v>
      </c>
      <c r="BA356" s="1">
        <v>123.93553206964103</v>
      </c>
      <c r="BB356" s="1">
        <v>121.05045956973787</v>
      </c>
      <c r="BC356" s="2">
        <v>8.9181565948742242E-2</v>
      </c>
      <c r="BD356" s="2">
        <v>0.10665277883445198</v>
      </c>
      <c r="BE356" s="2">
        <v>9.438849084854764E-2</v>
      </c>
      <c r="BF356" s="2">
        <v>7.149564986855049E-2</v>
      </c>
      <c r="BG356" s="2">
        <v>0.10368571810536763</v>
      </c>
      <c r="BH356" s="2">
        <v>8.4970330952544637E-2</v>
      </c>
      <c r="BI356" s="2">
        <v>8.4593878877262704E-2</v>
      </c>
      <c r="BJ356" s="2">
        <v>5.7447105462779965E-2</v>
      </c>
      <c r="BK356" s="2">
        <v>8.5153852345557474E-2</v>
      </c>
      <c r="BL356" s="2">
        <v>7.4158058913035174E-2</v>
      </c>
      <c r="BM356" s="2">
        <v>7.5718189192107169E-2</v>
      </c>
      <c r="BN356" s="2">
        <v>7.3955559365675619E-2</v>
      </c>
    </row>
    <row r="357" spans="1:66" x14ac:dyDescent="0.25">
      <c r="A357" s="8">
        <v>1542</v>
      </c>
      <c r="B357" s="8" t="s">
        <v>639</v>
      </c>
      <c r="C357" s="5">
        <v>0</v>
      </c>
      <c r="D357" s="5">
        <f>+$C357*BC357</f>
        <v>0</v>
      </c>
      <c r="E357" s="5">
        <f>+$C357*BD357</f>
        <v>0</v>
      </c>
      <c r="F357" s="5">
        <f>+$C357*BE357</f>
        <v>0</v>
      </c>
      <c r="G357" s="5">
        <f>+$C357*BF357</f>
        <v>0</v>
      </c>
      <c r="H357" s="5">
        <f>+$C357*BG357</f>
        <v>0</v>
      </c>
      <c r="I357" s="5">
        <f>+$C357*BH357</f>
        <v>0</v>
      </c>
      <c r="J357" s="5">
        <f>+$C357*BI357</f>
        <v>0</v>
      </c>
      <c r="K357" s="5">
        <f>+$C357*BJ357</f>
        <v>0</v>
      </c>
      <c r="L357" s="5">
        <f>+$C357*BK357</f>
        <v>0</v>
      </c>
      <c r="M357" s="5">
        <f>+$C357*BL357</f>
        <v>0</v>
      </c>
      <c r="N357" s="5">
        <f>+$C357*BM357</f>
        <v>0</v>
      </c>
      <c r="O357" s="5">
        <f>+$C357*BN357</f>
        <v>0</v>
      </c>
      <c r="P357" s="5">
        <v>0</v>
      </c>
      <c r="Q357" s="5">
        <f>+$P357*BC357</f>
        <v>0</v>
      </c>
      <c r="R357" s="5">
        <f>+$P357*BD357</f>
        <v>0</v>
      </c>
      <c r="S357" s="5">
        <f>+$P357*BE357</f>
        <v>0</v>
      </c>
      <c r="T357" s="5">
        <f>+$P357*BF357</f>
        <v>0</v>
      </c>
      <c r="U357" s="5">
        <f>+$P357*BG357</f>
        <v>0</v>
      </c>
      <c r="V357" s="5">
        <f>+$P357*BH357</f>
        <v>0</v>
      </c>
      <c r="W357" s="5">
        <f>+$P357*BI357</f>
        <v>0</v>
      </c>
      <c r="X357" s="5">
        <f>+$P357*BJ357</f>
        <v>0</v>
      </c>
      <c r="Y357" s="5">
        <f>+$P357*BK357</f>
        <v>0</v>
      </c>
      <c r="Z357" s="5">
        <f>+$P357*BL357</f>
        <v>0</v>
      </c>
      <c r="AA357" s="5">
        <f>+$P357*BM357</f>
        <v>0</v>
      </c>
      <c r="AB357" s="5">
        <f>+$P357*BN357</f>
        <v>0</v>
      </c>
      <c r="AC357" s="5">
        <v>0</v>
      </c>
      <c r="AD357" s="5">
        <f>+$AC357*BC357</f>
        <v>0</v>
      </c>
      <c r="AE357" s="5">
        <f>+$AC357*BD357</f>
        <v>0</v>
      </c>
      <c r="AF357" s="5">
        <f>+$AC357*BE357</f>
        <v>0</v>
      </c>
      <c r="AG357" s="5">
        <f>+$AC357*BF357</f>
        <v>0</v>
      </c>
      <c r="AH357" s="5">
        <f>+$AC357*BG357</f>
        <v>0</v>
      </c>
      <c r="AI357" s="5">
        <f>+$AC357*BH357</f>
        <v>0</v>
      </c>
      <c r="AJ357" s="5">
        <f>+$AC357*BI357</f>
        <v>0</v>
      </c>
      <c r="AK357" s="5">
        <f>+$AC357*BJ357</f>
        <v>0</v>
      </c>
      <c r="AL357" s="5">
        <f>+$AC357*BK357</f>
        <v>0</v>
      </c>
      <c r="AM357" s="5">
        <f>+$AC357*BL357</f>
        <v>0</v>
      </c>
      <c r="AN357" s="5">
        <f>+$AC357*BM357</f>
        <v>0</v>
      </c>
      <c r="AO357" s="5">
        <f>+$AC357*BN357</f>
        <v>0</v>
      </c>
      <c r="AP357" s="5">
        <f>+AC357+P357+C357</f>
        <v>0</v>
      </c>
      <c r="AQ357" s="1">
        <v>147.31546152808937</v>
      </c>
      <c r="AR357" s="1">
        <v>176.17545924547787</v>
      </c>
      <c r="AS357" s="1">
        <v>155.91657249308193</v>
      </c>
      <c r="AT357" s="1">
        <v>118.10080419186382</v>
      </c>
      <c r="AU357" s="1">
        <v>171.27429030953257</v>
      </c>
      <c r="AV357" s="1">
        <v>140.35909088727038</v>
      </c>
      <c r="AW357" s="1">
        <v>139.73724476219519</v>
      </c>
      <c r="AX357" s="1">
        <v>94.89457562974772</v>
      </c>
      <c r="AY357" s="1">
        <v>140.66224253553258</v>
      </c>
      <c r="AZ357" s="1">
        <v>122.4987311960863</v>
      </c>
      <c r="BA357" s="1">
        <v>125.07584799887415</v>
      </c>
      <c r="BB357" s="1">
        <v>122.16423029378494</v>
      </c>
      <c r="BC357" s="2">
        <v>8.9181565948742242E-2</v>
      </c>
      <c r="BD357" s="2">
        <v>0.10665277883445198</v>
      </c>
      <c r="BE357" s="2">
        <v>9.438849084854764E-2</v>
      </c>
      <c r="BF357" s="2">
        <v>7.149564986855049E-2</v>
      </c>
      <c r="BG357" s="2">
        <v>0.10368571810536763</v>
      </c>
      <c r="BH357" s="2">
        <v>8.4970330952544637E-2</v>
      </c>
      <c r="BI357" s="2">
        <v>8.4593878877262704E-2</v>
      </c>
      <c r="BJ357" s="2">
        <v>5.7447105462779965E-2</v>
      </c>
      <c r="BK357" s="2">
        <v>8.5153852345557474E-2</v>
      </c>
      <c r="BL357" s="2">
        <v>7.4158058913035174E-2</v>
      </c>
      <c r="BM357" s="2">
        <v>7.5718189192107169E-2</v>
      </c>
      <c r="BN357" s="2">
        <v>7.3955559365675619E-2</v>
      </c>
    </row>
    <row r="358" spans="1:66" x14ac:dyDescent="0.25">
      <c r="A358" s="8">
        <v>2017</v>
      </c>
      <c r="B358" s="8" t="s">
        <v>638</v>
      </c>
      <c r="C358" s="5">
        <v>0</v>
      </c>
      <c r="D358" s="5">
        <f>+$C358*BC358</f>
        <v>0</v>
      </c>
      <c r="E358" s="5">
        <f>+$C358*BD358</f>
        <v>0</v>
      </c>
      <c r="F358" s="5">
        <f>+$C358*BE358</f>
        <v>0</v>
      </c>
      <c r="G358" s="5">
        <f>+$C358*BF358</f>
        <v>0</v>
      </c>
      <c r="H358" s="5">
        <f>+$C358*BG358</f>
        <v>0</v>
      </c>
      <c r="I358" s="5">
        <f>+$C358*BH358</f>
        <v>0</v>
      </c>
      <c r="J358" s="5">
        <f>+$C358*BI358</f>
        <v>0</v>
      </c>
      <c r="K358" s="5">
        <f>+$C358*BJ358</f>
        <v>0</v>
      </c>
      <c r="L358" s="5">
        <f>+$C358*BK358</f>
        <v>0</v>
      </c>
      <c r="M358" s="5">
        <f>+$C358*BL358</f>
        <v>0</v>
      </c>
      <c r="N358" s="5">
        <f>+$C358*BM358</f>
        <v>0</v>
      </c>
      <c r="O358" s="5">
        <f>+$C358*BN358</f>
        <v>0</v>
      </c>
      <c r="P358" s="5">
        <v>1000</v>
      </c>
      <c r="Q358" s="5">
        <f>+$P358*BC358</f>
        <v>89.181565948742247</v>
      </c>
      <c r="R358" s="5">
        <f>+$P358*BD358</f>
        <v>106.65277883445198</v>
      </c>
      <c r="S358" s="5">
        <f>+$P358*BE358</f>
        <v>94.388490848547647</v>
      </c>
      <c r="T358" s="5">
        <f>+$P358*BF358</f>
        <v>71.495649868550487</v>
      </c>
      <c r="U358" s="5">
        <f>+$P358*BG358</f>
        <v>103.68571810536763</v>
      </c>
      <c r="V358" s="5">
        <f>+$P358*BH358</f>
        <v>84.970330952544643</v>
      </c>
      <c r="W358" s="5">
        <f>+$P358*BI358</f>
        <v>84.593878877262711</v>
      </c>
      <c r="X358" s="5">
        <f>+$P358*BJ358</f>
        <v>57.447105462779966</v>
      </c>
      <c r="Y358" s="5">
        <f>+$P358*BK358</f>
        <v>85.153852345557468</v>
      </c>
      <c r="Z358" s="5">
        <f>+$P358*BL358</f>
        <v>74.158058913035177</v>
      </c>
      <c r="AA358" s="5">
        <f>+$P358*BM358</f>
        <v>75.718189192107175</v>
      </c>
      <c r="AB358" s="5">
        <f>+$P358*BN358</f>
        <v>73.955559365675626</v>
      </c>
      <c r="AC358" s="5">
        <v>0</v>
      </c>
      <c r="AD358" s="5">
        <f>+$AC358*BC358</f>
        <v>0</v>
      </c>
      <c r="AE358" s="5">
        <f>+$AC358*BD358</f>
        <v>0</v>
      </c>
      <c r="AF358" s="5">
        <f>+$AC358*BE358</f>
        <v>0</v>
      </c>
      <c r="AG358" s="5">
        <f>+$AC358*BF358</f>
        <v>0</v>
      </c>
      <c r="AH358" s="5">
        <f>+$AC358*BG358</f>
        <v>0</v>
      </c>
      <c r="AI358" s="5">
        <f>+$AC358*BH358</f>
        <v>0</v>
      </c>
      <c r="AJ358" s="5">
        <f>+$AC358*BI358</f>
        <v>0</v>
      </c>
      <c r="AK358" s="5">
        <f>+$AC358*BJ358</f>
        <v>0</v>
      </c>
      <c r="AL358" s="5">
        <f>+$AC358*BK358</f>
        <v>0</v>
      </c>
      <c r="AM358" s="5">
        <f>+$AC358*BL358</f>
        <v>0</v>
      </c>
      <c r="AN358" s="5">
        <f>+$AC358*BM358</f>
        <v>0</v>
      </c>
      <c r="AO358" s="5">
        <f>+$AC358*BN358</f>
        <v>0</v>
      </c>
      <c r="AP358" s="5">
        <f>+AC358+P358+C358</f>
        <v>1000</v>
      </c>
      <c r="AQ358" s="1">
        <v>142.69050551798759</v>
      </c>
      <c r="AR358" s="1">
        <v>170.64444613512316</v>
      </c>
      <c r="AS358" s="1">
        <v>151.02158535767623</v>
      </c>
      <c r="AT358" s="1">
        <v>114.39303978968078</v>
      </c>
      <c r="AU358" s="1">
        <v>165.8971489685882</v>
      </c>
      <c r="AV358" s="1">
        <v>135.95252952407142</v>
      </c>
      <c r="AW358" s="1">
        <v>135.35020620362033</v>
      </c>
      <c r="AX358" s="1">
        <v>91.915368740447946</v>
      </c>
      <c r="AY358" s="1">
        <v>136.24616375289196</v>
      </c>
      <c r="AZ358" s="1">
        <v>118.65289426085627</v>
      </c>
      <c r="BA358" s="1">
        <v>121.14910270737147</v>
      </c>
      <c r="BB358" s="1">
        <v>118.32889498508099</v>
      </c>
      <c r="BC358" s="2">
        <v>8.9181565948742242E-2</v>
      </c>
      <c r="BD358" s="2">
        <v>0.10665277883445198</v>
      </c>
      <c r="BE358" s="2">
        <v>9.438849084854764E-2</v>
      </c>
      <c r="BF358" s="2">
        <v>7.149564986855049E-2</v>
      </c>
      <c r="BG358" s="2">
        <v>0.10368571810536763</v>
      </c>
      <c r="BH358" s="2">
        <v>8.4970330952544637E-2</v>
      </c>
      <c r="BI358" s="2">
        <v>8.4593878877262704E-2</v>
      </c>
      <c r="BJ358" s="2">
        <v>5.7447105462779965E-2</v>
      </c>
      <c r="BK358" s="2">
        <v>8.5153852345557474E-2</v>
      </c>
      <c r="BL358" s="2">
        <v>7.4158058913035174E-2</v>
      </c>
      <c r="BM358" s="2">
        <v>7.5718189192107169E-2</v>
      </c>
      <c r="BN358" s="2">
        <v>7.3955559365675619E-2</v>
      </c>
    </row>
    <row r="359" spans="1:66" x14ac:dyDescent="0.25">
      <c r="A359" s="8">
        <v>5150</v>
      </c>
      <c r="B359" s="8" t="s">
        <v>637</v>
      </c>
      <c r="C359" s="5">
        <v>1600</v>
      </c>
      <c r="D359" s="5">
        <f>+$C359*BC359</f>
        <v>142.69050551798759</v>
      </c>
      <c r="E359" s="5">
        <f>+$C359*BD359</f>
        <v>170.64444613512316</v>
      </c>
      <c r="F359" s="5">
        <f>+$C359*BE359</f>
        <v>151.02158535767623</v>
      </c>
      <c r="G359" s="5">
        <f>+$C359*BF359</f>
        <v>114.39303978968078</v>
      </c>
      <c r="H359" s="5">
        <f>+$C359*BG359</f>
        <v>165.8971489685882</v>
      </c>
      <c r="I359" s="5">
        <f>+$C359*BH359</f>
        <v>135.95252952407142</v>
      </c>
      <c r="J359" s="5">
        <f>+$C359*BI359</f>
        <v>135.35020620362033</v>
      </c>
      <c r="K359" s="5">
        <f>+$C359*BJ359</f>
        <v>91.915368740447946</v>
      </c>
      <c r="L359" s="5">
        <f>+$C359*BK359</f>
        <v>136.24616375289196</v>
      </c>
      <c r="M359" s="5">
        <f>+$C359*BL359</f>
        <v>118.65289426085627</v>
      </c>
      <c r="N359" s="5">
        <f>+$C359*BM359</f>
        <v>121.14910270737147</v>
      </c>
      <c r="O359" s="5">
        <f>+$C359*BN359</f>
        <v>118.32889498508099</v>
      </c>
      <c r="P359" s="5">
        <v>0</v>
      </c>
      <c r="Q359" s="5">
        <f>+$P359*BC359</f>
        <v>0</v>
      </c>
      <c r="R359" s="5">
        <f>+$P359*BD359</f>
        <v>0</v>
      </c>
      <c r="S359" s="5">
        <f>+$P359*BE359</f>
        <v>0</v>
      </c>
      <c r="T359" s="5">
        <f>+$P359*BF359</f>
        <v>0</v>
      </c>
      <c r="U359" s="5">
        <f>+$P359*BG359</f>
        <v>0</v>
      </c>
      <c r="V359" s="5">
        <f>+$P359*BH359</f>
        <v>0</v>
      </c>
      <c r="W359" s="5">
        <f>+$P359*BI359</f>
        <v>0</v>
      </c>
      <c r="X359" s="5">
        <f>+$P359*BJ359</f>
        <v>0</v>
      </c>
      <c r="Y359" s="5">
        <f>+$P359*BK359</f>
        <v>0</v>
      </c>
      <c r="Z359" s="5">
        <f>+$P359*BL359</f>
        <v>0</v>
      </c>
      <c r="AA359" s="5">
        <f>+$P359*BM359</f>
        <v>0</v>
      </c>
      <c r="AB359" s="5">
        <f>+$P359*BN359</f>
        <v>0</v>
      </c>
      <c r="AC359" s="5">
        <v>0</v>
      </c>
      <c r="AD359" s="5">
        <f>+$AC359*BC359</f>
        <v>0</v>
      </c>
      <c r="AE359" s="5">
        <f>+$AC359*BD359</f>
        <v>0</v>
      </c>
      <c r="AF359" s="5">
        <f>+$AC359*BE359</f>
        <v>0</v>
      </c>
      <c r="AG359" s="5">
        <f>+$AC359*BF359</f>
        <v>0</v>
      </c>
      <c r="AH359" s="5">
        <f>+$AC359*BG359</f>
        <v>0</v>
      </c>
      <c r="AI359" s="5">
        <f>+$AC359*BH359</f>
        <v>0</v>
      </c>
      <c r="AJ359" s="5">
        <f>+$AC359*BI359</f>
        <v>0</v>
      </c>
      <c r="AK359" s="5">
        <f>+$AC359*BJ359</f>
        <v>0</v>
      </c>
      <c r="AL359" s="5">
        <f>+$AC359*BK359</f>
        <v>0</v>
      </c>
      <c r="AM359" s="5">
        <f>+$AC359*BL359</f>
        <v>0</v>
      </c>
      <c r="AN359" s="5">
        <f>+$AC359*BM359</f>
        <v>0</v>
      </c>
      <c r="AO359" s="5">
        <f>+$AC359*BN359</f>
        <v>0</v>
      </c>
      <c r="AP359" s="5">
        <f>+AC359+P359+C359</f>
        <v>1600</v>
      </c>
      <c r="AQ359" s="1">
        <v>118.9625905369674</v>
      </c>
      <c r="AR359" s="1">
        <v>142.26808784009239</v>
      </c>
      <c r="AS359" s="1">
        <v>125.90830031703911</v>
      </c>
      <c r="AT359" s="1">
        <v>95.370692698704644</v>
      </c>
      <c r="AU359" s="1">
        <v>138.31021575231978</v>
      </c>
      <c r="AV359" s="1">
        <v>113.34506835984455</v>
      </c>
      <c r="AW359" s="1">
        <v>112.84290500789919</v>
      </c>
      <c r="AX359" s="1">
        <v>76.630819519704332</v>
      </c>
      <c r="AY359" s="1">
        <v>113.58987433627591</v>
      </c>
      <c r="AZ359" s="1">
        <v>98.922178632277408</v>
      </c>
      <c r="BA359" s="1">
        <v>101.00329413635187</v>
      </c>
      <c r="BB359" s="1">
        <v>98.65205699357125</v>
      </c>
      <c r="BC359" s="2">
        <v>8.9181565948742242E-2</v>
      </c>
      <c r="BD359" s="2">
        <v>0.10665277883445198</v>
      </c>
      <c r="BE359" s="2">
        <v>9.438849084854764E-2</v>
      </c>
      <c r="BF359" s="2">
        <v>7.149564986855049E-2</v>
      </c>
      <c r="BG359" s="2">
        <v>0.10368571810536763</v>
      </c>
      <c r="BH359" s="2">
        <v>8.4970330952544637E-2</v>
      </c>
      <c r="BI359" s="2">
        <v>8.4593878877262704E-2</v>
      </c>
      <c r="BJ359" s="2">
        <v>5.7447105462779965E-2</v>
      </c>
      <c r="BK359" s="2">
        <v>8.5153852345557474E-2</v>
      </c>
      <c r="BL359" s="2">
        <v>7.4158058913035174E-2</v>
      </c>
      <c r="BM359" s="2">
        <v>7.5718189192107169E-2</v>
      </c>
      <c r="BN359" s="2">
        <v>7.3955559365675619E-2</v>
      </c>
    </row>
    <row r="360" spans="1:66" x14ac:dyDescent="0.25">
      <c r="A360" s="8">
        <v>2448</v>
      </c>
      <c r="B360" s="8" t="s">
        <v>636</v>
      </c>
      <c r="C360" s="5">
        <v>0</v>
      </c>
      <c r="D360" s="5">
        <f>+$C360*BC360</f>
        <v>0</v>
      </c>
      <c r="E360" s="5">
        <f>+$C360*BD360</f>
        <v>0</v>
      </c>
      <c r="F360" s="5">
        <f>+$C360*BE360</f>
        <v>0</v>
      </c>
      <c r="G360" s="5">
        <f>+$C360*BF360</f>
        <v>0</v>
      </c>
      <c r="H360" s="5">
        <f>+$C360*BG360</f>
        <v>0</v>
      </c>
      <c r="I360" s="5">
        <f>+$C360*BH360</f>
        <v>0</v>
      </c>
      <c r="J360" s="5">
        <f>+$C360*BI360</f>
        <v>0</v>
      </c>
      <c r="K360" s="5">
        <f>+$C360*BJ360</f>
        <v>0</v>
      </c>
      <c r="L360" s="5">
        <f>+$C360*BK360</f>
        <v>0</v>
      </c>
      <c r="M360" s="5">
        <f>+$C360*BL360</f>
        <v>0</v>
      </c>
      <c r="N360" s="5">
        <f>+$C360*BM360</f>
        <v>0</v>
      </c>
      <c r="O360" s="5">
        <f>+$C360*BN360</f>
        <v>0</v>
      </c>
      <c r="P360" s="5">
        <v>0</v>
      </c>
      <c r="Q360" s="5">
        <f>+$P360*BC360</f>
        <v>0</v>
      </c>
      <c r="R360" s="5">
        <f>+$P360*BD360</f>
        <v>0</v>
      </c>
      <c r="S360" s="5">
        <f>+$P360*BE360</f>
        <v>0</v>
      </c>
      <c r="T360" s="5">
        <f>+$P360*BF360</f>
        <v>0</v>
      </c>
      <c r="U360" s="5">
        <f>+$P360*BG360</f>
        <v>0</v>
      </c>
      <c r="V360" s="5">
        <f>+$P360*BH360</f>
        <v>0</v>
      </c>
      <c r="W360" s="5">
        <f>+$P360*BI360</f>
        <v>0</v>
      </c>
      <c r="X360" s="5">
        <f>+$P360*BJ360</f>
        <v>0</v>
      </c>
      <c r="Y360" s="5">
        <f>+$P360*BK360</f>
        <v>0</v>
      </c>
      <c r="Z360" s="5">
        <f>+$P360*BL360</f>
        <v>0</v>
      </c>
      <c r="AA360" s="5">
        <f>+$P360*BM360</f>
        <v>0</v>
      </c>
      <c r="AB360" s="5">
        <f>+$P360*BN360</f>
        <v>0</v>
      </c>
      <c r="AC360" s="5">
        <v>0</v>
      </c>
      <c r="AD360" s="5">
        <f>+$AC360*BC360</f>
        <v>0</v>
      </c>
      <c r="AE360" s="5">
        <f>+$AC360*BD360</f>
        <v>0</v>
      </c>
      <c r="AF360" s="5">
        <f>+$AC360*BE360</f>
        <v>0</v>
      </c>
      <c r="AG360" s="5">
        <f>+$AC360*BF360</f>
        <v>0</v>
      </c>
      <c r="AH360" s="5">
        <f>+$AC360*BG360</f>
        <v>0</v>
      </c>
      <c r="AI360" s="5">
        <f>+$AC360*BH360</f>
        <v>0</v>
      </c>
      <c r="AJ360" s="5">
        <f>+$AC360*BI360</f>
        <v>0</v>
      </c>
      <c r="AK360" s="5">
        <f>+$AC360*BJ360</f>
        <v>0</v>
      </c>
      <c r="AL360" s="5">
        <f>+$AC360*BK360</f>
        <v>0</v>
      </c>
      <c r="AM360" s="5">
        <f>+$AC360*BL360</f>
        <v>0</v>
      </c>
      <c r="AN360" s="5">
        <f>+$AC360*BM360</f>
        <v>0</v>
      </c>
      <c r="AO360" s="5">
        <f>+$AC360*BN360</f>
        <v>0</v>
      </c>
      <c r="AP360" s="5">
        <f>+AC360+P360+C360</f>
        <v>0</v>
      </c>
      <c r="AQ360" s="1">
        <v>142.69050551798759</v>
      </c>
      <c r="AR360" s="1">
        <v>170.64444613512316</v>
      </c>
      <c r="AS360" s="1">
        <v>151.02158535767623</v>
      </c>
      <c r="AT360" s="1">
        <v>114.39303978968078</v>
      </c>
      <c r="AU360" s="1">
        <v>165.8971489685882</v>
      </c>
      <c r="AV360" s="1">
        <v>135.95252952407142</v>
      </c>
      <c r="AW360" s="1">
        <v>135.35020620362033</v>
      </c>
      <c r="AX360" s="1">
        <v>91.915368740447946</v>
      </c>
      <c r="AY360" s="1">
        <v>136.24616375289196</v>
      </c>
      <c r="AZ360" s="1">
        <v>118.65289426085627</v>
      </c>
      <c r="BA360" s="1">
        <v>121.14910270737147</v>
      </c>
      <c r="BB360" s="1">
        <v>118.32889498508099</v>
      </c>
      <c r="BC360" s="2">
        <v>8.9181565948742242E-2</v>
      </c>
      <c r="BD360" s="2">
        <v>0.10665277883445198</v>
      </c>
      <c r="BE360" s="2">
        <v>9.438849084854764E-2</v>
      </c>
      <c r="BF360" s="2">
        <v>7.149564986855049E-2</v>
      </c>
      <c r="BG360" s="2">
        <v>0.10368571810536763</v>
      </c>
      <c r="BH360" s="2">
        <v>8.4970330952544637E-2</v>
      </c>
      <c r="BI360" s="2">
        <v>8.4593878877262704E-2</v>
      </c>
      <c r="BJ360" s="2">
        <v>5.7447105462779965E-2</v>
      </c>
      <c r="BK360" s="2">
        <v>8.5153852345557474E-2</v>
      </c>
      <c r="BL360" s="2">
        <v>7.4158058913035174E-2</v>
      </c>
      <c r="BM360" s="2">
        <v>7.5718189192107169E-2</v>
      </c>
      <c r="BN360" s="2">
        <v>7.3955559365675619E-2</v>
      </c>
    </row>
    <row r="361" spans="1:66" x14ac:dyDescent="0.25">
      <c r="A361" s="8">
        <v>2891</v>
      </c>
      <c r="B361" s="8" t="s">
        <v>635</v>
      </c>
      <c r="C361" s="5">
        <v>0</v>
      </c>
      <c r="D361" s="5">
        <f>+$C361*BC361</f>
        <v>0</v>
      </c>
      <c r="E361" s="5">
        <f>+$C361*BD361</f>
        <v>0</v>
      </c>
      <c r="F361" s="5">
        <f>+$C361*BE361</f>
        <v>0</v>
      </c>
      <c r="G361" s="5">
        <f>+$C361*BF361</f>
        <v>0</v>
      </c>
      <c r="H361" s="5">
        <f>+$C361*BG361</f>
        <v>0</v>
      </c>
      <c r="I361" s="5">
        <f>+$C361*BH361</f>
        <v>0</v>
      </c>
      <c r="J361" s="5">
        <f>+$C361*BI361</f>
        <v>0</v>
      </c>
      <c r="K361" s="5">
        <f>+$C361*BJ361</f>
        <v>0</v>
      </c>
      <c r="L361" s="5">
        <f>+$C361*BK361</f>
        <v>0</v>
      </c>
      <c r="M361" s="5">
        <f>+$C361*BL361</f>
        <v>0</v>
      </c>
      <c r="N361" s="5">
        <f>+$C361*BM361</f>
        <v>0</v>
      </c>
      <c r="O361" s="5">
        <f>+$C361*BN361</f>
        <v>0</v>
      </c>
      <c r="P361" s="5">
        <v>0</v>
      </c>
      <c r="Q361" s="5">
        <f>+$P361*BC361</f>
        <v>0</v>
      </c>
      <c r="R361" s="5">
        <f>+$P361*BD361</f>
        <v>0</v>
      </c>
      <c r="S361" s="5">
        <f>+$P361*BE361</f>
        <v>0</v>
      </c>
      <c r="T361" s="5">
        <f>+$P361*BF361</f>
        <v>0</v>
      </c>
      <c r="U361" s="5">
        <f>+$P361*BG361</f>
        <v>0</v>
      </c>
      <c r="V361" s="5">
        <f>+$P361*BH361</f>
        <v>0</v>
      </c>
      <c r="W361" s="5">
        <f>+$P361*BI361</f>
        <v>0</v>
      </c>
      <c r="X361" s="5">
        <f>+$P361*BJ361</f>
        <v>0</v>
      </c>
      <c r="Y361" s="5">
        <f>+$P361*BK361</f>
        <v>0</v>
      </c>
      <c r="Z361" s="5">
        <f>+$P361*BL361</f>
        <v>0</v>
      </c>
      <c r="AA361" s="5">
        <f>+$P361*BM361</f>
        <v>0</v>
      </c>
      <c r="AB361" s="5">
        <f>+$P361*BN361</f>
        <v>0</v>
      </c>
      <c r="AC361" s="5">
        <v>0</v>
      </c>
      <c r="AD361" s="5">
        <f>+$AC361*BC361</f>
        <v>0</v>
      </c>
      <c r="AE361" s="5">
        <f>+$AC361*BD361</f>
        <v>0</v>
      </c>
      <c r="AF361" s="5">
        <f>+$AC361*BE361</f>
        <v>0</v>
      </c>
      <c r="AG361" s="5">
        <f>+$AC361*BF361</f>
        <v>0</v>
      </c>
      <c r="AH361" s="5">
        <f>+$AC361*BG361</f>
        <v>0</v>
      </c>
      <c r="AI361" s="5">
        <f>+$AC361*BH361</f>
        <v>0</v>
      </c>
      <c r="AJ361" s="5">
        <f>+$AC361*BI361</f>
        <v>0</v>
      </c>
      <c r="AK361" s="5">
        <f>+$AC361*BJ361</f>
        <v>0</v>
      </c>
      <c r="AL361" s="5">
        <f>+$AC361*BK361</f>
        <v>0</v>
      </c>
      <c r="AM361" s="5">
        <f>+$AC361*BL361</f>
        <v>0</v>
      </c>
      <c r="AN361" s="5">
        <f>+$AC361*BM361</f>
        <v>0</v>
      </c>
      <c r="AO361" s="5">
        <f>+$AC361*BN361</f>
        <v>0</v>
      </c>
      <c r="AP361" s="5">
        <f>+AC361+P361+C361</f>
        <v>0</v>
      </c>
      <c r="AQ361" s="1">
        <v>133.77234892311336</v>
      </c>
      <c r="AR361" s="1">
        <v>159.97916825167798</v>
      </c>
      <c r="AS361" s="1">
        <v>141.58273627282145</v>
      </c>
      <c r="AT361" s="1">
        <v>107.24347480282573</v>
      </c>
      <c r="AU361" s="1">
        <v>155.52857715805143</v>
      </c>
      <c r="AV361" s="1">
        <v>127.45549642881696</v>
      </c>
      <c r="AW361" s="1">
        <v>126.89081831589405</v>
      </c>
      <c r="AX361" s="1">
        <v>86.170658194169945</v>
      </c>
      <c r="AY361" s="1">
        <v>127.73077851833621</v>
      </c>
      <c r="AZ361" s="1">
        <v>111.23708836955277</v>
      </c>
      <c r="BA361" s="1">
        <v>113.57728378816076</v>
      </c>
      <c r="BB361" s="1">
        <v>110.93333904851343</v>
      </c>
      <c r="BC361" s="2">
        <v>8.9181565948742242E-2</v>
      </c>
      <c r="BD361" s="2">
        <v>0.10665277883445198</v>
      </c>
      <c r="BE361" s="2">
        <v>9.438849084854764E-2</v>
      </c>
      <c r="BF361" s="2">
        <v>7.149564986855049E-2</v>
      </c>
      <c r="BG361" s="2">
        <v>0.10368571810536763</v>
      </c>
      <c r="BH361" s="2">
        <v>8.4970330952544637E-2</v>
      </c>
      <c r="BI361" s="2">
        <v>8.4593878877262704E-2</v>
      </c>
      <c r="BJ361" s="2">
        <v>5.7447105462779965E-2</v>
      </c>
      <c r="BK361" s="2">
        <v>8.5153852345557474E-2</v>
      </c>
      <c r="BL361" s="2">
        <v>7.4158058913035174E-2</v>
      </c>
      <c r="BM361" s="2">
        <v>7.5718189192107169E-2</v>
      </c>
      <c r="BN361" s="2">
        <v>7.3955559365675619E-2</v>
      </c>
    </row>
    <row r="362" spans="1:66" x14ac:dyDescent="0.25">
      <c r="A362" s="8">
        <v>3119</v>
      </c>
      <c r="B362" s="8" t="s">
        <v>634</v>
      </c>
      <c r="C362" s="5">
        <v>0</v>
      </c>
      <c r="D362" s="5">
        <f>+$C362*BC362</f>
        <v>0</v>
      </c>
      <c r="E362" s="5">
        <f>+$C362*BD362</f>
        <v>0</v>
      </c>
      <c r="F362" s="5">
        <f>+$C362*BE362</f>
        <v>0</v>
      </c>
      <c r="G362" s="5">
        <f>+$C362*BF362</f>
        <v>0</v>
      </c>
      <c r="H362" s="5">
        <f>+$C362*BG362</f>
        <v>0</v>
      </c>
      <c r="I362" s="5">
        <f>+$C362*BH362</f>
        <v>0</v>
      </c>
      <c r="J362" s="5">
        <f>+$C362*BI362</f>
        <v>0</v>
      </c>
      <c r="K362" s="5">
        <f>+$C362*BJ362</f>
        <v>0</v>
      </c>
      <c r="L362" s="5">
        <f>+$C362*BK362</f>
        <v>0</v>
      </c>
      <c r="M362" s="5">
        <f>+$C362*BL362</f>
        <v>0</v>
      </c>
      <c r="N362" s="5">
        <f>+$C362*BM362</f>
        <v>0</v>
      </c>
      <c r="O362" s="5">
        <f>+$C362*BN362</f>
        <v>0</v>
      </c>
      <c r="P362" s="5">
        <v>1000</v>
      </c>
      <c r="Q362" s="5">
        <f>+$P362*BC362</f>
        <v>89.181565948742247</v>
      </c>
      <c r="R362" s="5">
        <f>+$P362*BD362</f>
        <v>106.65277883445198</v>
      </c>
      <c r="S362" s="5">
        <f>+$P362*BE362</f>
        <v>94.388490848547647</v>
      </c>
      <c r="T362" s="5">
        <f>+$P362*BF362</f>
        <v>71.495649868550487</v>
      </c>
      <c r="U362" s="5">
        <f>+$P362*BG362</f>
        <v>103.68571810536763</v>
      </c>
      <c r="V362" s="5">
        <f>+$P362*BH362</f>
        <v>84.970330952544643</v>
      </c>
      <c r="W362" s="5">
        <f>+$P362*BI362</f>
        <v>84.593878877262711</v>
      </c>
      <c r="X362" s="5">
        <f>+$P362*BJ362</f>
        <v>57.447105462779966</v>
      </c>
      <c r="Y362" s="5">
        <f>+$P362*BK362</f>
        <v>85.153852345557468</v>
      </c>
      <c r="Z362" s="5">
        <f>+$P362*BL362</f>
        <v>74.158058913035177</v>
      </c>
      <c r="AA362" s="5">
        <f>+$P362*BM362</f>
        <v>75.718189192107175</v>
      </c>
      <c r="AB362" s="5">
        <f>+$P362*BN362</f>
        <v>73.955559365675626</v>
      </c>
      <c r="AC362" s="5">
        <v>0</v>
      </c>
      <c r="AD362" s="5">
        <f>+$AC362*BC362</f>
        <v>0</v>
      </c>
      <c r="AE362" s="5">
        <f>+$AC362*BD362</f>
        <v>0</v>
      </c>
      <c r="AF362" s="5">
        <f>+$AC362*BE362</f>
        <v>0</v>
      </c>
      <c r="AG362" s="5">
        <f>+$AC362*BF362</f>
        <v>0</v>
      </c>
      <c r="AH362" s="5">
        <f>+$AC362*BG362</f>
        <v>0</v>
      </c>
      <c r="AI362" s="5">
        <f>+$AC362*BH362</f>
        <v>0</v>
      </c>
      <c r="AJ362" s="5">
        <f>+$AC362*BI362</f>
        <v>0</v>
      </c>
      <c r="AK362" s="5">
        <f>+$AC362*BJ362</f>
        <v>0</v>
      </c>
      <c r="AL362" s="5">
        <f>+$AC362*BK362</f>
        <v>0</v>
      </c>
      <c r="AM362" s="5">
        <f>+$AC362*BL362</f>
        <v>0</v>
      </c>
      <c r="AN362" s="5">
        <f>+$AC362*BM362</f>
        <v>0</v>
      </c>
      <c r="AO362" s="5">
        <f>+$AC362*BN362</f>
        <v>0</v>
      </c>
      <c r="AP362" s="5">
        <f>+AC362+P362+C362</f>
        <v>1000</v>
      </c>
      <c r="AQ362" s="1">
        <v>133.77234892311336</v>
      </c>
      <c r="AR362" s="1">
        <v>159.97916825167798</v>
      </c>
      <c r="AS362" s="1">
        <v>141.58273627282145</v>
      </c>
      <c r="AT362" s="1">
        <v>107.24347480282573</v>
      </c>
      <c r="AU362" s="1">
        <v>155.52857715805143</v>
      </c>
      <c r="AV362" s="1">
        <v>127.45549642881696</v>
      </c>
      <c r="AW362" s="1">
        <v>126.89081831589405</v>
      </c>
      <c r="AX362" s="1">
        <v>86.170658194169945</v>
      </c>
      <c r="AY362" s="1">
        <v>127.73077851833621</v>
      </c>
      <c r="AZ362" s="1">
        <v>111.23708836955277</v>
      </c>
      <c r="BA362" s="1">
        <v>113.57728378816076</v>
      </c>
      <c r="BB362" s="1">
        <v>110.93333904851343</v>
      </c>
      <c r="BC362" s="2">
        <v>8.9181565948742242E-2</v>
      </c>
      <c r="BD362" s="2">
        <v>0.10665277883445198</v>
      </c>
      <c r="BE362" s="2">
        <v>9.438849084854764E-2</v>
      </c>
      <c r="BF362" s="2">
        <v>7.149564986855049E-2</v>
      </c>
      <c r="BG362" s="2">
        <v>0.10368571810536763</v>
      </c>
      <c r="BH362" s="2">
        <v>8.4970330952544637E-2</v>
      </c>
      <c r="BI362" s="2">
        <v>8.4593878877262704E-2</v>
      </c>
      <c r="BJ362" s="2">
        <v>5.7447105462779965E-2</v>
      </c>
      <c r="BK362" s="2">
        <v>8.5153852345557474E-2</v>
      </c>
      <c r="BL362" s="2">
        <v>7.4158058913035174E-2</v>
      </c>
      <c r="BM362" s="2">
        <v>7.5718189192107169E-2</v>
      </c>
      <c r="BN362" s="2">
        <v>7.3955559365675619E-2</v>
      </c>
    </row>
    <row r="363" spans="1:66" x14ac:dyDescent="0.25">
      <c r="A363" s="8">
        <v>4151</v>
      </c>
      <c r="B363" s="8" t="s">
        <v>633</v>
      </c>
      <c r="C363" s="5">
        <v>3000</v>
      </c>
      <c r="D363" s="5">
        <f>+$C363*BC363</f>
        <v>267.54469784622671</v>
      </c>
      <c r="E363" s="5">
        <f>+$C363*BD363</f>
        <v>319.95833650335595</v>
      </c>
      <c r="F363" s="5">
        <f>+$C363*BE363</f>
        <v>283.1654725456429</v>
      </c>
      <c r="G363" s="5">
        <f>+$C363*BF363</f>
        <v>214.48694960565146</v>
      </c>
      <c r="H363" s="5">
        <f>+$C363*BG363</f>
        <v>311.05715431610287</v>
      </c>
      <c r="I363" s="5">
        <f>+$C363*BH363</f>
        <v>254.91099285763391</v>
      </c>
      <c r="J363" s="5">
        <f>+$C363*BI363</f>
        <v>253.7816366317881</v>
      </c>
      <c r="K363" s="5">
        <f>+$C363*BJ363</f>
        <v>172.34131638833989</v>
      </c>
      <c r="L363" s="5">
        <f>+$C363*BK363</f>
        <v>255.46155703667242</v>
      </c>
      <c r="M363" s="5">
        <f>+$C363*BL363</f>
        <v>222.47417673910553</v>
      </c>
      <c r="N363" s="5">
        <f>+$C363*BM363</f>
        <v>227.15456757632151</v>
      </c>
      <c r="O363" s="5">
        <f>+$C363*BN363</f>
        <v>221.86667809702686</v>
      </c>
      <c r="P363" s="5">
        <v>0</v>
      </c>
      <c r="Q363" s="5">
        <f>+$P363*BC363</f>
        <v>0</v>
      </c>
      <c r="R363" s="5">
        <f>+$P363*BD363</f>
        <v>0</v>
      </c>
      <c r="S363" s="5">
        <f>+$P363*BE363</f>
        <v>0</v>
      </c>
      <c r="T363" s="5">
        <f>+$P363*BF363</f>
        <v>0</v>
      </c>
      <c r="U363" s="5">
        <f>+$P363*BG363</f>
        <v>0</v>
      </c>
      <c r="V363" s="5">
        <f>+$P363*BH363</f>
        <v>0</v>
      </c>
      <c r="W363" s="5">
        <f>+$P363*BI363</f>
        <v>0</v>
      </c>
      <c r="X363" s="5">
        <f>+$P363*BJ363</f>
        <v>0</v>
      </c>
      <c r="Y363" s="5">
        <f>+$P363*BK363</f>
        <v>0</v>
      </c>
      <c r="Z363" s="5">
        <f>+$P363*BL363</f>
        <v>0</v>
      </c>
      <c r="AA363" s="5">
        <f>+$P363*BM363</f>
        <v>0</v>
      </c>
      <c r="AB363" s="5">
        <f>+$P363*BN363</f>
        <v>0</v>
      </c>
      <c r="AC363" s="5">
        <v>0</v>
      </c>
      <c r="AD363" s="5">
        <f>+$AC363*BC363</f>
        <v>0</v>
      </c>
      <c r="AE363" s="5">
        <f>+$AC363*BD363</f>
        <v>0</v>
      </c>
      <c r="AF363" s="5">
        <f>+$AC363*BE363</f>
        <v>0</v>
      </c>
      <c r="AG363" s="5">
        <f>+$AC363*BF363</f>
        <v>0</v>
      </c>
      <c r="AH363" s="5">
        <f>+$AC363*BG363</f>
        <v>0</v>
      </c>
      <c r="AI363" s="5">
        <f>+$AC363*BH363</f>
        <v>0</v>
      </c>
      <c r="AJ363" s="5">
        <f>+$AC363*BI363</f>
        <v>0</v>
      </c>
      <c r="AK363" s="5">
        <f>+$AC363*BJ363</f>
        <v>0</v>
      </c>
      <c r="AL363" s="5">
        <f>+$AC363*BK363</f>
        <v>0</v>
      </c>
      <c r="AM363" s="5">
        <f>+$AC363*BL363</f>
        <v>0</v>
      </c>
      <c r="AN363" s="5">
        <f>+$AC363*BM363</f>
        <v>0</v>
      </c>
      <c r="AO363" s="5">
        <f>+$AC363*BN363</f>
        <v>0</v>
      </c>
      <c r="AP363" s="5">
        <f>+AC363+P363+C363</f>
        <v>3000</v>
      </c>
      <c r="AQ363" s="1">
        <v>133.77234892311336</v>
      </c>
      <c r="AR363" s="1">
        <v>159.97916825167798</v>
      </c>
      <c r="AS363" s="1">
        <v>141.58273627282145</v>
      </c>
      <c r="AT363" s="1">
        <v>107.24347480282573</v>
      </c>
      <c r="AU363" s="1">
        <v>155.52857715805143</v>
      </c>
      <c r="AV363" s="1">
        <v>127.45549642881696</v>
      </c>
      <c r="AW363" s="1">
        <v>126.89081831589405</v>
      </c>
      <c r="AX363" s="1">
        <v>86.170658194169945</v>
      </c>
      <c r="AY363" s="1">
        <v>127.73077851833621</v>
      </c>
      <c r="AZ363" s="1">
        <v>111.23708836955277</v>
      </c>
      <c r="BA363" s="1">
        <v>113.57728378816076</v>
      </c>
      <c r="BB363" s="1">
        <v>110.93333904851343</v>
      </c>
      <c r="BC363" s="2">
        <v>8.9181565948742242E-2</v>
      </c>
      <c r="BD363" s="2">
        <v>0.10665277883445198</v>
      </c>
      <c r="BE363" s="2">
        <v>9.438849084854764E-2</v>
      </c>
      <c r="BF363" s="2">
        <v>7.149564986855049E-2</v>
      </c>
      <c r="BG363" s="2">
        <v>0.10368571810536763</v>
      </c>
      <c r="BH363" s="2">
        <v>8.4970330952544637E-2</v>
      </c>
      <c r="BI363" s="2">
        <v>8.4593878877262704E-2</v>
      </c>
      <c r="BJ363" s="2">
        <v>5.7447105462779965E-2</v>
      </c>
      <c r="BK363" s="2">
        <v>8.5153852345557474E-2</v>
      </c>
      <c r="BL363" s="2">
        <v>7.4158058913035174E-2</v>
      </c>
      <c r="BM363" s="2">
        <v>7.5718189192107169E-2</v>
      </c>
      <c r="BN363" s="2">
        <v>7.3955559365675619E-2</v>
      </c>
    </row>
    <row r="364" spans="1:66" x14ac:dyDescent="0.25">
      <c r="A364" s="8">
        <v>4539</v>
      </c>
      <c r="B364" s="8" t="s">
        <v>632</v>
      </c>
      <c r="C364" s="5">
        <v>1500</v>
      </c>
      <c r="D364" s="5">
        <f>+$C364*BC364</f>
        <v>133.77234892311336</v>
      </c>
      <c r="E364" s="5">
        <f>+$C364*BD364</f>
        <v>159.97916825167798</v>
      </c>
      <c r="F364" s="5">
        <f>+$C364*BE364</f>
        <v>141.58273627282145</v>
      </c>
      <c r="G364" s="5">
        <f>+$C364*BF364</f>
        <v>107.24347480282573</v>
      </c>
      <c r="H364" s="5">
        <f>+$C364*BG364</f>
        <v>155.52857715805143</v>
      </c>
      <c r="I364" s="5">
        <f>+$C364*BH364</f>
        <v>127.45549642881696</v>
      </c>
      <c r="J364" s="5">
        <f>+$C364*BI364</f>
        <v>126.89081831589405</v>
      </c>
      <c r="K364" s="5">
        <f>+$C364*BJ364</f>
        <v>86.170658194169945</v>
      </c>
      <c r="L364" s="5">
        <f>+$C364*BK364</f>
        <v>127.73077851833621</v>
      </c>
      <c r="M364" s="5">
        <f>+$C364*BL364</f>
        <v>111.23708836955277</v>
      </c>
      <c r="N364" s="5">
        <f>+$C364*BM364</f>
        <v>113.57728378816076</v>
      </c>
      <c r="O364" s="5">
        <f>+$C364*BN364</f>
        <v>110.93333904851343</v>
      </c>
      <c r="P364" s="5">
        <v>0</v>
      </c>
      <c r="Q364" s="5">
        <f>+$P364*BC364</f>
        <v>0</v>
      </c>
      <c r="R364" s="5">
        <f>+$P364*BD364</f>
        <v>0</v>
      </c>
      <c r="S364" s="5">
        <f>+$P364*BE364</f>
        <v>0</v>
      </c>
      <c r="T364" s="5">
        <f>+$P364*BF364</f>
        <v>0</v>
      </c>
      <c r="U364" s="5">
        <f>+$P364*BG364</f>
        <v>0</v>
      </c>
      <c r="V364" s="5">
        <f>+$P364*BH364</f>
        <v>0</v>
      </c>
      <c r="W364" s="5">
        <f>+$P364*BI364</f>
        <v>0</v>
      </c>
      <c r="X364" s="5">
        <f>+$P364*BJ364</f>
        <v>0</v>
      </c>
      <c r="Y364" s="5">
        <f>+$P364*BK364</f>
        <v>0</v>
      </c>
      <c r="Z364" s="5">
        <f>+$P364*BL364</f>
        <v>0</v>
      </c>
      <c r="AA364" s="5">
        <f>+$P364*BM364</f>
        <v>0</v>
      </c>
      <c r="AB364" s="5">
        <f>+$P364*BN364</f>
        <v>0</v>
      </c>
      <c r="AC364" s="5">
        <v>0</v>
      </c>
      <c r="AD364" s="5">
        <f>+$AC364*BC364</f>
        <v>0</v>
      </c>
      <c r="AE364" s="5">
        <f>+$AC364*BD364</f>
        <v>0</v>
      </c>
      <c r="AF364" s="5">
        <f>+$AC364*BE364</f>
        <v>0</v>
      </c>
      <c r="AG364" s="5">
        <f>+$AC364*BF364</f>
        <v>0</v>
      </c>
      <c r="AH364" s="5">
        <f>+$AC364*BG364</f>
        <v>0</v>
      </c>
      <c r="AI364" s="5">
        <f>+$AC364*BH364</f>
        <v>0</v>
      </c>
      <c r="AJ364" s="5">
        <f>+$AC364*BI364</f>
        <v>0</v>
      </c>
      <c r="AK364" s="5">
        <f>+$AC364*BJ364</f>
        <v>0</v>
      </c>
      <c r="AL364" s="5">
        <f>+$AC364*BK364</f>
        <v>0</v>
      </c>
      <c r="AM364" s="5">
        <f>+$AC364*BL364</f>
        <v>0</v>
      </c>
      <c r="AN364" s="5">
        <f>+$AC364*BM364</f>
        <v>0</v>
      </c>
      <c r="AO364" s="5">
        <f>+$AC364*BN364</f>
        <v>0</v>
      </c>
      <c r="AP364" s="5">
        <f>+AC364+P364+C364</f>
        <v>1500</v>
      </c>
      <c r="AQ364" s="1">
        <v>133.77234892311336</v>
      </c>
      <c r="AR364" s="1">
        <v>159.97916825167798</v>
      </c>
      <c r="AS364" s="1">
        <v>141.58273627282145</v>
      </c>
      <c r="AT364" s="1">
        <v>107.24347480282573</v>
      </c>
      <c r="AU364" s="1">
        <v>155.52857715805143</v>
      </c>
      <c r="AV364" s="1">
        <v>127.45549642881696</v>
      </c>
      <c r="AW364" s="1">
        <v>126.89081831589405</v>
      </c>
      <c r="AX364" s="1">
        <v>86.170658194169945</v>
      </c>
      <c r="AY364" s="1">
        <v>127.73077851833621</v>
      </c>
      <c r="AZ364" s="1">
        <v>111.23708836955277</v>
      </c>
      <c r="BA364" s="1">
        <v>113.57728378816076</v>
      </c>
      <c r="BB364" s="1">
        <v>110.93333904851343</v>
      </c>
      <c r="BC364" s="2">
        <v>8.9181565948742242E-2</v>
      </c>
      <c r="BD364" s="2">
        <v>0.10665277883445198</v>
      </c>
      <c r="BE364" s="2">
        <v>9.438849084854764E-2</v>
      </c>
      <c r="BF364" s="2">
        <v>7.149564986855049E-2</v>
      </c>
      <c r="BG364" s="2">
        <v>0.10368571810536763</v>
      </c>
      <c r="BH364" s="2">
        <v>8.4970330952544637E-2</v>
      </c>
      <c r="BI364" s="2">
        <v>8.4593878877262704E-2</v>
      </c>
      <c r="BJ364" s="2">
        <v>5.7447105462779965E-2</v>
      </c>
      <c r="BK364" s="2">
        <v>8.5153852345557474E-2</v>
      </c>
      <c r="BL364" s="2">
        <v>7.4158058913035174E-2</v>
      </c>
      <c r="BM364" s="2">
        <v>7.5718189192107169E-2</v>
      </c>
      <c r="BN364" s="2">
        <v>7.3955559365675619E-2</v>
      </c>
    </row>
    <row r="365" spans="1:66" x14ac:dyDescent="0.25">
      <c r="A365" s="8">
        <v>4978</v>
      </c>
      <c r="B365" s="8" t="s">
        <v>631</v>
      </c>
      <c r="C365" s="5">
        <v>1500</v>
      </c>
      <c r="D365" s="5">
        <f>+$C365*BC365</f>
        <v>133.77234892311336</v>
      </c>
      <c r="E365" s="5">
        <f>+$C365*BD365</f>
        <v>159.97916825167798</v>
      </c>
      <c r="F365" s="5">
        <f>+$C365*BE365</f>
        <v>141.58273627282145</v>
      </c>
      <c r="G365" s="5">
        <f>+$C365*BF365</f>
        <v>107.24347480282573</v>
      </c>
      <c r="H365" s="5">
        <f>+$C365*BG365</f>
        <v>155.52857715805143</v>
      </c>
      <c r="I365" s="5">
        <f>+$C365*BH365</f>
        <v>127.45549642881696</v>
      </c>
      <c r="J365" s="5">
        <f>+$C365*BI365</f>
        <v>126.89081831589405</v>
      </c>
      <c r="K365" s="5">
        <f>+$C365*BJ365</f>
        <v>86.170658194169945</v>
      </c>
      <c r="L365" s="5">
        <f>+$C365*BK365</f>
        <v>127.73077851833621</v>
      </c>
      <c r="M365" s="5">
        <f>+$C365*BL365</f>
        <v>111.23708836955277</v>
      </c>
      <c r="N365" s="5">
        <f>+$C365*BM365</f>
        <v>113.57728378816076</v>
      </c>
      <c r="O365" s="5">
        <f>+$C365*BN365</f>
        <v>110.93333904851343</v>
      </c>
      <c r="P365" s="5">
        <v>0</v>
      </c>
      <c r="Q365" s="5">
        <f>+$P365*BC365</f>
        <v>0</v>
      </c>
      <c r="R365" s="5">
        <f>+$P365*BD365</f>
        <v>0</v>
      </c>
      <c r="S365" s="5">
        <f>+$P365*BE365</f>
        <v>0</v>
      </c>
      <c r="T365" s="5">
        <f>+$P365*BF365</f>
        <v>0</v>
      </c>
      <c r="U365" s="5">
        <f>+$P365*BG365</f>
        <v>0</v>
      </c>
      <c r="V365" s="5">
        <f>+$P365*BH365</f>
        <v>0</v>
      </c>
      <c r="W365" s="5">
        <f>+$P365*BI365</f>
        <v>0</v>
      </c>
      <c r="X365" s="5">
        <f>+$P365*BJ365</f>
        <v>0</v>
      </c>
      <c r="Y365" s="5">
        <f>+$P365*BK365</f>
        <v>0</v>
      </c>
      <c r="Z365" s="5">
        <f>+$P365*BL365</f>
        <v>0</v>
      </c>
      <c r="AA365" s="5">
        <f>+$P365*BM365</f>
        <v>0</v>
      </c>
      <c r="AB365" s="5">
        <f>+$P365*BN365</f>
        <v>0</v>
      </c>
      <c r="AC365" s="5">
        <v>0</v>
      </c>
      <c r="AD365" s="5">
        <f>+$AC365*BC365</f>
        <v>0</v>
      </c>
      <c r="AE365" s="5">
        <f>+$AC365*BD365</f>
        <v>0</v>
      </c>
      <c r="AF365" s="5">
        <f>+$AC365*BE365</f>
        <v>0</v>
      </c>
      <c r="AG365" s="5">
        <f>+$AC365*BF365</f>
        <v>0</v>
      </c>
      <c r="AH365" s="5">
        <f>+$AC365*BG365</f>
        <v>0</v>
      </c>
      <c r="AI365" s="5">
        <f>+$AC365*BH365</f>
        <v>0</v>
      </c>
      <c r="AJ365" s="5">
        <f>+$AC365*BI365</f>
        <v>0</v>
      </c>
      <c r="AK365" s="5">
        <f>+$AC365*BJ365</f>
        <v>0</v>
      </c>
      <c r="AL365" s="5">
        <f>+$AC365*BK365</f>
        <v>0</v>
      </c>
      <c r="AM365" s="5">
        <f>+$AC365*BL365</f>
        <v>0</v>
      </c>
      <c r="AN365" s="5">
        <f>+$AC365*BM365</f>
        <v>0</v>
      </c>
      <c r="AO365" s="5">
        <f>+$AC365*BN365</f>
        <v>0</v>
      </c>
      <c r="AP365" s="5">
        <f>+AC365+P365+C365</f>
        <v>1500</v>
      </c>
      <c r="AQ365" s="1">
        <v>133.77234892311336</v>
      </c>
      <c r="AR365" s="1">
        <v>159.97916825167798</v>
      </c>
      <c r="AS365" s="1">
        <v>141.58273627282145</v>
      </c>
      <c r="AT365" s="1">
        <v>107.24347480282573</v>
      </c>
      <c r="AU365" s="1">
        <v>155.52857715805143</v>
      </c>
      <c r="AV365" s="1">
        <v>127.45549642881696</v>
      </c>
      <c r="AW365" s="1">
        <v>126.89081831589405</v>
      </c>
      <c r="AX365" s="1">
        <v>86.170658194169945</v>
      </c>
      <c r="AY365" s="1">
        <v>127.73077851833621</v>
      </c>
      <c r="AZ365" s="1">
        <v>111.23708836955277</v>
      </c>
      <c r="BA365" s="1">
        <v>113.57728378816076</v>
      </c>
      <c r="BB365" s="1">
        <v>110.93333904851343</v>
      </c>
      <c r="BC365" s="2">
        <v>8.9181565948742242E-2</v>
      </c>
      <c r="BD365" s="2">
        <v>0.10665277883445198</v>
      </c>
      <c r="BE365" s="2">
        <v>9.438849084854764E-2</v>
      </c>
      <c r="BF365" s="2">
        <v>7.149564986855049E-2</v>
      </c>
      <c r="BG365" s="2">
        <v>0.10368571810536763</v>
      </c>
      <c r="BH365" s="2">
        <v>8.4970330952544637E-2</v>
      </c>
      <c r="BI365" s="2">
        <v>8.4593878877262704E-2</v>
      </c>
      <c r="BJ365" s="2">
        <v>5.7447105462779965E-2</v>
      </c>
      <c r="BK365" s="2">
        <v>8.5153852345557474E-2</v>
      </c>
      <c r="BL365" s="2">
        <v>7.4158058913035174E-2</v>
      </c>
      <c r="BM365" s="2">
        <v>7.5718189192107169E-2</v>
      </c>
      <c r="BN365" s="2">
        <v>7.3955559365675619E-2</v>
      </c>
    </row>
    <row r="366" spans="1:66" x14ac:dyDescent="0.25">
      <c r="A366" s="8">
        <v>5041</v>
      </c>
      <c r="B366" s="8" t="s">
        <v>630</v>
      </c>
      <c r="C366" s="5">
        <v>0</v>
      </c>
      <c r="D366" s="5">
        <f>+$C366*BC366</f>
        <v>0</v>
      </c>
      <c r="E366" s="5">
        <f>+$C366*BD366</f>
        <v>0</v>
      </c>
      <c r="F366" s="5">
        <f>+$C366*BE366</f>
        <v>0</v>
      </c>
      <c r="G366" s="5">
        <f>+$C366*BF366</f>
        <v>0</v>
      </c>
      <c r="H366" s="5">
        <f>+$C366*BG366</f>
        <v>0</v>
      </c>
      <c r="I366" s="5">
        <f>+$C366*BH366</f>
        <v>0</v>
      </c>
      <c r="J366" s="5">
        <f>+$C366*BI366</f>
        <v>0</v>
      </c>
      <c r="K366" s="5">
        <f>+$C366*BJ366</f>
        <v>0</v>
      </c>
      <c r="L366" s="5">
        <f>+$C366*BK366</f>
        <v>0</v>
      </c>
      <c r="M366" s="5">
        <f>+$C366*BL366</f>
        <v>0</v>
      </c>
      <c r="N366" s="5">
        <f>+$C366*BM366</f>
        <v>0</v>
      </c>
      <c r="O366" s="5">
        <f>+$C366*BN366</f>
        <v>0</v>
      </c>
      <c r="P366" s="5">
        <v>0</v>
      </c>
      <c r="Q366" s="5">
        <f>+$P366*BC366</f>
        <v>0</v>
      </c>
      <c r="R366" s="5">
        <f>+$P366*BD366</f>
        <v>0</v>
      </c>
      <c r="S366" s="5">
        <f>+$P366*BE366</f>
        <v>0</v>
      </c>
      <c r="T366" s="5">
        <f>+$P366*BF366</f>
        <v>0</v>
      </c>
      <c r="U366" s="5">
        <f>+$P366*BG366</f>
        <v>0</v>
      </c>
      <c r="V366" s="5">
        <f>+$P366*BH366</f>
        <v>0</v>
      </c>
      <c r="W366" s="5">
        <f>+$P366*BI366</f>
        <v>0</v>
      </c>
      <c r="X366" s="5">
        <f>+$P366*BJ366</f>
        <v>0</v>
      </c>
      <c r="Y366" s="5">
        <f>+$P366*BK366</f>
        <v>0</v>
      </c>
      <c r="Z366" s="5">
        <f>+$P366*BL366</f>
        <v>0</v>
      </c>
      <c r="AA366" s="5">
        <f>+$P366*BM366</f>
        <v>0</v>
      </c>
      <c r="AB366" s="5">
        <f>+$P366*BN366</f>
        <v>0</v>
      </c>
      <c r="AC366" s="5">
        <v>0</v>
      </c>
      <c r="AD366" s="5">
        <f>+$AC366*BC366</f>
        <v>0</v>
      </c>
      <c r="AE366" s="5">
        <f>+$AC366*BD366</f>
        <v>0</v>
      </c>
      <c r="AF366" s="5">
        <f>+$AC366*BE366</f>
        <v>0</v>
      </c>
      <c r="AG366" s="5">
        <f>+$AC366*BF366</f>
        <v>0</v>
      </c>
      <c r="AH366" s="5">
        <f>+$AC366*BG366</f>
        <v>0</v>
      </c>
      <c r="AI366" s="5">
        <f>+$AC366*BH366</f>
        <v>0</v>
      </c>
      <c r="AJ366" s="5">
        <f>+$AC366*BI366</f>
        <v>0</v>
      </c>
      <c r="AK366" s="5">
        <f>+$AC366*BJ366</f>
        <v>0</v>
      </c>
      <c r="AL366" s="5">
        <f>+$AC366*BK366</f>
        <v>0</v>
      </c>
      <c r="AM366" s="5">
        <f>+$AC366*BL366</f>
        <v>0</v>
      </c>
      <c r="AN366" s="5">
        <f>+$AC366*BM366</f>
        <v>0</v>
      </c>
      <c r="AO366" s="5">
        <f>+$AC366*BN366</f>
        <v>0</v>
      </c>
      <c r="AP366" s="5">
        <f>+AC366+P366+C366</f>
        <v>0</v>
      </c>
      <c r="AQ366" s="1">
        <v>133.77234892311336</v>
      </c>
      <c r="AR366" s="1">
        <v>159.97916825167798</v>
      </c>
      <c r="AS366" s="1">
        <v>141.58273627282145</v>
      </c>
      <c r="AT366" s="1">
        <v>107.24347480282573</v>
      </c>
      <c r="AU366" s="1">
        <v>155.52857715805143</v>
      </c>
      <c r="AV366" s="1">
        <v>127.45549642881696</v>
      </c>
      <c r="AW366" s="1">
        <v>126.89081831589405</v>
      </c>
      <c r="AX366" s="1">
        <v>86.170658194169945</v>
      </c>
      <c r="AY366" s="1">
        <v>127.73077851833621</v>
      </c>
      <c r="AZ366" s="1">
        <v>111.23708836955277</v>
      </c>
      <c r="BA366" s="1">
        <v>113.57728378816076</v>
      </c>
      <c r="BB366" s="1">
        <v>110.93333904851343</v>
      </c>
      <c r="BC366" s="2">
        <v>8.9181565948742242E-2</v>
      </c>
      <c r="BD366" s="2">
        <v>0.10665277883445198</v>
      </c>
      <c r="BE366" s="2">
        <v>9.438849084854764E-2</v>
      </c>
      <c r="BF366" s="2">
        <v>7.149564986855049E-2</v>
      </c>
      <c r="BG366" s="2">
        <v>0.10368571810536763</v>
      </c>
      <c r="BH366" s="2">
        <v>8.4970330952544637E-2</v>
      </c>
      <c r="BI366" s="2">
        <v>8.4593878877262704E-2</v>
      </c>
      <c r="BJ366" s="2">
        <v>5.7447105462779965E-2</v>
      </c>
      <c r="BK366" s="2">
        <v>8.5153852345557474E-2</v>
      </c>
      <c r="BL366" s="2">
        <v>7.4158058913035174E-2</v>
      </c>
      <c r="BM366" s="2">
        <v>7.5718189192107169E-2</v>
      </c>
      <c r="BN366" s="2">
        <v>7.3955559365675619E-2</v>
      </c>
    </row>
    <row r="367" spans="1:66" x14ac:dyDescent="0.25">
      <c r="A367" s="8">
        <v>5465</v>
      </c>
      <c r="B367" s="8" t="s">
        <v>629</v>
      </c>
      <c r="C367" s="5">
        <v>0</v>
      </c>
      <c r="D367" s="5">
        <f>+$C367*BC367</f>
        <v>0</v>
      </c>
      <c r="E367" s="5">
        <f>+$C367*BD367</f>
        <v>0</v>
      </c>
      <c r="F367" s="5">
        <f>+$C367*BE367</f>
        <v>0</v>
      </c>
      <c r="G367" s="5">
        <f>+$C367*BF367</f>
        <v>0</v>
      </c>
      <c r="H367" s="5">
        <f>+$C367*BG367</f>
        <v>0</v>
      </c>
      <c r="I367" s="5">
        <f>+$C367*BH367</f>
        <v>0</v>
      </c>
      <c r="J367" s="5">
        <f>+$C367*BI367</f>
        <v>0</v>
      </c>
      <c r="K367" s="5">
        <f>+$C367*BJ367</f>
        <v>0</v>
      </c>
      <c r="L367" s="5">
        <f>+$C367*BK367</f>
        <v>0</v>
      </c>
      <c r="M367" s="5">
        <f>+$C367*BL367</f>
        <v>0</v>
      </c>
      <c r="N367" s="5">
        <f>+$C367*BM367</f>
        <v>0</v>
      </c>
      <c r="O367" s="5">
        <f>+$C367*BN367</f>
        <v>0</v>
      </c>
      <c r="P367" s="5">
        <v>0</v>
      </c>
      <c r="Q367" s="5">
        <f>+$P367*BC367</f>
        <v>0</v>
      </c>
      <c r="R367" s="5">
        <f>+$P367*BD367</f>
        <v>0</v>
      </c>
      <c r="S367" s="5">
        <f>+$P367*BE367</f>
        <v>0</v>
      </c>
      <c r="T367" s="5">
        <f>+$P367*BF367</f>
        <v>0</v>
      </c>
      <c r="U367" s="5">
        <f>+$P367*BG367</f>
        <v>0</v>
      </c>
      <c r="V367" s="5">
        <f>+$P367*BH367</f>
        <v>0</v>
      </c>
      <c r="W367" s="5">
        <f>+$P367*BI367</f>
        <v>0</v>
      </c>
      <c r="X367" s="5">
        <f>+$P367*BJ367</f>
        <v>0</v>
      </c>
      <c r="Y367" s="5">
        <f>+$P367*BK367</f>
        <v>0</v>
      </c>
      <c r="Z367" s="5">
        <f>+$P367*BL367</f>
        <v>0</v>
      </c>
      <c r="AA367" s="5">
        <f>+$P367*BM367</f>
        <v>0</v>
      </c>
      <c r="AB367" s="5">
        <f>+$P367*BN367</f>
        <v>0</v>
      </c>
      <c r="AC367" s="5">
        <v>0</v>
      </c>
      <c r="AD367" s="5">
        <f>+$AC367*BC367</f>
        <v>0</v>
      </c>
      <c r="AE367" s="5">
        <f>+$AC367*BD367</f>
        <v>0</v>
      </c>
      <c r="AF367" s="5">
        <f>+$AC367*BE367</f>
        <v>0</v>
      </c>
      <c r="AG367" s="5">
        <f>+$AC367*BF367</f>
        <v>0</v>
      </c>
      <c r="AH367" s="5">
        <f>+$AC367*BG367</f>
        <v>0</v>
      </c>
      <c r="AI367" s="5">
        <f>+$AC367*BH367</f>
        <v>0</v>
      </c>
      <c r="AJ367" s="5">
        <f>+$AC367*BI367</f>
        <v>0</v>
      </c>
      <c r="AK367" s="5">
        <f>+$AC367*BJ367</f>
        <v>0</v>
      </c>
      <c r="AL367" s="5">
        <f>+$AC367*BK367</f>
        <v>0</v>
      </c>
      <c r="AM367" s="5">
        <f>+$AC367*BL367</f>
        <v>0</v>
      </c>
      <c r="AN367" s="5">
        <f>+$AC367*BM367</f>
        <v>0</v>
      </c>
      <c r="AO367" s="5">
        <f>+$AC367*BN367</f>
        <v>0</v>
      </c>
      <c r="AP367" s="5">
        <f>+AC367+P367+C367</f>
        <v>0</v>
      </c>
      <c r="AQ367" s="1">
        <v>133.77234892311336</v>
      </c>
      <c r="AR367" s="1">
        <v>159.97916825167798</v>
      </c>
      <c r="AS367" s="1">
        <v>141.58273627282145</v>
      </c>
      <c r="AT367" s="1">
        <v>107.24347480282573</v>
      </c>
      <c r="AU367" s="1">
        <v>155.52857715805143</v>
      </c>
      <c r="AV367" s="1">
        <v>127.45549642881696</v>
      </c>
      <c r="AW367" s="1">
        <v>126.89081831589405</v>
      </c>
      <c r="AX367" s="1">
        <v>86.170658194169945</v>
      </c>
      <c r="AY367" s="1">
        <v>127.73077851833621</v>
      </c>
      <c r="AZ367" s="1">
        <v>111.23708836955277</v>
      </c>
      <c r="BA367" s="1">
        <v>113.57728378816076</v>
      </c>
      <c r="BB367" s="1">
        <v>110.93333904851343</v>
      </c>
      <c r="BC367" s="2">
        <v>8.9181565948742242E-2</v>
      </c>
      <c r="BD367" s="2">
        <v>0.10665277883445198</v>
      </c>
      <c r="BE367" s="2">
        <v>9.438849084854764E-2</v>
      </c>
      <c r="BF367" s="2">
        <v>7.149564986855049E-2</v>
      </c>
      <c r="BG367" s="2">
        <v>0.10368571810536763</v>
      </c>
      <c r="BH367" s="2">
        <v>8.4970330952544637E-2</v>
      </c>
      <c r="BI367" s="2">
        <v>8.4593878877262704E-2</v>
      </c>
      <c r="BJ367" s="2">
        <v>5.7447105462779965E-2</v>
      </c>
      <c r="BK367" s="2">
        <v>8.5153852345557474E-2</v>
      </c>
      <c r="BL367" s="2">
        <v>7.4158058913035174E-2</v>
      </c>
      <c r="BM367" s="2">
        <v>7.5718189192107169E-2</v>
      </c>
      <c r="BN367" s="2">
        <v>7.3955559365675619E-2</v>
      </c>
    </row>
    <row r="368" spans="1:66" x14ac:dyDescent="0.25">
      <c r="A368" s="8">
        <v>5512</v>
      </c>
      <c r="B368" s="8" t="s">
        <v>628</v>
      </c>
      <c r="C368" s="5">
        <v>0</v>
      </c>
      <c r="D368" s="5">
        <f>+$C368*BC368</f>
        <v>0</v>
      </c>
      <c r="E368" s="5">
        <f>+$C368*BD368</f>
        <v>0</v>
      </c>
      <c r="F368" s="5">
        <f>+$C368*BE368</f>
        <v>0</v>
      </c>
      <c r="G368" s="5">
        <f>+$C368*BF368</f>
        <v>0</v>
      </c>
      <c r="H368" s="5">
        <f>+$C368*BG368</f>
        <v>0</v>
      </c>
      <c r="I368" s="5">
        <f>+$C368*BH368</f>
        <v>0</v>
      </c>
      <c r="J368" s="5">
        <f>+$C368*BI368</f>
        <v>0</v>
      </c>
      <c r="K368" s="5">
        <f>+$C368*BJ368</f>
        <v>0</v>
      </c>
      <c r="L368" s="5">
        <f>+$C368*BK368</f>
        <v>0</v>
      </c>
      <c r="M368" s="5">
        <f>+$C368*BL368</f>
        <v>0</v>
      </c>
      <c r="N368" s="5">
        <f>+$C368*BM368</f>
        <v>0</v>
      </c>
      <c r="O368" s="5">
        <f>+$C368*BN368</f>
        <v>0</v>
      </c>
      <c r="P368" s="5">
        <v>0</v>
      </c>
      <c r="Q368" s="5">
        <f>+$P368*BC368</f>
        <v>0</v>
      </c>
      <c r="R368" s="5">
        <f>+$P368*BD368</f>
        <v>0</v>
      </c>
      <c r="S368" s="5">
        <f>+$P368*BE368</f>
        <v>0</v>
      </c>
      <c r="T368" s="5">
        <f>+$P368*BF368</f>
        <v>0</v>
      </c>
      <c r="U368" s="5">
        <f>+$P368*BG368</f>
        <v>0</v>
      </c>
      <c r="V368" s="5">
        <f>+$P368*BH368</f>
        <v>0</v>
      </c>
      <c r="W368" s="5">
        <f>+$P368*BI368</f>
        <v>0</v>
      </c>
      <c r="X368" s="5">
        <f>+$P368*BJ368</f>
        <v>0</v>
      </c>
      <c r="Y368" s="5">
        <f>+$P368*BK368</f>
        <v>0</v>
      </c>
      <c r="Z368" s="5">
        <f>+$P368*BL368</f>
        <v>0</v>
      </c>
      <c r="AA368" s="5">
        <f>+$P368*BM368</f>
        <v>0</v>
      </c>
      <c r="AB368" s="5">
        <f>+$P368*BN368</f>
        <v>0</v>
      </c>
      <c r="AC368" s="5">
        <v>0</v>
      </c>
      <c r="AD368" s="5">
        <f>+$AC368*BC368</f>
        <v>0</v>
      </c>
      <c r="AE368" s="5">
        <f>+$AC368*BD368</f>
        <v>0</v>
      </c>
      <c r="AF368" s="5">
        <f>+$AC368*BE368</f>
        <v>0</v>
      </c>
      <c r="AG368" s="5">
        <f>+$AC368*BF368</f>
        <v>0</v>
      </c>
      <c r="AH368" s="5">
        <f>+$AC368*BG368</f>
        <v>0</v>
      </c>
      <c r="AI368" s="5">
        <f>+$AC368*BH368</f>
        <v>0</v>
      </c>
      <c r="AJ368" s="5">
        <f>+$AC368*BI368</f>
        <v>0</v>
      </c>
      <c r="AK368" s="5">
        <f>+$AC368*BJ368</f>
        <v>0</v>
      </c>
      <c r="AL368" s="5">
        <f>+$AC368*BK368</f>
        <v>0</v>
      </c>
      <c r="AM368" s="5">
        <f>+$AC368*BL368</f>
        <v>0</v>
      </c>
      <c r="AN368" s="5">
        <f>+$AC368*BM368</f>
        <v>0</v>
      </c>
      <c r="AO368" s="5">
        <f>+$AC368*BN368</f>
        <v>0</v>
      </c>
      <c r="AP368" s="5">
        <f>+AC368+P368+C368</f>
        <v>0</v>
      </c>
      <c r="AQ368" s="1">
        <v>133.77234892311336</v>
      </c>
      <c r="AR368" s="1">
        <v>159.97916825167798</v>
      </c>
      <c r="AS368" s="1">
        <v>141.58273627282145</v>
      </c>
      <c r="AT368" s="1">
        <v>107.24347480282573</v>
      </c>
      <c r="AU368" s="1">
        <v>155.52857715805143</v>
      </c>
      <c r="AV368" s="1">
        <v>127.45549642881696</v>
      </c>
      <c r="AW368" s="1">
        <v>126.89081831589405</v>
      </c>
      <c r="AX368" s="1">
        <v>86.170658194169945</v>
      </c>
      <c r="AY368" s="1">
        <v>127.73077851833621</v>
      </c>
      <c r="AZ368" s="1">
        <v>111.23708836955277</v>
      </c>
      <c r="BA368" s="1">
        <v>113.57728378816076</v>
      </c>
      <c r="BB368" s="1">
        <v>110.93333904851343</v>
      </c>
      <c r="BC368" s="2">
        <v>8.9181565948742242E-2</v>
      </c>
      <c r="BD368" s="2">
        <v>0.10665277883445198</v>
      </c>
      <c r="BE368" s="2">
        <v>9.438849084854764E-2</v>
      </c>
      <c r="BF368" s="2">
        <v>7.149564986855049E-2</v>
      </c>
      <c r="BG368" s="2">
        <v>0.10368571810536763</v>
      </c>
      <c r="BH368" s="2">
        <v>8.4970330952544637E-2</v>
      </c>
      <c r="BI368" s="2">
        <v>8.4593878877262704E-2</v>
      </c>
      <c r="BJ368" s="2">
        <v>5.7447105462779965E-2</v>
      </c>
      <c r="BK368" s="2">
        <v>8.5153852345557474E-2</v>
      </c>
      <c r="BL368" s="2">
        <v>7.4158058913035174E-2</v>
      </c>
      <c r="BM368" s="2">
        <v>7.5718189192107169E-2</v>
      </c>
      <c r="BN368" s="2">
        <v>7.3955559365675619E-2</v>
      </c>
    </row>
    <row r="369" spans="1:66" x14ac:dyDescent="0.25">
      <c r="A369" s="8">
        <v>5535</v>
      </c>
      <c r="B369" s="8" t="s">
        <v>627</v>
      </c>
      <c r="C369" s="5">
        <v>0</v>
      </c>
      <c r="D369" s="5">
        <f>+$C369*BC369</f>
        <v>0</v>
      </c>
      <c r="E369" s="5">
        <f>+$C369*BD369</f>
        <v>0</v>
      </c>
      <c r="F369" s="5">
        <f>+$C369*BE369</f>
        <v>0</v>
      </c>
      <c r="G369" s="5">
        <f>+$C369*BF369</f>
        <v>0</v>
      </c>
      <c r="H369" s="5">
        <f>+$C369*BG369</f>
        <v>0</v>
      </c>
      <c r="I369" s="5">
        <f>+$C369*BH369</f>
        <v>0</v>
      </c>
      <c r="J369" s="5">
        <f>+$C369*BI369</f>
        <v>0</v>
      </c>
      <c r="K369" s="5">
        <f>+$C369*BJ369</f>
        <v>0</v>
      </c>
      <c r="L369" s="5">
        <f>+$C369*BK369</f>
        <v>0</v>
      </c>
      <c r="M369" s="5">
        <f>+$C369*BL369</f>
        <v>0</v>
      </c>
      <c r="N369" s="5">
        <f>+$C369*BM369</f>
        <v>0</v>
      </c>
      <c r="O369" s="5">
        <f>+$C369*BN369</f>
        <v>0</v>
      </c>
      <c r="P369" s="5">
        <v>0</v>
      </c>
      <c r="Q369" s="5">
        <f>+$P369*BC369</f>
        <v>0</v>
      </c>
      <c r="R369" s="5">
        <f>+$P369*BD369</f>
        <v>0</v>
      </c>
      <c r="S369" s="5">
        <f>+$P369*BE369</f>
        <v>0</v>
      </c>
      <c r="T369" s="5">
        <f>+$P369*BF369</f>
        <v>0</v>
      </c>
      <c r="U369" s="5">
        <f>+$P369*BG369</f>
        <v>0</v>
      </c>
      <c r="V369" s="5">
        <f>+$P369*BH369</f>
        <v>0</v>
      </c>
      <c r="W369" s="5">
        <f>+$P369*BI369</f>
        <v>0</v>
      </c>
      <c r="X369" s="5">
        <f>+$P369*BJ369</f>
        <v>0</v>
      </c>
      <c r="Y369" s="5">
        <f>+$P369*BK369</f>
        <v>0</v>
      </c>
      <c r="Z369" s="5">
        <f>+$P369*BL369</f>
        <v>0</v>
      </c>
      <c r="AA369" s="5">
        <f>+$P369*BM369</f>
        <v>0</v>
      </c>
      <c r="AB369" s="5">
        <f>+$P369*BN369</f>
        <v>0</v>
      </c>
      <c r="AC369" s="5">
        <v>0</v>
      </c>
      <c r="AD369" s="5">
        <f>+$AC369*BC369</f>
        <v>0</v>
      </c>
      <c r="AE369" s="5">
        <f>+$AC369*BD369</f>
        <v>0</v>
      </c>
      <c r="AF369" s="5">
        <f>+$AC369*BE369</f>
        <v>0</v>
      </c>
      <c r="AG369" s="5">
        <f>+$AC369*BF369</f>
        <v>0</v>
      </c>
      <c r="AH369" s="5">
        <f>+$AC369*BG369</f>
        <v>0</v>
      </c>
      <c r="AI369" s="5">
        <f>+$AC369*BH369</f>
        <v>0</v>
      </c>
      <c r="AJ369" s="5">
        <f>+$AC369*BI369</f>
        <v>0</v>
      </c>
      <c r="AK369" s="5">
        <f>+$AC369*BJ369</f>
        <v>0</v>
      </c>
      <c r="AL369" s="5">
        <f>+$AC369*BK369</f>
        <v>0</v>
      </c>
      <c r="AM369" s="5">
        <f>+$AC369*BL369</f>
        <v>0</v>
      </c>
      <c r="AN369" s="5">
        <f>+$AC369*BM369</f>
        <v>0</v>
      </c>
      <c r="AO369" s="5">
        <f>+$AC369*BN369</f>
        <v>0</v>
      </c>
      <c r="AP369" s="5">
        <f>+AC369+P369+C369</f>
        <v>0</v>
      </c>
      <c r="AQ369" s="1">
        <v>133.77234892311336</v>
      </c>
      <c r="AR369" s="1">
        <v>159.97916825167798</v>
      </c>
      <c r="AS369" s="1">
        <v>141.58273627282145</v>
      </c>
      <c r="AT369" s="1">
        <v>107.24347480282573</v>
      </c>
      <c r="AU369" s="1">
        <v>155.52857715805143</v>
      </c>
      <c r="AV369" s="1">
        <v>127.45549642881696</v>
      </c>
      <c r="AW369" s="1">
        <v>126.89081831589405</v>
      </c>
      <c r="AX369" s="1">
        <v>86.170658194169945</v>
      </c>
      <c r="AY369" s="1">
        <v>127.73077851833621</v>
      </c>
      <c r="AZ369" s="1">
        <v>111.23708836955277</v>
      </c>
      <c r="BA369" s="1">
        <v>113.57728378816076</v>
      </c>
      <c r="BB369" s="1">
        <v>110.93333904851343</v>
      </c>
      <c r="BC369" s="2">
        <v>8.9181565948742242E-2</v>
      </c>
      <c r="BD369" s="2">
        <v>0.10665277883445198</v>
      </c>
      <c r="BE369" s="2">
        <v>9.438849084854764E-2</v>
      </c>
      <c r="BF369" s="2">
        <v>7.149564986855049E-2</v>
      </c>
      <c r="BG369" s="2">
        <v>0.10368571810536763</v>
      </c>
      <c r="BH369" s="2">
        <v>8.4970330952544637E-2</v>
      </c>
      <c r="BI369" s="2">
        <v>8.4593878877262704E-2</v>
      </c>
      <c r="BJ369" s="2">
        <v>5.7447105462779965E-2</v>
      </c>
      <c r="BK369" s="2">
        <v>8.5153852345557474E-2</v>
      </c>
      <c r="BL369" s="2">
        <v>7.4158058913035174E-2</v>
      </c>
      <c r="BM369" s="2">
        <v>7.5718189192107169E-2</v>
      </c>
      <c r="BN369" s="2">
        <v>7.3955559365675619E-2</v>
      </c>
    </row>
    <row r="370" spans="1:66" x14ac:dyDescent="0.25">
      <c r="A370" s="8">
        <v>5624</v>
      </c>
      <c r="B370" s="8" t="s">
        <v>626</v>
      </c>
      <c r="C370" s="5">
        <v>1500</v>
      </c>
      <c r="D370" s="5">
        <f>+$C370*BC370</f>
        <v>133.77234892311336</v>
      </c>
      <c r="E370" s="5">
        <f>+$C370*BD370</f>
        <v>159.97916825167798</v>
      </c>
      <c r="F370" s="5">
        <f>+$C370*BE370</f>
        <v>141.58273627282145</v>
      </c>
      <c r="G370" s="5">
        <f>+$C370*BF370</f>
        <v>107.24347480282573</v>
      </c>
      <c r="H370" s="5">
        <f>+$C370*BG370</f>
        <v>155.52857715805143</v>
      </c>
      <c r="I370" s="5">
        <f>+$C370*BH370</f>
        <v>127.45549642881696</v>
      </c>
      <c r="J370" s="5">
        <f>+$C370*BI370</f>
        <v>126.89081831589405</v>
      </c>
      <c r="K370" s="5">
        <f>+$C370*BJ370</f>
        <v>86.170658194169945</v>
      </c>
      <c r="L370" s="5">
        <f>+$C370*BK370</f>
        <v>127.73077851833621</v>
      </c>
      <c r="M370" s="5">
        <f>+$C370*BL370</f>
        <v>111.23708836955277</v>
      </c>
      <c r="N370" s="5">
        <f>+$C370*BM370</f>
        <v>113.57728378816076</v>
      </c>
      <c r="O370" s="5">
        <f>+$C370*BN370</f>
        <v>110.93333904851343</v>
      </c>
      <c r="P370" s="5">
        <v>0</v>
      </c>
      <c r="Q370" s="5">
        <f>+$P370*BC370</f>
        <v>0</v>
      </c>
      <c r="R370" s="5">
        <f>+$P370*BD370</f>
        <v>0</v>
      </c>
      <c r="S370" s="5">
        <f>+$P370*BE370</f>
        <v>0</v>
      </c>
      <c r="T370" s="5">
        <f>+$P370*BF370</f>
        <v>0</v>
      </c>
      <c r="U370" s="5">
        <f>+$P370*BG370</f>
        <v>0</v>
      </c>
      <c r="V370" s="5">
        <f>+$P370*BH370</f>
        <v>0</v>
      </c>
      <c r="W370" s="5">
        <f>+$P370*BI370</f>
        <v>0</v>
      </c>
      <c r="X370" s="5">
        <f>+$P370*BJ370</f>
        <v>0</v>
      </c>
      <c r="Y370" s="5">
        <f>+$P370*BK370</f>
        <v>0</v>
      </c>
      <c r="Z370" s="5">
        <f>+$P370*BL370</f>
        <v>0</v>
      </c>
      <c r="AA370" s="5">
        <f>+$P370*BM370</f>
        <v>0</v>
      </c>
      <c r="AB370" s="5">
        <f>+$P370*BN370</f>
        <v>0</v>
      </c>
      <c r="AC370" s="5">
        <v>0</v>
      </c>
      <c r="AD370" s="5">
        <f>+$AC370*BC370</f>
        <v>0</v>
      </c>
      <c r="AE370" s="5">
        <f>+$AC370*BD370</f>
        <v>0</v>
      </c>
      <c r="AF370" s="5">
        <f>+$AC370*BE370</f>
        <v>0</v>
      </c>
      <c r="AG370" s="5">
        <f>+$AC370*BF370</f>
        <v>0</v>
      </c>
      <c r="AH370" s="5">
        <f>+$AC370*BG370</f>
        <v>0</v>
      </c>
      <c r="AI370" s="5">
        <f>+$AC370*BH370</f>
        <v>0</v>
      </c>
      <c r="AJ370" s="5">
        <f>+$AC370*BI370</f>
        <v>0</v>
      </c>
      <c r="AK370" s="5">
        <f>+$AC370*BJ370</f>
        <v>0</v>
      </c>
      <c r="AL370" s="5">
        <f>+$AC370*BK370</f>
        <v>0</v>
      </c>
      <c r="AM370" s="5">
        <f>+$AC370*BL370</f>
        <v>0</v>
      </c>
      <c r="AN370" s="5">
        <f>+$AC370*BM370</f>
        <v>0</v>
      </c>
      <c r="AO370" s="5">
        <f>+$AC370*BN370</f>
        <v>0</v>
      </c>
      <c r="AP370" s="5">
        <f>+AC370+P370+C370</f>
        <v>1500</v>
      </c>
      <c r="AQ370" s="1">
        <v>133.77234892311336</v>
      </c>
      <c r="AR370" s="1">
        <v>159.97916825167798</v>
      </c>
      <c r="AS370" s="1">
        <v>141.58273627282145</v>
      </c>
      <c r="AT370" s="1">
        <v>107.24347480282573</v>
      </c>
      <c r="AU370" s="1">
        <v>155.52857715805143</v>
      </c>
      <c r="AV370" s="1">
        <v>127.45549642881696</v>
      </c>
      <c r="AW370" s="1">
        <v>126.89081831589405</v>
      </c>
      <c r="AX370" s="1">
        <v>86.170658194169945</v>
      </c>
      <c r="AY370" s="1">
        <v>127.73077851833621</v>
      </c>
      <c r="AZ370" s="1">
        <v>111.23708836955277</v>
      </c>
      <c r="BA370" s="1">
        <v>113.57728378816076</v>
      </c>
      <c r="BB370" s="1">
        <v>110.93333904851343</v>
      </c>
      <c r="BC370" s="2">
        <v>8.9181565948742242E-2</v>
      </c>
      <c r="BD370" s="2">
        <v>0.10665277883445198</v>
      </c>
      <c r="BE370" s="2">
        <v>9.438849084854764E-2</v>
      </c>
      <c r="BF370" s="2">
        <v>7.149564986855049E-2</v>
      </c>
      <c r="BG370" s="2">
        <v>0.10368571810536763</v>
      </c>
      <c r="BH370" s="2">
        <v>8.4970330952544637E-2</v>
      </c>
      <c r="BI370" s="2">
        <v>8.4593878877262704E-2</v>
      </c>
      <c r="BJ370" s="2">
        <v>5.7447105462779965E-2</v>
      </c>
      <c r="BK370" s="2">
        <v>8.5153852345557474E-2</v>
      </c>
      <c r="BL370" s="2">
        <v>7.4158058913035174E-2</v>
      </c>
      <c r="BM370" s="2">
        <v>7.5718189192107169E-2</v>
      </c>
      <c r="BN370" s="2">
        <v>7.3955559365675619E-2</v>
      </c>
    </row>
    <row r="371" spans="1:66" x14ac:dyDescent="0.25">
      <c r="A371" s="8">
        <v>6537</v>
      </c>
      <c r="B371" s="8" t="s">
        <v>625</v>
      </c>
      <c r="C371" s="5">
        <v>0</v>
      </c>
      <c r="D371" s="5">
        <f>+$C371*BC371</f>
        <v>0</v>
      </c>
      <c r="E371" s="5">
        <f>+$C371*BD371</f>
        <v>0</v>
      </c>
      <c r="F371" s="5">
        <f>+$C371*BE371</f>
        <v>0</v>
      </c>
      <c r="G371" s="5">
        <f>+$C371*BF371</f>
        <v>0</v>
      </c>
      <c r="H371" s="5">
        <f>+$C371*BG371</f>
        <v>0</v>
      </c>
      <c r="I371" s="5">
        <f>+$C371*BH371</f>
        <v>0</v>
      </c>
      <c r="J371" s="5">
        <f>+$C371*BI371</f>
        <v>0</v>
      </c>
      <c r="K371" s="5">
        <f>+$C371*BJ371</f>
        <v>0</v>
      </c>
      <c r="L371" s="5">
        <f>+$C371*BK371</f>
        <v>0</v>
      </c>
      <c r="M371" s="5">
        <f>+$C371*BL371</f>
        <v>0</v>
      </c>
      <c r="N371" s="5">
        <f>+$C371*BM371</f>
        <v>0</v>
      </c>
      <c r="O371" s="5">
        <f>+$C371*BN371</f>
        <v>0</v>
      </c>
      <c r="P371" s="5">
        <v>0</v>
      </c>
      <c r="Q371" s="5">
        <f>+$P371*BC371</f>
        <v>0</v>
      </c>
      <c r="R371" s="5">
        <f>+$P371*BD371</f>
        <v>0</v>
      </c>
      <c r="S371" s="5">
        <f>+$P371*BE371</f>
        <v>0</v>
      </c>
      <c r="T371" s="5">
        <f>+$P371*BF371</f>
        <v>0</v>
      </c>
      <c r="U371" s="5">
        <f>+$P371*BG371</f>
        <v>0</v>
      </c>
      <c r="V371" s="5">
        <f>+$P371*BH371</f>
        <v>0</v>
      </c>
      <c r="W371" s="5">
        <f>+$P371*BI371</f>
        <v>0</v>
      </c>
      <c r="X371" s="5">
        <f>+$P371*BJ371</f>
        <v>0</v>
      </c>
      <c r="Y371" s="5">
        <f>+$P371*BK371</f>
        <v>0</v>
      </c>
      <c r="Z371" s="5">
        <f>+$P371*BL371</f>
        <v>0</v>
      </c>
      <c r="AA371" s="5">
        <f>+$P371*BM371</f>
        <v>0</v>
      </c>
      <c r="AB371" s="5">
        <f>+$P371*BN371</f>
        <v>0</v>
      </c>
      <c r="AC371" s="5">
        <v>0</v>
      </c>
      <c r="AD371" s="5">
        <f>+$AC371*BC371</f>
        <v>0</v>
      </c>
      <c r="AE371" s="5">
        <f>+$AC371*BD371</f>
        <v>0</v>
      </c>
      <c r="AF371" s="5">
        <f>+$AC371*BE371</f>
        <v>0</v>
      </c>
      <c r="AG371" s="5">
        <f>+$AC371*BF371</f>
        <v>0</v>
      </c>
      <c r="AH371" s="5">
        <f>+$AC371*BG371</f>
        <v>0</v>
      </c>
      <c r="AI371" s="5">
        <f>+$AC371*BH371</f>
        <v>0</v>
      </c>
      <c r="AJ371" s="5">
        <f>+$AC371*BI371</f>
        <v>0</v>
      </c>
      <c r="AK371" s="5">
        <f>+$AC371*BJ371</f>
        <v>0</v>
      </c>
      <c r="AL371" s="5">
        <f>+$AC371*BK371</f>
        <v>0</v>
      </c>
      <c r="AM371" s="5">
        <f>+$AC371*BL371</f>
        <v>0</v>
      </c>
      <c r="AN371" s="5">
        <f>+$AC371*BM371</f>
        <v>0</v>
      </c>
      <c r="AO371" s="5">
        <f>+$AC371*BN371</f>
        <v>0</v>
      </c>
      <c r="AP371" s="5">
        <f>+AC371+P371+C371</f>
        <v>0</v>
      </c>
      <c r="AQ371" s="1">
        <v>133.77234892311336</v>
      </c>
      <c r="AR371" s="1">
        <v>159.97916825167798</v>
      </c>
      <c r="AS371" s="1">
        <v>141.58273627282145</v>
      </c>
      <c r="AT371" s="1">
        <v>107.24347480282573</v>
      </c>
      <c r="AU371" s="1">
        <v>155.52857715805143</v>
      </c>
      <c r="AV371" s="1">
        <v>127.45549642881696</v>
      </c>
      <c r="AW371" s="1">
        <v>126.89081831589405</v>
      </c>
      <c r="AX371" s="1">
        <v>86.170658194169945</v>
      </c>
      <c r="AY371" s="1">
        <v>127.73077851833621</v>
      </c>
      <c r="AZ371" s="1">
        <v>111.23708836955277</v>
      </c>
      <c r="BA371" s="1">
        <v>113.57728378816076</v>
      </c>
      <c r="BB371" s="1">
        <v>110.93333904851343</v>
      </c>
      <c r="BC371" s="2">
        <v>8.9181565948742242E-2</v>
      </c>
      <c r="BD371" s="2">
        <v>0.10665277883445198</v>
      </c>
      <c r="BE371" s="2">
        <v>9.438849084854764E-2</v>
      </c>
      <c r="BF371" s="2">
        <v>7.149564986855049E-2</v>
      </c>
      <c r="BG371" s="2">
        <v>0.10368571810536763</v>
      </c>
      <c r="BH371" s="2">
        <v>8.4970330952544637E-2</v>
      </c>
      <c r="BI371" s="2">
        <v>8.4593878877262704E-2</v>
      </c>
      <c r="BJ371" s="2">
        <v>5.7447105462779965E-2</v>
      </c>
      <c r="BK371" s="2">
        <v>8.5153852345557474E-2</v>
      </c>
      <c r="BL371" s="2">
        <v>7.4158058913035174E-2</v>
      </c>
      <c r="BM371" s="2">
        <v>7.5718189192107169E-2</v>
      </c>
      <c r="BN371" s="2">
        <v>7.3955559365675619E-2</v>
      </c>
    </row>
    <row r="372" spans="1:66" x14ac:dyDescent="0.25">
      <c r="A372" s="8">
        <v>6570</v>
      </c>
      <c r="B372" s="8" t="s">
        <v>624</v>
      </c>
      <c r="C372" s="5">
        <v>0</v>
      </c>
      <c r="D372" s="5">
        <f>+$C372*BC372</f>
        <v>0</v>
      </c>
      <c r="E372" s="5">
        <f>+$C372*BD372</f>
        <v>0</v>
      </c>
      <c r="F372" s="5">
        <f>+$C372*BE372</f>
        <v>0</v>
      </c>
      <c r="G372" s="5">
        <f>+$C372*BF372</f>
        <v>0</v>
      </c>
      <c r="H372" s="5">
        <f>+$C372*BG372</f>
        <v>0</v>
      </c>
      <c r="I372" s="5">
        <f>+$C372*BH372</f>
        <v>0</v>
      </c>
      <c r="J372" s="5">
        <f>+$C372*BI372</f>
        <v>0</v>
      </c>
      <c r="K372" s="5">
        <f>+$C372*BJ372</f>
        <v>0</v>
      </c>
      <c r="L372" s="5">
        <f>+$C372*BK372</f>
        <v>0</v>
      </c>
      <c r="M372" s="5">
        <f>+$C372*BL372</f>
        <v>0</v>
      </c>
      <c r="N372" s="5">
        <f>+$C372*BM372</f>
        <v>0</v>
      </c>
      <c r="O372" s="5">
        <f>+$C372*BN372</f>
        <v>0</v>
      </c>
      <c r="P372" s="5">
        <v>0</v>
      </c>
      <c r="Q372" s="5">
        <f>+$P372*BC372</f>
        <v>0</v>
      </c>
      <c r="R372" s="5">
        <f>+$P372*BD372</f>
        <v>0</v>
      </c>
      <c r="S372" s="5">
        <f>+$P372*BE372</f>
        <v>0</v>
      </c>
      <c r="T372" s="5">
        <f>+$P372*BF372</f>
        <v>0</v>
      </c>
      <c r="U372" s="5">
        <f>+$P372*BG372</f>
        <v>0</v>
      </c>
      <c r="V372" s="5">
        <f>+$P372*BH372</f>
        <v>0</v>
      </c>
      <c r="W372" s="5">
        <f>+$P372*BI372</f>
        <v>0</v>
      </c>
      <c r="X372" s="5">
        <f>+$P372*BJ372</f>
        <v>0</v>
      </c>
      <c r="Y372" s="5">
        <f>+$P372*BK372</f>
        <v>0</v>
      </c>
      <c r="Z372" s="5">
        <f>+$P372*BL372</f>
        <v>0</v>
      </c>
      <c r="AA372" s="5">
        <f>+$P372*BM372</f>
        <v>0</v>
      </c>
      <c r="AB372" s="5">
        <f>+$P372*BN372</f>
        <v>0</v>
      </c>
      <c r="AC372" s="5">
        <v>0</v>
      </c>
      <c r="AD372" s="5">
        <f>+$AC372*BC372</f>
        <v>0</v>
      </c>
      <c r="AE372" s="5">
        <f>+$AC372*BD372</f>
        <v>0</v>
      </c>
      <c r="AF372" s="5">
        <f>+$AC372*BE372</f>
        <v>0</v>
      </c>
      <c r="AG372" s="5">
        <f>+$AC372*BF372</f>
        <v>0</v>
      </c>
      <c r="AH372" s="5">
        <f>+$AC372*BG372</f>
        <v>0</v>
      </c>
      <c r="AI372" s="5">
        <f>+$AC372*BH372</f>
        <v>0</v>
      </c>
      <c r="AJ372" s="5">
        <f>+$AC372*BI372</f>
        <v>0</v>
      </c>
      <c r="AK372" s="5">
        <f>+$AC372*BJ372</f>
        <v>0</v>
      </c>
      <c r="AL372" s="5">
        <f>+$AC372*BK372</f>
        <v>0</v>
      </c>
      <c r="AM372" s="5">
        <f>+$AC372*BL372</f>
        <v>0</v>
      </c>
      <c r="AN372" s="5">
        <f>+$AC372*BM372</f>
        <v>0</v>
      </c>
      <c r="AO372" s="5">
        <f>+$AC372*BN372</f>
        <v>0</v>
      </c>
      <c r="AP372" s="5">
        <f>+AC372+P372+C372</f>
        <v>0</v>
      </c>
      <c r="AQ372" s="1">
        <v>133.77234892311336</v>
      </c>
      <c r="AR372" s="1">
        <v>159.97916825167798</v>
      </c>
      <c r="AS372" s="1">
        <v>141.58273627282145</v>
      </c>
      <c r="AT372" s="1">
        <v>107.24347480282573</v>
      </c>
      <c r="AU372" s="1">
        <v>155.52857715805143</v>
      </c>
      <c r="AV372" s="1">
        <v>127.45549642881696</v>
      </c>
      <c r="AW372" s="1">
        <v>126.89081831589405</v>
      </c>
      <c r="AX372" s="1">
        <v>86.170658194169945</v>
      </c>
      <c r="AY372" s="1">
        <v>127.73077851833621</v>
      </c>
      <c r="AZ372" s="1">
        <v>111.23708836955277</v>
      </c>
      <c r="BA372" s="1">
        <v>113.57728378816076</v>
      </c>
      <c r="BB372" s="1">
        <v>110.93333904851343</v>
      </c>
      <c r="BC372" s="2">
        <v>8.9181565948742242E-2</v>
      </c>
      <c r="BD372" s="2">
        <v>0.10665277883445198</v>
      </c>
      <c r="BE372" s="2">
        <v>9.438849084854764E-2</v>
      </c>
      <c r="BF372" s="2">
        <v>7.149564986855049E-2</v>
      </c>
      <c r="BG372" s="2">
        <v>0.10368571810536763</v>
      </c>
      <c r="BH372" s="2">
        <v>8.4970330952544637E-2</v>
      </c>
      <c r="BI372" s="2">
        <v>8.4593878877262704E-2</v>
      </c>
      <c r="BJ372" s="2">
        <v>5.7447105462779965E-2</v>
      </c>
      <c r="BK372" s="2">
        <v>8.5153852345557474E-2</v>
      </c>
      <c r="BL372" s="2">
        <v>7.4158058913035174E-2</v>
      </c>
      <c r="BM372" s="2">
        <v>7.5718189192107169E-2</v>
      </c>
      <c r="BN372" s="2">
        <v>7.3955559365675619E-2</v>
      </c>
    </row>
    <row r="373" spans="1:66" x14ac:dyDescent="0.25">
      <c r="A373" s="8">
        <v>6574</v>
      </c>
      <c r="B373" s="8" t="s">
        <v>623</v>
      </c>
      <c r="C373" s="5">
        <v>0</v>
      </c>
      <c r="D373" s="5">
        <f>+$C373*BC373</f>
        <v>0</v>
      </c>
      <c r="E373" s="5">
        <f>+$C373*BD373</f>
        <v>0</v>
      </c>
      <c r="F373" s="5">
        <f>+$C373*BE373</f>
        <v>0</v>
      </c>
      <c r="G373" s="5">
        <f>+$C373*BF373</f>
        <v>0</v>
      </c>
      <c r="H373" s="5">
        <f>+$C373*BG373</f>
        <v>0</v>
      </c>
      <c r="I373" s="5">
        <f>+$C373*BH373</f>
        <v>0</v>
      </c>
      <c r="J373" s="5">
        <f>+$C373*BI373</f>
        <v>0</v>
      </c>
      <c r="K373" s="5">
        <f>+$C373*BJ373</f>
        <v>0</v>
      </c>
      <c r="L373" s="5">
        <f>+$C373*BK373</f>
        <v>0</v>
      </c>
      <c r="M373" s="5">
        <f>+$C373*BL373</f>
        <v>0</v>
      </c>
      <c r="N373" s="5">
        <f>+$C373*BM373</f>
        <v>0</v>
      </c>
      <c r="O373" s="5">
        <f>+$C373*BN373</f>
        <v>0</v>
      </c>
      <c r="P373" s="5">
        <v>0</v>
      </c>
      <c r="Q373" s="5">
        <f>+$P373*BC373</f>
        <v>0</v>
      </c>
      <c r="R373" s="5">
        <f>+$P373*BD373</f>
        <v>0</v>
      </c>
      <c r="S373" s="5">
        <f>+$P373*BE373</f>
        <v>0</v>
      </c>
      <c r="T373" s="5">
        <f>+$P373*BF373</f>
        <v>0</v>
      </c>
      <c r="U373" s="5">
        <f>+$P373*BG373</f>
        <v>0</v>
      </c>
      <c r="V373" s="5">
        <f>+$P373*BH373</f>
        <v>0</v>
      </c>
      <c r="W373" s="5">
        <f>+$P373*BI373</f>
        <v>0</v>
      </c>
      <c r="X373" s="5">
        <f>+$P373*BJ373</f>
        <v>0</v>
      </c>
      <c r="Y373" s="5">
        <f>+$P373*BK373</f>
        <v>0</v>
      </c>
      <c r="Z373" s="5">
        <f>+$P373*BL373</f>
        <v>0</v>
      </c>
      <c r="AA373" s="5">
        <f>+$P373*BM373</f>
        <v>0</v>
      </c>
      <c r="AB373" s="5">
        <f>+$P373*BN373</f>
        <v>0</v>
      </c>
      <c r="AC373" s="5">
        <v>0</v>
      </c>
      <c r="AD373" s="5">
        <f>+$AC373*BC373</f>
        <v>0</v>
      </c>
      <c r="AE373" s="5">
        <f>+$AC373*BD373</f>
        <v>0</v>
      </c>
      <c r="AF373" s="5">
        <f>+$AC373*BE373</f>
        <v>0</v>
      </c>
      <c r="AG373" s="5">
        <f>+$AC373*BF373</f>
        <v>0</v>
      </c>
      <c r="AH373" s="5">
        <f>+$AC373*BG373</f>
        <v>0</v>
      </c>
      <c r="AI373" s="5">
        <f>+$AC373*BH373</f>
        <v>0</v>
      </c>
      <c r="AJ373" s="5">
        <f>+$AC373*BI373</f>
        <v>0</v>
      </c>
      <c r="AK373" s="5">
        <f>+$AC373*BJ373</f>
        <v>0</v>
      </c>
      <c r="AL373" s="5">
        <f>+$AC373*BK373</f>
        <v>0</v>
      </c>
      <c r="AM373" s="5">
        <f>+$AC373*BL373</f>
        <v>0</v>
      </c>
      <c r="AN373" s="5">
        <f>+$AC373*BM373</f>
        <v>0</v>
      </c>
      <c r="AO373" s="5">
        <f>+$AC373*BN373</f>
        <v>0</v>
      </c>
      <c r="AP373" s="5">
        <f>+AC373+P373+C373</f>
        <v>0</v>
      </c>
      <c r="AQ373" s="1">
        <v>133.77234892311336</v>
      </c>
      <c r="AR373" s="1">
        <v>159.97916825167798</v>
      </c>
      <c r="AS373" s="1">
        <v>141.58273627282145</v>
      </c>
      <c r="AT373" s="1">
        <v>107.24347480282573</v>
      </c>
      <c r="AU373" s="1">
        <v>155.52857715805143</v>
      </c>
      <c r="AV373" s="1">
        <v>127.45549642881696</v>
      </c>
      <c r="AW373" s="1">
        <v>126.89081831589405</v>
      </c>
      <c r="AX373" s="1">
        <v>86.170658194169945</v>
      </c>
      <c r="AY373" s="1">
        <v>127.73077851833621</v>
      </c>
      <c r="AZ373" s="1">
        <v>111.23708836955277</v>
      </c>
      <c r="BA373" s="1">
        <v>113.57728378816076</v>
      </c>
      <c r="BB373" s="1">
        <v>110.93333904851343</v>
      </c>
      <c r="BC373" s="2">
        <v>8.9181565948742242E-2</v>
      </c>
      <c r="BD373" s="2">
        <v>0.10665277883445198</v>
      </c>
      <c r="BE373" s="2">
        <v>9.438849084854764E-2</v>
      </c>
      <c r="BF373" s="2">
        <v>7.149564986855049E-2</v>
      </c>
      <c r="BG373" s="2">
        <v>0.10368571810536763</v>
      </c>
      <c r="BH373" s="2">
        <v>8.4970330952544637E-2</v>
      </c>
      <c r="BI373" s="2">
        <v>8.4593878877262704E-2</v>
      </c>
      <c r="BJ373" s="2">
        <v>5.7447105462779965E-2</v>
      </c>
      <c r="BK373" s="2">
        <v>8.5153852345557474E-2</v>
      </c>
      <c r="BL373" s="2">
        <v>7.4158058913035174E-2</v>
      </c>
      <c r="BM373" s="2">
        <v>7.5718189192107169E-2</v>
      </c>
      <c r="BN373" s="2">
        <v>7.3955559365675619E-2</v>
      </c>
    </row>
    <row r="374" spans="1:66" x14ac:dyDescent="0.25">
      <c r="A374" s="8">
        <v>1713</v>
      </c>
      <c r="B374" s="8" t="s">
        <v>622</v>
      </c>
      <c r="C374" s="5">
        <v>0</v>
      </c>
      <c r="D374" s="5">
        <f>+$C374*BC374</f>
        <v>0</v>
      </c>
      <c r="E374" s="5">
        <f>+$C374*BD374</f>
        <v>0</v>
      </c>
      <c r="F374" s="5">
        <f>+$C374*BE374</f>
        <v>0</v>
      </c>
      <c r="G374" s="5">
        <f>+$C374*BF374</f>
        <v>0</v>
      </c>
      <c r="H374" s="5">
        <f>+$C374*BG374</f>
        <v>0</v>
      </c>
      <c r="I374" s="5">
        <f>+$C374*BH374</f>
        <v>0</v>
      </c>
      <c r="J374" s="5">
        <f>+$C374*BI374</f>
        <v>0</v>
      </c>
      <c r="K374" s="5">
        <f>+$C374*BJ374</f>
        <v>0</v>
      </c>
      <c r="L374" s="5">
        <f>+$C374*BK374</f>
        <v>0</v>
      </c>
      <c r="M374" s="5">
        <f>+$C374*BL374</f>
        <v>0</v>
      </c>
      <c r="N374" s="5">
        <f>+$C374*BM374</f>
        <v>0</v>
      </c>
      <c r="O374" s="5">
        <f>+$C374*BN374</f>
        <v>0</v>
      </c>
      <c r="P374" s="5">
        <v>0</v>
      </c>
      <c r="Q374" s="5">
        <f>+$P374*BC374</f>
        <v>0</v>
      </c>
      <c r="R374" s="5">
        <f>+$P374*BD374</f>
        <v>0</v>
      </c>
      <c r="S374" s="5">
        <f>+$P374*BE374</f>
        <v>0</v>
      </c>
      <c r="T374" s="5">
        <f>+$P374*BF374</f>
        <v>0</v>
      </c>
      <c r="U374" s="5">
        <f>+$P374*BG374</f>
        <v>0</v>
      </c>
      <c r="V374" s="5">
        <f>+$P374*BH374</f>
        <v>0</v>
      </c>
      <c r="W374" s="5">
        <f>+$P374*BI374</f>
        <v>0</v>
      </c>
      <c r="X374" s="5">
        <f>+$P374*BJ374</f>
        <v>0</v>
      </c>
      <c r="Y374" s="5">
        <f>+$P374*BK374</f>
        <v>0</v>
      </c>
      <c r="Z374" s="5">
        <f>+$P374*BL374</f>
        <v>0</v>
      </c>
      <c r="AA374" s="5">
        <f>+$P374*BM374</f>
        <v>0</v>
      </c>
      <c r="AB374" s="5">
        <f>+$P374*BN374</f>
        <v>0</v>
      </c>
      <c r="AC374" s="5">
        <v>0</v>
      </c>
      <c r="AD374" s="5">
        <f>+$AC374*BC374</f>
        <v>0</v>
      </c>
      <c r="AE374" s="5">
        <f>+$AC374*BD374</f>
        <v>0</v>
      </c>
      <c r="AF374" s="5">
        <f>+$AC374*BE374</f>
        <v>0</v>
      </c>
      <c r="AG374" s="5">
        <f>+$AC374*BF374</f>
        <v>0</v>
      </c>
      <c r="AH374" s="5">
        <f>+$AC374*BG374</f>
        <v>0</v>
      </c>
      <c r="AI374" s="5">
        <f>+$AC374*BH374</f>
        <v>0</v>
      </c>
      <c r="AJ374" s="5">
        <f>+$AC374*BI374</f>
        <v>0</v>
      </c>
      <c r="AK374" s="5">
        <f>+$AC374*BJ374</f>
        <v>0</v>
      </c>
      <c r="AL374" s="5">
        <f>+$AC374*BK374</f>
        <v>0</v>
      </c>
      <c r="AM374" s="5">
        <f>+$AC374*BL374</f>
        <v>0</v>
      </c>
      <c r="AN374" s="5">
        <f>+$AC374*BM374</f>
        <v>0</v>
      </c>
      <c r="AO374" s="5">
        <f>+$AC374*BN374</f>
        <v>0</v>
      </c>
      <c r="AP374" s="5">
        <f>+AC374+P374+C374</f>
        <v>0</v>
      </c>
      <c r="AQ374" s="1">
        <v>134.55518470901143</v>
      </c>
      <c r="AR374" s="1">
        <v>160.91536634428681</v>
      </c>
      <c r="AS374" s="1">
        <v>142.41127844549001</v>
      </c>
      <c r="AT374" s="1">
        <v>107.87106361737187</v>
      </c>
      <c r="AU374" s="1">
        <v>156.43873039158035</v>
      </c>
      <c r="AV374" s="1">
        <v>128.20136599391839</v>
      </c>
      <c r="AW374" s="1">
        <v>127.63338338467867</v>
      </c>
      <c r="AX374" s="1">
        <v>86.674928885922228</v>
      </c>
      <c r="AY374" s="1">
        <v>128.47825903422552</v>
      </c>
      <c r="AZ374" s="1">
        <v>111.88804781069139</v>
      </c>
      <c r="BA374" s="1">
        <v>114.24193805288907</v>
      </c>
      <c r="BB374" s="1">
        <v>111.58252094862533</v>
      </c>
      <c r="BC374" s="2">
        <v>8.9181565948742242E-2</v>
      </c>
      <c r="BD374" s="2">
        <v>0.10665277883445198</v>
      </c>
      <c r="BE374" s="2">
        <v>9.438849084854764E-2</v>
      </c>
      <c r="BF374" s="2">
        <v>7.149564986855049E-2</v>
      </c>
      <c r="BG374" s="2">
        <v>0.10368571810536763</v>
      </c>
      <c r="BH374" s="2">
        <v>8.4970330952544637E-2</v>
      </c>
      <c r="BI374" s="2">
        <v>8.4593878877262704E-2</v>
      </c>
      <c r="BJ374" s="2">
        <v>5.7447105462779965E-2</v>
      </c>
      <c r="BK374" s="2">
        <v>8.5153852345557474E-2</v>
      </c>
      <c r="BL374" s="2">
        <v>7.4158058913035174E-2</v>
      </c>
      <c r="BM374" s="2">
        <v>7.5718189192107169E-2</v>
      </c>
      <c r="BN374" s="2">
        <v>7.3955559365675619E-2</v>
      </c>
    </row>
    <row r="375" spans="1:66" x14ac:dyDescent="0.25">
      <c r="A375" s="8">
        <v>5506</v>
      </c>
      <c r="B375" s="8" t="s">
        <v>621</v>
      </c>
      <c r="C375" s="5">
        <v>0</v>
      </c>
      <c r="D375" s="5">
        <f>+$C375*BC375</f>
        <v>0</v>
      </c>
      <c r="E375" s="5">
        <f>+$C375*BD375</f>
        <v>0</v>
      </c>
      <c r="F375" s="5">
        <f>+$C375*BE375</f>
        <v>0</v>
      </c>
      <c r="G375" s="5">
        <f>+$C375*BF375</f>
        <v>0</v>
      </c>
      <c r="H375" s="5">
        <f>+$C375*BG375</f>
        <v>0</v>
      </c>
      <c r="I375" s="5">
        <f>+$C375*BH375</f>
        <v>0</v>
      </c>
      <c r="J375" s="5">
        <f>+$C375*BI375</f>
        <v>0</v>
      </c>
      <c r="K375" s="5">
        <f>+$C375*BJ375</f>
        <v>0</v>
      </c>
      <c r="L375" s="5">
        <f>+$C375*BK375</f>
        <v>0</v>
      </c>
      <c r="M375" s="5">
        <f>+$C375*BL375</f>
        <v>0</v>
      </c>
      <c r="N375" s="5">
        <f>+$C375*BM375</f>
        <v>0</v>
      </c>
      <c r="O375" s="5">
        <f>+$C375*BN375</f>
        <v>0</v>
      </c>
      <c r="P375" s="5">
        <v>0</v>
      </c>
      <c r="Q375" s="5">
        <f>+$P375*BC375</f>
        <v>0</v>
      </c>
      <c r="R375" s="5">
        <f>+$P375*BD375</f>
        <v>0</v>
      </c>
      <c r="S375" s="5">
        <f>+$P375*BE375</f>
        <v>0</v>
      </c>
      <c r="T375" s="5">
        <f>+$P375*BF375</f>
        <v>0</v>
      </c>
      <c r="U375" s="5">
        <f>+$P375*BG375</f>
        <v>0</v>
      </c>
      <c r="V375" s="5">
        <f>+$P375*BH375</f>
        <v>0</v>
      </c>
      <c r="W375" s="5">
        <f>+$P375*BI375</f>
        <v>0</v>
      </c>
      <c r="X375" s="5">
        <f>+$P375*BJ375</f>
        <v>0</v>
      </c>
      <c r="Y375" s="5">
        <f>+$P375*BK375</f>
        <v>0</v>
      </c>
      <c r="Z375" s="5">
        <f>+$P375*BL375</f>
        <v>0</v>
      </c>
      <c r="AA375" s="5">
        <f>+$P375*BM375</f>
        <v>0</v>
      </c>
      <c r="AB375" s="5">
        <f>+$P375*BN375</f>
        <v>0</v>
      </c>
      <c r="AC375" s="5">
        <v>3400</v>
      </c>
      <c r="AD375" s="5">
        <f>+$AC375*BC375</f>
        <v>303.21732422572364</v>
      </c>
      <c r="AE375" s="5">
        <f>+$AC375*BD375</f>
        <v>362.61944803713675</v>
      </c>
      <c r="AF375" s="5">
        <f>+$AC375*BE375</f>
        <v>320.92086888506196</v>
      </c>
      <c r="AG375" s="5">
        <f>+$AC375*BF375</f>
        <v>243.08520955307168</v>
      </c>
      <c r="AH375" s="5">
        <f>+$AC375*BG375</f>
        <v>352.53144155824992</v>
      </c>
      <c r="AI375" s="5">
        <f>+$AC375*BH375</f>
        <v>288.89912523865178</v>
      </c>
      <c r="AJ375" s="5">
        <f>+$AC375*BI375</f>
        <v>287.61918818269322</v>
      </c>
      <c r="AK375" s="5">
        <f>+$AC375*BJ375</f>
        <v>195.32015857345189</v>
      </c>
      <c r="AL375" s="5">
        <f>+$AC375*BK375</f>
        <v>289.52309797489539</v>
      </c>
      <c r="AM375" s="5">
        <f>+$AC375*BL375</f>
        <v>252.13740030431958</v>
      </c>
      <c r="AN375" s="5">
        <f>+$AC375*BM375</f>
        <v>257.44184325316439</v>
      </c>
      <c r="AO375" s="5">
        <f>+$AC375*BN375</f>
        <v>251.44890184329711</v>
      </c>
      <c r="AP375" s="5">
        <f>+AC375+P375+C375</f>
        <v>3400</v>
      </c>
      <c r="AQ375" s="1">
        <v>131.50535351669632</v>
      </c>
      <c r="AR375" s="1">
        <v>157.2680546137062</v>
      </c>
      <c r="AS375" s="1">
        <v>139.18338083545137</v>
      </c>
      <c r="AT375" s="1">
        <v>105.42605538316718</v>
      </c>
      <c r="AU375" s="1">
        <v>152.89288620381299</v>
      </c>
      <c r="AV375" s="1">
        <v>125.29555061600327</v>
      </c>
      <c r="AW375" s="1">
        <v>124.74044191483404</v>
      </c>
      <c r="AX375" s="1">
        <v>84.71035277330607</v>
      </c>
      <c r="AY375" s="1">
        <v>125.56616759171213</v>
      </c>
      <c r="AZ375" s="1">
        <v>109.3519905119834</v>
      </c>
      <c r="BA375" s="1">
        <v>111.65252741889738</v>
      </c>
      <c r="BB375" s="1">
        <v>109.05338872943796</v>
      </c>
      <c r="BC375" s="2">
        <v>8.9181565948742242E-2</v>
      </c>
      <c r="BD375" s="2">
        <v>0.10665277883445198</v>
      </c>
      <c r="BE375" s="2">
        <v>9.438849084854764E-2</v>
      </c>
      <c r="BF375" s="2">
        <v>7.149564986855049E-2</v>
      </c>
      <c r="BG375" s="2">
        <v>0.10368571810536763</v>
      </c>
      <c r="BH375" s="2">
        <v>8.4970330952544637E-2</v>
      </c>
      <c r="BI375" s="2">
        <v>8.4593878877262704E-2</v>
      </c>
      <c r="BJ375" s="2">
        <v>5.7447105462779965E-2</v>
      </c>
      <c r="BK375" s="2">
        <v>8.5153852345557474E-2</v>
      </c>
      <c r="BL375" s="2">
        <v>7.4158058913035174E-2</v>
      </c>
      <c r="BM375" s="2">
        <v>7.5718189192107169E-2</v>
      </c>
      <c r="BN375" s="2">
        <v>7.3955559365675619E-2</v>
      </c>
    </row>
    <row r="376" spans="1:66" x14ac:dyDescent="0.25">
      <c r="A376" s="8">
        <v>6581</v>
      </c>
      <c r="B376" s="8" t="s">
        <v>620</v>
      </c>
      <c r="C376" s="5">
        <v>1000</v>
      </c>
      <c r="D376" s="5">
        <f>+$C376*BC376</f>
        <v>89.181565948742247</v>
      </c>
      <c r="E376" s="5">
        <f>+$C376*BD376</f>
        <v>106.65277883445198</v>
      </c>
      <c r="F376" s="5">
        <f>+$C376*BE376</f>
        <v>94.388490848547647</v>
      </c>
      <c r="G376" s="5">
        <f>+$C376*BF376</f>
        <v>71.495649868550487</v>
      </c>
      <c r="H376" s="5">
        <f>+$C376*BG376</f>
        <v>103.68571810536763</v>
      </c>
      <c r="I376" s="5">
        <f>+$C376*BH376</f>
        <v>84.970330952544643</v>
      </c>
      <c r="J376" s="5">
        <f>+$C376*BI376</f>
        <v>84.593878877262711</v>
      </c>
      <c r="K376" s="5">
        <f>+$C376*BJ376</f>
        <v>57.447105462779966</v>
      </c>
      <c r="L376" s="5">
        <f>+$C376*BK376</f>
        <v>85.153852345557468</v>
      </c>
      <c r="M376" s="5">
        <f>+$C376*BL376</f>
        <v>74.158058913035177</v>
      </c>
      <c r="N376" s="5">
        <f>+$C376*BM376</f>
        <v>75.718189192107175</v>
      </c>
      <c r="O376" s="5">
        <f>+$C376*BN376</f>
        <v>73.955559365675626</v>
      </c>
      <c r="P376" s="5">
        <v>0</v>
      </c>
      <c r="Q376" s="5">
        <f>+$P376*BC376</f>
        <v>0</v>
      </c>
      <c r="R376" s="5">
        <f>+$P376*BD376</f>
        <v>0</v>
      </c>
      <c r="S376" s="5">
        <f>+$P376*BE376</f>
        <v>0</v>
      </c>
      <c r="T376" s="5">
        <f>+$P376*BF376</f>
        <v>0</v>
      </c>
      <c r="U376" s="5">
        <f>+$P376*BG376</f>
        <v>0</v>
      </c>
      <c r="V376" s="5">
        <f>+$P376*BH376</f>
        <v>0</v>
      </c>
      <c r="W376" s="5">
        <f>+$P376*BI376</f>
        <v>0</v>
      </c>
      <c r="X376" s="5">
        <f>+$P376*BJ376</f>
        <v>0</v>
      </c>
      <c r="Y376" s="5">
        <f>+$P376*BK376</f>
        <v>0</v>
      </c>
      <c r="Z376" s="5">
        <f>+$P376*BL376</f>
        <v>0</v>
      </c>
      <c r="AA376" s="5">
        <f>+$P376*BM376</f>
        <v>0</v>
      </c>
      <c r="AB376" s="5">
        <f>+$P376*BN376</f>
        <v>0</v>
      </c>
      <c r="AC376" s="5">
        <v>0</v>
      </c>
      <c r="AD376" s="5">
        <f>+$AC376*BC376</f>
        <v>0</v>
      </c>
      <c r="AE376" s="5">
        <f>+$AC376*BD376</f>
        <v>0</v>
      </c>
      <c r="AF376" s="5">
        <f>+$AC376*BE376</f>
        <v>0</v>
      </c>
      <c r="AG376" s="5">
        <f>+$AC376*BF376</f>
        <v>0</v>
      </c>
      <c r="AH376" s="5">
        <f>+$AC376*BG376</f>
        <v>0</v>
      </c>
      <c r="AI376" s="5">
        <f>+$AC376*BH376</f>
        <v>0</v>
      </c>
      <c r="AJ376" s="5">
        <f>+$AC376*BI376</f>
        <v>0</v>
      </c>
      <c r="AK376" s="5">
        <f>+$AC376*BJ376</f>
        <v>0</v>
      </c>
      <c r="AL376" s="5">
        <f>+$AC376*BK376</f>
        <v>0</v>
      </c>
      <c r="AM376" s="5">
        <f>+$AC376*BL376</f>
        <v>0</v>
      </c>
      <c r="AN376" s="5">
        <f>+$AC376*BM376</f>
        <v>0</v>
      </c>
      <c r="AO376" s="5">
        <f>+$AC376*BN376</f>
        <v>0</v>
      </c>
      <c r="AP376" s="5">
        <f>+AC376+P376+C376</f>
        <v>1000</v>
      </c>
      <c r="AQ376" s="1">
        <v>124.85419232823914</v>
      </c>
      <c r="AR376" s="1">
        <v>149.31389036823279</v>
      </c>
      <c r="AS376" s="1">
        <v>132.1438871879667</v>
      </c>
      <c r="AT376" s="1">
        <v>100.09390981597069</v>
      </c>
      <c r="AU376" s="1">
        <v>145.16000534751467</v>
      </c>
      <c r="AV376" s="1">
        <v>118.95846333356249</v>
      </c>
      <c r="AW376" s="1">
        <v>118.43143042816779</v>
      </c>
      <c r="AX376" s="1">
        <v>80.425947647891945</v>
      </c>
      <c r="AY376" s="1">
        <v>119.21539328378046</v>
      </c>
      <c r="AZ376" s="1">
        <v>103.82128247824924</v>
      </c>
      <c r="BA376" s="1">
        <v>106.00546486895004</v>
      </c>
      <c r="BB376" s="1">
        <v>103.53778311194587</v>
      </c>
      <c r="BC376" s="2">
        <v>8.9181565948742242E-2</v>
      </c>
      <c r="BD376" s="2">
        <v>0.10665277883445198</v>
      </c>
      <c r="BE376" s="2">
        <v>9.438849084854764E-2</v>
      </c>
      <c r="BF376" s="2">
        <v>7.149564986855049E-2</v>
      </c>
      <c r="BG376" s="2">
        <v>0.10368571810536763</v>
      </c>
      <c r="BH376" s="2">
        <v>8.4970330952544637E-2</v>
      </c>
      <c r="BI376" s="2">
        <v>8.4593878877262704E-2</v>
      </c>
      <c r="BJ376" s="2">
        <v>5.7447105462779965E-2</v>
      </c>
      <c r="BK376" s="2">
        <v>8.5153852345557474E-2</v>
      </c>
      <c r="BL376" s="2">
        <v>7.4158058913035174E-2</v>
      </c>
      <c r="BM376" s="2">
        <v>7.5718189192107169E-2</v>
      </c>
      <c r="BN376" s="2">
        <v>7.3955559365675619E-2</v>
      </c>
    </row>
    <row r="377" spans="1:66" x14ac:dyDescent="0.25">
      <c r="A377" s="8">
        <v>6582</v>
      </c>
      <c r="B377" s="8" t="s">
        <v>619</v>
      </c>
      <c r="C377" s="5">
        <v>0</v>
      </c>
      <c r="D377" s="5">
        <f>+$C377*BC377</f>
        <v>0</v>
      </c>
      <c r="E377" s="5">
        <f>+$C377*BD377</f>
        <v>0</v>
      </c>
      <c r="F377" s="5">
        <f>+$C377*BE377</f>
        <v>0</v>
      </c>
      <c r="G377" s="5">
        <f>+$C377*BF377</f>
        <v>0</v>
      </c>
      <c r="H377" s="5">
        <f>+$C377*BG377</f>
        <v>0</v>
      </c>
      <c r="I377" s="5">
        <f>+$C377*BH377</f>
        <v>0</v>
      </c>
      <c r="J377" s="5">
        <f>+$C377*BI377</f>
        <v>0</v>
      </c>
      <c r="K377" s="5">
        <f>+$C377*BJ377</f>
        <v>0</v>
      </c>
      <c r="L377" s="5">
        <f>+$C377*BK377</f>
        <v>0</v>
      </c>
      <c r="M377" s="5">
        <f>+$C377*BL377</f>
        <v>0</v>
      </c>
      <c r="N377" s="5">
        <f>+$C377*BM377</f>
        <v>0</v>
      </c>
      <c r="O377" s="5">
        <f>+$C377*BN377</f>
        <v>0</v>
      </c>
      <c r="P377" s="5">
        <v>0</v>
      </c>
      <c r="Q377" s="5">
        <f>+$P377*BC377</f>
        <v>0</v>
      </c>
      <c r="R377" s="5">
        <f>+$P377*BD377</f>
        <v>0</v>
      </c>
      <c r="S377" s="5">
        <f>+$P377*BE377</f>
        <v>0</v>
      </c>
      <c r="T377" s="5">
        <f>+$P377*BF377</f>
        <v>0</v>
      </c>
      <c r="U377" s="5">
        <f>+$P377*BG377</f>
        <v>0</v>
      </c>
      <c r="V377" s="5">
        <f>+$P377*BH377</f>
        <v>0</v>
      </c>
      <c r="W377" s="5">
        <f>+$P377*BI377</f>
        <v>0</v>
      </c>
      <c r="X377" s="5">
        <f>+$P377*BJ377</f>
        <v>0</v>
      </c>
      <c r="Y377" s="5">
        <f>+$P377*BK377</f>
        <v>0</v>
      </c>
      <c r="Z377" s="5">
        <f>+$P377*BL377</f>
        <v>0</v>
      </c>
      <c r="AA377" s="5">
        <f>+$P377*BM377</f>
        <v>0</v>
      </c>
      <c r="AB377" s="5">
        <f>+$P377*BN377</f>
        <v>0</v>
      </c>
      <c r="AC377" s="5">
        <v>0</v>
      </c>
      <c r="AD377" s="5">
        <f>+$AC377*BC377</f>
        <v>0</v>
      </c>
      <c r="AE377" s="5">
        <f>+$AC377*BD377</f>
        <v>0</v>
      </c>
      <c r="AF377" s="5">
        <f>+$AC377*BE377</f>
        <v>0</v>
      </c>
      <c r="AG377" s="5">
        <f>+$AC377*BF377</f>
        <v>0</v>
      </c>
      <c r="AH377" s="5">
        <f>+$AC377*BG377</f>
        <v>0</v>
      </c>
      <c r="AI377" s="5">
        <f>+$AC377*BH377</f>
        <v>0</v>
      </c>
      <c r="AJ377" s="5">
        <f>+$AC377*BI377</f>
        <v>0</v>
      </c>
      <c r="AK377" s="5">
        <f>+$AC377*BJ377</f>
        <v>0</v>
      </c>
      <c r="AL377" s="5">
        <f>+$AC377*BK377</f>
        <v>0</v>
      </c>
      <c r="AM377" s="5">
        <f>+$AC377*BL377</f>
        <v>0</v>
      </c>
      <c r="AN377" s="5">
        <f>+$AC377*BM377</f>
        <v>0</v>
      </c>
      <c r="AO377" s="5">
        <f>+$AC377*BN377</f>
        <v>0</v>
      </c>
      <c r="AP377" s="5">
        <f>+AC377+P377+C377</f>
        <v>0</v>
      </c>
      <c r="AQ377" s="1">
        <v>124.85419232823914</v>
      </c>
      <c r="AR377" s="1">
        <v>149.31389036823279</v>
      </c>
      <c r="AS377" s="1">
        <v>132.1438871879667</v>
      </c>
      <c r="AT377" s="1">
        <v>100.09390981597069</v>
      </c>
      <c r="AU377" s="1">
        <v>145.16000534751467</v>
      </c>
      <c r="AV377" s="1">
        <v>118.95846333356249</v>
      </c>
      <c r="AW377" s="1">
        <v>118.43143042816779</v>
      </c>
      <c r="AX377" s="1">
        <v>80.425947647891945</v>
      </c>
      <c r="AY377" s="1">
        <v>119.21539328378046</v>
      </c>
      <c r="AZ377" s="1">
        <v>103.82128247824924</v>
      </c>
      <c r="BA377" s="1">
        <v>106.00546486895004</v>
      </c>
      <c r="BB377" s="1">
        <v>103.53778311194587</v>
      </c>
      <c r="BC377" s="2">
        <v>8.9181565948742242E-2</v>
      </c>
      <c r="BD377" s="2">
        <v>0.10665277883445198</v>
      </c>
      <c r="BE377" s="2">
        <v>9.438849084854764E-2</v>
      </c>
      <c r="BF377" s="2">
        <v>7.149564986855049E-2</v>
      </c>
      <c r="BG377" s="2">
        <v>0.10368571810536763</v>
      </c>
      <c r="BH377" s="2">
        <v>8.4970330952544637E-2</v>
      </c>
      <c r="BI377" s="2">
        <v>8.4593878877262704E-2</v>
      </c>
      <c r="BJ377" s="2">
        <v>5.7447105462779965E-2</v>
      </c>
      <c r="BK377" s="2">
        <v>8.5153852345557474E-2</v>
      </c>
      <c r="BL377" s="2">
        <v>7.4158058913035174E-2</v>
      </c>
      <c r="BM377" s="2">
        <v>7.5718189192107169E-2</v>
      </c>
      <c r="BN377" s="2">
        <v>7.3955559365675619E-2</v>
      </c>
    </row>
    <row r="378" spans="1:66" x14ac:dyDescent="0.25">
      <c r="A378" s="8">
        <v>3013</v>
      </c>
      <c r="B378" s="8" t="s">
        <v>618</v>
      </c>
      <c r="C378" s="5">
        <v>1300</v>
      </c>
      <c r="D378" s="5">
        <f>+$C378*BC378</f>
        <v>115.93603573336492</v>
      </c>
      <c r="E378" s="5">
        <f>+$C378*BD378</f>
        <v>138.64861248478758</v>
      </c>
      <c r="F378" s="5">
        <f>+$C378*BE378</f>
        <v>122.70503810311193</v>
      </c>
      <c r="G378" s="5">
        <f>+$C378*BF378</f>
        <v>92.944344829115636</v>
      </c>
      <c r="H378" s="5">
        <f>+$C378*BG378</f>
        <v>134.79143353697791</v>
      </c>
      <c r="I378" s="5">
        <f>+$C378*BH378</f>
        <v>110.46143023830803</v>
      </c>
      <c r="J378" s="5">
        <f>+$C378*BI378</f>
        <v>109.97204254044152</v>
      </c>
      <c r="K378" s="5">
        <f>+$C378*BJ378</f>
        <v>74.681237101613959</v>
      </c>
      <c r="L378" s="5">
        <f>+$C378*BK378</f>
        <v>110.70000804922472</v>
      </c>
      <c r="M378" s="5">
        <f>+$C378*BL378</f>
        <v>96.405476586945724</v>
      </c>
      <c r="N378" s="5">
        <f>+$C378*BM378</f>
        <v>98.433645949739315</v>
      </c>
      <c r="O378" s="5">
        <f>+$C378*BN378</f>
        <v>96.142227175378309</v>
      </c>
      <c r="P378" s="5">
        <v>0</v>
      </c>
      <c r="Q378" s="5">
        <f>+$P378*BC378</f>
        <v>0</v>
      </c>
      <c r="R378" s="5">
        <f>+$P378*BD378</f>
        <v>0</v>
      </c>
      <c r="S378" s="5">
        <f>+$P378*BE378</f>
        <v>0</v>
      </c>
      <c r="T378" s="5">
        <f>+$P378*BF378</f>
        <v>0</v>
      </c>
      <c r="U378" s="5">
        <f>+$P378*BG378</f>
        <v>0</v>
      </c>
      <c r="V378" s="5">
        <f>+$P378*BH378</f>
        <v>0</v>
      </c>
      <c r="W378" s="5">
        <f>+$P378*BI378</f>
        <v>0</v>
      </c>
      <c r="X378" s="5">
        <f>+$P378*BJ378</f>
        <v>0</v>
      </c>
      <c r="Y378" s="5">
        <f>+$P378*BK378</f>
        <v>0</v>
      </c>
      <c r="Z378" s="5">
        <f>+$P378*BL378</f>
        <v>0</v>
      </c>
      <c r="AA378" s="5">
        <f>+$P378*BM378</f>
        <v>0</v>
      </c>
      <c r="AB378" s="5">
        <f>+$P378*BN378</f>
        <v>0</v>
      </c>
      <c r="AC378" s="5">
        <v>0</v>
      </c>
      <c r="AD378" s="5">
        <f>+$AC378*BC378</f>
        <v>0</v>
      </c>
      <c r="AE378" s="5">
        <f>+$AC378*BD378</f>
        <v>0</v>
      </c>
      <c r="AF378" s="5">
        <f>+$AC378*BE378</f>
        <v>0</v>
      </c>
      <c r="AG378" s="5">
        <f>+$AC378*BF378</f>
        <v>0</v>
      </c>
      <c r="AH378" s="5">
        <f>+$AC378*BG378</f>
        <v>0</v>
      </c>
      <c r="AI378" s="5">
        <f>+$AC378*BH378</f>
        <v>0</v>
      </c>
      <c r="AJ378" s="5">
        <f>+$AC378*BI378</f>
        <v>0</v>
      </c>
      <c r="AK378" s="5">
        <f>+$AC378*BJ378</f>
        <v>0</v>
      </c>
      <c r="AL378" s="5">
        <f>+$AC378*BK378</f>
        <v>0</v>
      </c>
      <c r="AM378" s="5">
        <f>+$AC378*BL378</f>
        <v>0</v>
      </c>
      <c r="AN378" s="5">
        <f>+$AC378*BM378</f>
        <v>0</v>
      </c>
      <c r="AO378" s="5">
        <f>+$AC378*BN378</f>
        <v>0</v>
      </c>
      <c r="AP378" s="5">
        <f>+AC378+P378+C378</f>
        <v>1300</v>
      </c>
      <c r="AQ378" s="1">
        <v>117.14177050499191</v>
      </c>
      <c r="AR378" s="1">
        <v>140.09055805462935</v>
      </c>
      <c r="AS378" s="1">
        <v>123.98117049938429</v>
      </c>
      <c r="AT378" s="1">
        <v>93.910966015338431</v>
      </c>
      <c r="AU378" s="1">
        <v>136.19326444576248</v>
      </c>
      <c r="AV378" s="1">
        <v>111.61022911278643</v>
      </c>
      <c r="AW378" s="1">
        <v>111.11575178286211</v>
      </c>
      <c r="AX378" s="1">
        <v>75.457921967470739</v>
      </c>
      <c r="AY378" s="1">
        <v>111.85128813293665</v>
      </c>
      <c r="AZ378" s="1">
        <v>97.408093543449965</v>
      </c>
      <c r="BA378" s="1">
        <v>99.457355867616613</v>
      </c>
      <c r="BB378" s="1">
        <v>97.142106338002236</v>
      </c>
      <c r="BC378" s="2">
        <v>8.9181565948742242E-2</v>
      </c>
      <c r="BD378" s="2">
        <v>0.10665277883445198</v>
      </c>
      <c r="BE378" s="2">
        <v>9.438849084854764E-2</v>
      </c>
      <c r="BF378" s="2">
        <v>7.149564986855049E-2</v>
      </c>
      <c r="BG378" s="2">
        <v>0.10368571810536763</v>
      </c>
      <c r="BH378" s="2">
        <v>8.4970330952544637E-2</v>
      </c>
      <c r="BI378" s="2">
        <v>8.4593878877262704E-2</v>
      </c>
      <c r="BJ378" s="2">
        <v>5.7447105462779965E-2</v>
      </c>
      <c r="BK378" s="2">
        <v>8.5153852345557474E-2</v>
      </c>
      <c r="BL378" s="2">
        <v>7.4158058913035174E-2</v>
      </c>
      <c r="BM378" s="2">
        <v>7.5718189192107169E-2</v>
      </c>
      <c r="BN378" s="2">
        <v>7.3955559365675619E-2</v>
      </c>
    </row>
    <row r="379" spans="1:66" x14ac:dyDescent="0.25">
      <c r="A379" s="8">
        <v>4823</v>
      </c>
      <c r="B379" s="8" t="s">
        <v>617</v>
      </c>
      <c r="C379" s="5">
        <v>1300</v>
      </c>
      <c r="D379" s="5">
        <f>+$C379*BC379</f>
        <v>115.93603573336492</v>
      </c>
      <c r="E379" s="5">
        <f>+$C379*BD379</f>
        <v>138.64861248478758</v>
      </c>
      <c r="F379" s="5">
        <f>+$C379*BE379</f>
        <v>122.70503810311193</v>
      </c>
      <c r="G379" s="5">
        <f>+$C379*BF379</f>
        <v>92.944344829115636</v>
      </c>
      <c r="H379" s="5">
        <f>+$C379*BG379</f>
        <v>134.79143353697791</v>
      </c>
      <c r="I379" s="5">
        <f>+$C379*BH379</f>
        <v>110.46143023830803</v>
      </c>
      <c r="J379" s="5">
        <f>+$C379*BI379</f>
        <v>109.97204254044152</v>
      </c>
      <c r="K379" s="5">
        <f>+$C379*BJ379</f>
        <v>74.681237101613959</v>
      </c>
      <c r="L379" s="5">
        <f>+$C379*BK379</f>
        <v>110.70000804922472</v>
      </c>
      <c r="M379" s="5">
        <f>+$C379*BL379</f>
        <v>96.405476586945724</v>
      </c>
      <c r="N379" s="5">
        <f>+$C379*BM379</f>
        <v>98.433645949739315</v>
      </c>
      <c r="O379" s="5">
        <f>+$C379*BN379</f>
        <v>96.142227175378309</v>
      </c>
      <c r="P379" s="5">
        <v>0</v>
      </c>
      <c r="Q379" s="5">
        <f>+$P379*BC379</f>
        <v>0</v>
      </c>
      <c r="R379" s="5">
        <f>+$P379*BD379</f>
        <v>0</v>
      </c>
      <c r="S379" s="5">
        <f>+$P379*BE379</f>
        <v>0</v>
      </c>
      <c r="T379" s="5">
        <f>+$P379*BF379</f>
        <v>0</v>
      </c>
      <c r="U379" s="5">
        <f>+$P379*BG379</f>
        <v>0</v>
      </c>
      <c r="V379" s="5">
        <f>+$P379*BH379</f>
        <v>0</v>
      </c>
      <c r="W379" s="5">
        <f>+$P379*BI379</f>
        <v>0</v>
      </c>
      <c r="X379" s="5">
        <f>+$P379*BJ379</f>
        <v>0</v>
      </c>
      <c r="Y379" s="5">
        <f>+$P379*BK379</f>
        <v>0</v>
      </c>
      <c r="Z379" s="5">
        <f>+$P379*BL379</f>
        <v>0</v>
      </c>
      <c r="AA379" s="5">
        <f>+$P379*BM379</f>
        <v>0</v>
      </c>
      <c r="AB379" s="5">
        <f>+$P379*BN379</f>
        <v>0</v>
      </c>
      <c r="AC379" s="5">
        <v>0</v>
      </c>
      <c r="AD379" s="5">
        <f>+$AC379*BC379</f>
        <v>0</v>
      </c>
      <c r="AE379" s="5">
        <f>+$AC379*BD379</f>
        <v>0</v>
      </c>
      <c r="AF379" s="5">
        <f>+$AC379*BE379</f>
        <v>0</v>
      </c>
      <c r="AG379" s="5">
        <f>+$AC379*BF379</f>
        <v>0</v>
      </c>
      <c r="AH379" s="5">
        <f>+$AC379*BG379</f>
        <v>0</v>
      </c>
      <c r="AI379" s="5">
        <f>+$AC379*BH379</f>
        <v>0</v>
      </c>
      <c r="AJ379" s="5">
        <f>+$AC379*BI379</f>
        <v>0</v>
      </c>
      <c r="AK379" s="5">
        <f>+$AC379*BJ379</f>
        <v>0</v>
      </c>
      <c r="AL379" s="5">
        <f>+$AC379*BK379</f>
        <v>0</v>
      </c>
      <c r="AM379" s="5">
        <f>+$AC379*BL379</f>
        <v>0</v>
      </c>
      <c r="AN379" s="5">
        <f>+$AC379*BM379</f>
        <v>0</v>
      </c>
      <c r="AO379" s="5">
        <f>+$AC379*BN379</f>
        <v>0</v>
      </c>
      <c r="AP379" s="5">
        <f>+AC379+P379+C379</f>
        <v>1300</v>
      </c>
      <c r="AQ379" s="1">
        <v>115.93603573336492</v>
      </c>
      <c r="AR379" s="1">
        <v>138.64861248478758</v>
      </c>
      <c r="AS379" s="1">
        <v>122.70503810311193</v>
      </c>
      <c r="AT379" s="1">
        <v>92.944344829115636</v>
      </c>
      <c r="AU379" s="1">
        <v>134.79143353697791</v>
      </c>
      <c r="AV379" s="1">
        <v>110.46143023830803</v>
      </c>
      <c r="AW379" s="1">
        <v>109.97204254044152</v>
      </c>
      <c r="AX379" s="1">
        <v>74.681237101613959</v>
      </c>
      <c r="AY379" s="1">
        <v>110.70000804922472</v>
      </c>
      <c r="AZ379" s="1">
        <v>96.405476586945724</v>
      </c>
      <c r="BA379" s="1">
        <v>98.433645949739315</v>
      </c>
      <c r="BB379" s="1">
        <v>96.142227175378309</v>
      </c>
      <c r="BC379" s="2">
        <v>8.9181565948742242E-2</v>
      </c>
      <c r="BD379" s="2">
        <v>0.10665277883445198</v>
      </c>
      <c r="BE379" s="2">
        <v>9.438849084854764E-2</v>
      </c>
      <c r="BF379" s="2">
        <v>7.149564986855049E-2</v>
      </c>
      <c r="BG379" s="2">
        <v>0.10368571810536763</v>
      </c>
      <c r="BH379" s="2">
        <v>8.4970330952544637E-2</v>
      </c>
      <c r="BI379" s="2">
        <v>8.4593878877262704E-2</v>
      </c>
      <c r="BJ379" s="2">
        <v>5.7447105462779965E-2</v>
      </c>
      <c r="BK379" s="2">
        <v>8.5153852345557474E-2</v>
      </c>
      <c r="BL379" s="2">
        <v>7.4158058913035174E-2</v>
      </c>
      <c r="BM379" s="2">
        <v>7.5718189192107169E-2</v>
      </c>
      <c r="BN379" s="2">
        <v>7.3955559365675619E-2</v>
      </c>
    </row>
    <row r="380" spans="1:66" x14ac:dyDescent="0.25">
      <c r="A380" s="8">
        <v>5113</v>
      </c>
      <c r="B380" s="8" t="s">
        <v>616</v>
      </c>
      <c r="C380" s="5">
        <v>0</v>
      </c>
      <c r="D380" s="5">
        <f>+$C380*BC380</f>
        <v>0</v>
      </c>
      <c r="E380" s="5">
        <f>+$C380*BD380</f>
        <v>0</v>
      </c>
      <c r="F380" s="5">
        <f>+$C380*BE380</f>
        <v>0</v>
      </c>
      <c r="G380" s="5">
        <f>+$C380*BF380</f>
        <v>0</v>
      </c>
      <c r="H380" s="5">
        <f>+$C380*BG380</f>
        <v>0</v>
      </c>
      <c r="I380" s="5">
        <f>+$C380*BH380</f>
        <v>0</v>
      </c>
      <c r="J380" s="5">
        <f>+$C380*BI380</f>
        <v>0</v>
      </c>
      <c r="K380" s="5">
        <f>+$C380*BJ380</f>
        <v>0</v>
      </c>
      <c r="L380" s="5">
        <f>+$C380*BK380</f>
        <v>0</v>
      </c>
      <c r="M380" s="5">
        <f>+$C380*BL380</f>
        <v>0</v>
      </c>
      <c r="N380" s="5">
        <f>+$C380*BM380</f>
        <v>0</v>
      </c>
      <c r="O380" s="5">
        <f>+$C380*BN380</f>
        <v>0</v>
      </c>
      <c r="P380" s="5">
        <v>0</v>
      </c>
      <c r="Q380" s="5">
        <f>+$P380*BC380</f>
        <v>0</v>
      </c>
      <c r="R380" s="5">
        <f>+$P380*BD380</f>
        <v>0</v>
      </c>
      <c r="S380" s="5">
        <f>+$P380*BE380</f>
        <v>0</v>
      </c>
      <c r="T380" s="5">
        <f>+$P380*BF380</f>
        <v>0</v>
      </c>
      <c r="U380" s="5">
        <f>+$P380*BG380</f>
        <v>0</v>
      </c>
      <c r="V380" s="5">
        <f>+$P380*BH380</f>
        <v>0</v>
      </c>
      <c r="W380" s="5">
        <f>+$P380*BI380</f>
        <v>0</v>
      </c>
      <c r="X380" s="5">
        <f>+$P380*BJ380</f>
        <v>0</v>
      </c>
      <c r="Y380" s="5">
        <f>+$P380*BK380</f>
        <v>0</v>
      </c>
      <c r="Z380" s="5">
        <f>+$P380*BL380</f>
        <v>0</v>
      </c>
      <c r="AA380" s="5">
        <f>+$P380*BM380</f>
        <v>0</v>
      </c>
      <c r="AB380" s="5">
        <f>+$P380*BN380</f>
        <v>0</v>
      </c>
      <c r="AC380" s="5">
        <v>0</v>
      </c>
      <c r="AD380" s="5">
        <f>+$AC380*BC380</f>
        <v>0</v>
      </c>
      <c r="AE380" s="5">
        <f>+$AC380*BD380</f>
        <v>0</v>
      </c>
      <c r="AF380" s="5">
        <f>+$AC380*BE380</f>
        <v>0</v>
      </c>
      <c r="AG380" s="5">
        <f>+$AC380*BF380</f>
        <v>0</v>
      </c>
      <c r="AH380" s="5">
        <f>+$AC380*BG380</f>
        <v>0</v>
      </c>
      <c r="AI380" s="5">
        <f>+$AC380*BH380</f>
        <v>0</v>
      </c>
      <c r="AJ380" s="5">
        <f>+$AC380*BI380</f>
        <v>0</v>
      </c>
      <c r="AK380" s="5">
        <f>+$AC380*BJ380</f>
        <v>0</v>
      </c>
      <c r="AL380" s="5">
        <f>+$AC380*BK380</f>
        <v>0</v>
      </c>
      <c r="AM380" s="5">
        <f>+$AC380*BL380</f>
        <v>0</v>
      </c>
      <c r="AN380" s="5">
        <f>+$AC380*BM380</f>
        <v>0</v>
      </c>
      <c r="AO380" s="5">
        <f>+$AC380*BN380</f>
        <v>0</v>
      </c>
      <c r="AP380" s="5">
        <f>+AC380+P380+C380</f>
        <v>0</v>
      </c>
      <c r="AQ380" s="1">
        <v>115.93603573336492</v>
      </c>
      <c r="AR380" s="1">
        <v>138.64861248478758</v>
      </c>
      <c r="AS380" s="1">
        <v>122.70503810311193</v>
      </c>
      <c r="AT380" s="1">
        <v>92.944344829115636</v>
      </c>
      <c r="AU380" s="1">
        <v>134.79143353697791</v>
      </c>
      <c r="AV380" s="1">
        <v>110.46143023830803</v>
      </c>
      <c r="AW380" s="1">
        <v>109.97204254044152</v>
      </c>
      <c r="AX380" s="1">
        <v>74.681237101613959</v>
      </c>
      <c r="AY380" s="1">
        <v>110.70000804922472</v>
      </c>
      <c r="AZ380" s="1">
        <v>96.405476586945724</v>
      </c>
      <c r="BA380" s="1">
        <v>98.433645949739315</v>
      </c>
      <c r="BB380" s="1">
        <v>96.142227175378309</v>
      </c>
      <c r="BC380" s="2">
        <v>8.9181565948742242E-2</v>
      </c>
      <c r="BD380" s="2">
        <v>0.10665277883445198</v>
      </c>
      <c r="BE380" s="2">
        <v>9.438849084854764E-2</v>
      </c>
      <c r="BF380" s="2">
        <v>7.149564986855049E-2</v>
      </c>
      <c r="BG380" s="2">
        <v>0.10368571810536763</v>
      </c>
      <c r="BH380" s="2">
        <v>8.4970330952544637E-2</v>
      </c>
      <c r="BI380" s="2">
        <v>8.4593878877262704E-2</v>
      </c>
      <c r="BJ380" s="2">
        <v>5.7447105462779965E-2</v>
      </c>
      <c r="BK380" s="2">
        <v>8.5153852345557474E-2</v>
      </c>
      <c r="BL380" s="2">
        <v>7.4158058913035174E-2</v>
      </c>
      <c r="BM380" s="2">
        <v>7.5718189192107169E-2</v>
      </c>
      <c r="BN380" s="2">
        <v>7.3955559365675619E-2</v>
      </c>
    </row>
    <row r="381" spans="1:66" x14ac:dyDescent="0.25">
      <c r="A381" s="8">
        <v>17199</v>
      </c>
      <c r="B381" s="8" t="s">
        <v>615</v>
      </c>
      <c r="C381" s="5">
        <v>1300</v>
      </c>
      <c r="D381" s="5">
        <f>+$C381*BC381</f>
        <v>115.93603573336492</v>
      </c>
      <c r="E381" s="5">
        <f>+$C381*BD381</f>
        <v>138.64861248478758</v>
      </c>
      <c r="F381" s="5">
        <f>+$C381*BE381</f>
        <v>122.70503810311193</v>
      </c>
      <c r="G381" s="5">
        <f>+$C381*BF381</f>
        <v>92.944344829115636</v>
      </c>
      <c r="H381" s="5">
        <f>+$C381*BG381</f>
        <v>134.79143353697791</v>
      </c>
      <c r="I381" s="5">
        <f>+$C381*BH381</f>
        <v>110.46143023830803</v>
      </c>
      <c r="J381" s="5">
        <f>+$C381*BI381</f>
        <v>109.97204254044152</v>
      </c>
      <c r="K381" s="5">
        <f>+$C381*BJ381</f>
        <v>74.681237101613959</v>
      </c>
      <c r="L381" s="5">
        <f>+$C381*BK381</f>
        <v>110.70000804922472</v>
      </c>
      <c r="M381" s="5">
        <f>+$C381*BL381</f>
        <v>96.405476586945724</v>
      </c>
      <c r="N381" s="5">
        <f>+$C381*BM381</f>
        <v>98.433645949739315</v>
      </c>
      <c r="O381" s="5">
        <f>+$C381*BN381</f>
        <v>96.142227175378309</v>
      </c>
      <c r="P381" s="5">
        <v>0</v>
      </c>
      <c r="Q381" s="5">
        <f>+$P381*BC381</f>
        <v>0</v>
      </c>
      <c r="R381" s="5">
        <f>+$P381*BD381</f>
        <v>0</v>
      </c>
      <c r="S381" s="5">
        <f>+$P381*BE381</f>
        <v>0</v>
      </c>
      <c r="T381" s="5">
        <f>+$P381*BF381</f>
        <v>0</v>
      </c>
      <c r="U381" s="5">
        <f>+$P381*BG381</f>
        <v>0</v>
      </c>
      <c r="V381" s="5">
        <f>+$P381*BH381</f>
        <v>0</v>
      </c>
      <c r="W381" s="5">
        <f>+$P381*BI381</f>
        <v>0</v>
      </c>
      <c r="X381" s="5">
        <f>+$P381*BJ381</f>
        <v>0</v>
      </c>
      <c r="Y381" s="5">
        <f>+$P381*BK381</f>
        <v>0</v>
      </c>
      <c r="Z381" s="5">
        <f>+$P381*BL381</f>
        <v>0</v>
      </c>
      <c r="AA381" s="5">
        <f>+$P381*BM381</f>
        <v>0</v>
      </c>
      <c r="AB381" s="5">
        <f>+$P381*BN381</f>
        <v>0</v>
      </c>
      <c r="AC381" s="5">
        <v>0</v>
      </c>
      <c r="AD381" s="5">
        <f>+$AC381*BC381</f>
        <v>0</v>
      </c>
      <c r="AE381" s="5">
        <f>+$AC381*BD381</f>
        <v>0</v>
      </c>
      <c r="AF381" s="5">
        <f>+$AC381*BE381</f>
        <v>0</v>
      </c>
      <c r="AG381" s="5">
        <f>+$AC381*BF381</f>
        <v>0</v>
      </c>
      <c r="AH381" s="5">
        <f>+$AC381*BG381</f>
        <v>0</v>
      </c>
      <c r="AI381" s="5">
        <f>+$AC381*BH381</f>
        <v>0</v>
      </c>
      <c r="AJ381" s="5">
        <f>+$AC381*BI381</f>
        <v>0</v>
      </c>
      <c r="AK381" s="5">
        <f>+$AC381*BJ381</f>
        <v>0</v>
      </c>
      <c r="AL381" s="5">
        <f>+$AC381*BK381</f>
        <v>0</v>
      </c>
      <c r="AM381" s="5">
        <f>+$AC381*BL381</f>
        <v>0</v>
      </c>
      <c r="AN381" s="5">
        <f>+$AC381*BM381</f>
        <v>0</v>
      </c>
      <c r="AO381" s="5">
        <f>+$AC381*BN381</f>
        <v>0</v>
      </c>
      <c r="AP381" s="5">
        <f>+AC381+P381+C381</f>
        <v>1300</v>
      </c>
      <c r="AQ381" s="1">
        <v>115.93603573336492</v>
      </c>
      <c r="AR381" s="1">
        <v>138.64861248478758</v>
      </c>
      <c r="AS381" s="1">
        <v>122.70503810311193</v>
      </c>
      <c r="AT381" s="1">
        <v>92.944344829115636</v>
      </c>
      <c r="AU381" s="1">
        <v>134.79143353697791</v>
      </c>
      <c r="AV381" s="1">
        <v>110.46143023830803</v>
      </c>
      <c r="AW381" s="1">
        <v>109.97204254044152</v>
      </c>
      <c r="AX381" s="1">
        <v>74.681237101613959</v>
      </c>
      <c r="AY381" s="1">
        <v>110.70000804922472</v>
      </c>
      <c r="AZ381" s="1">
        <v>96.405476586945724</v>
      </c>
      <c r="BA381" s="1">
        <v>98.433645949739315</v>
      </c>
      <c r="BB381" s="1">
        <v>96.142227175378309</v>
      </c>
      <c r="BC381" s="2">
        <v>8.9181565948742242E-2</v>
      </c>
      <c r="BD381" s="2">
        <v>0.10665277883445198</v>
      </c>
      <c r="BE381" s="2">
        <v>9.438849084854764E-2</v>
      </c>
      <c r="BF381" s="2">
        <v>7.149564986855049E-2</v>
      </c>
      <c r="BG381" s="2">
        <v>0.10368571810536763</v>
      </c>
      <c r="BH381" s="2">
        <v>8.4970330952544637E-2</v>
      </c>
      <c r="BI381" s="2">
        <v>8.4593878877262704E-2</v>
      </c>
      <c r="BJ381" s="2">
        <v>5.7447105462779965E-2</v>
      </c>
      <c r="BK381" s="2">
        <v>8.5153852345557474E-2</v>
      </c>
      <c r="BL381" s="2">
        <v>7.4158058913035174E-2</v>
      </c>
      <c r="BM381" s="2">
        <v>7.5718189192107169E-2</v>
      </c>
      <c r="BN381" s="2">
        <v>7.3955559365675619E-2</v>
      </c>
    </row>
    <row r="382" spans="1:66" x14ac:dyDescent="0.25">
      <c r="A382" s="8">
        <v>1862</v>
      </c>
      <c r="B382" s="8" t="s">
        <v>614</v>
      </c>
      <c r="C382" s="5">
        <v>0</v>
      </c>
      <c r="D382" s="5">
        <f>+$C382*BC382</f>
        <v>0</v>
      </c>
      <c r="E382" s="5">
        <f>+$C382*BD382</f>
        <v>0</v>
      </c>
      <c r="F382" s="5">
        <f>+$C382*BE382</f>
        <v>0</v>
      </c>
      <c r="G382" s="5">
        <f>+$C382*BF382</f>
        <v>0</v>
      </c>
      <c r="H382" s="5">
        <f>+$C382*BG382</f>
        <v>0</v>
      </c>
      <c r="I382" s="5">
        <f>+$C382*BH382</f>
        <v>0</v>
      </c>
      <c r="J382" s="5">
        <f>+$C382*BI382</f>
        <v>0</v>
      </c>
      <c r="K382" s="5">
        <f>+$C382*BJ382</f>
        <v>0</v>
      </c>
      <c r="L382" s="5">
        <f>+$C382*BK382</f>
        <v>0</v>
      </c>
      <c r="M382" s="5">
        <f>+$C382*BL382</f>
        <v>0</v>
      </c>
      <c r="N382" s="5">
        <f>+$C382*BM382</f>
        <v>0</v>
      </c>
      <c r="O382" s="5">
        <f>+$C382*BN382</f>
        <v>0</v>
      </c>
      <c r="P382" s="5">
        <v>2000</v>
      </c>
      <c r="Q382" s="5">
        <f>+$P382*BC382</f>
        <v>178.36313189748449</v>
      </c>
      <c r="R382" s="5">
        <f>+$P382*BD382</f>
        <v>213.30555766890396</v>
      </c>
      <c r="S382" s="5">
        <f>+$P382*BE382</f>
        <v>188.77698169709529</v>
      </c>
      <c r="T382" s="5">
        <f>+$P382*BF382</f>
        <v>142.99129973710097</v>
      </c>
      <c r="U382" s="5">
        <f>+$P382*BG382</f>
        <v>207.37143621073525</v>
      </c>
      <c r="V382" s="5">
        <f>+$P382*BH382</f>
        <v>169.94066190508929</v>
      </c>
      <c r="W382" s="5">
        <f>+$P382*BI382</f>
        <v>169.18775775452542</v>
      </c>
      <c r="X382" s="5">
        <f>+$P382*BJ382</f>
        <v>114.89421092555993</v>
      </c>
      <c r="Y382" s="5">
        <f>+$P382*BK382</f>
        <v>170.30770469111494</v>
      </c>
      <c r="Z382" s="5">
        <f>+$P382*BL382</f>
        <v>148.31611782607035</v>
      </c>
      <c r="AA382" s="5">
        <f>+$P382*BM382</f>
        <v>151.43637838421435</v>
      </c>
      <c r="AB382" s="5">
        <f>+$P382*BN382</f>
        <v>147.91111873135125</v>
      </c>
      <c r="AC382" s="5">
        <v>0</v>
      </c>
      <c r="AD382" s="5">
        <f>+$AC382*BC382</f>
        <v>0</v>
      </c>
      <c r="AE382" s="5">
        <f>+$AC382*BD382</f>
        <v>0</v>
      </c>
      <c r="AF382" s="5">
        <f>+$AC382*BE382</f>
        <v>0</v>
      </c>
      <c r="AG382" s="5">
        <f>+$AC382*BF382</f>
        <v>0</v>
      </c>
      <c r="AH382" s="5">
        <f>+$AC382*BG382</f>
        <v>0</v>
      </c>
      <c r="AI382" s="5">
        <f>+$AC382*BH382</f>
        <v>0</v>
      </c>
      <c r="AJ382" s="5">
        <f>+$AC382*BI382</f>
        <v>0</v>
      </c>
      <c r="AK382" s="5">
        <f>+$AC382*BJ382</f>
        <v>0</v>
      </c>
      <c r="AL382" s="5">
        <f>+$AC382*BK382</f>
        <v>0</v>
      </c>
      <c r="AM382" s="5">
        <f>+$AC382*BL382</f>
        <v>0</v>
      </c>
      <c r="AN382" s="5">
        <f>+$AC382*BM382</f>
        <v>0</v>
      </c>
      <c r="AO382" s="5">
        <f>+$AC382*BN382</f>
        <v>0</v>
      </c>
      <c r="AP382" s="5">
        <f>+AC382+P382+C382</f>
        <v>2000</v>
      </c>
      <c r="AQ382" s="1">
        <v>115.93603573336492</v>
      </c>
      <c r="AR382" s="1">
        <v>138.64861248478758</v>
      </c>
      <c r="AS382" s="1">
        <v>122.70503810311193</v>
      </c>
      <c r="AT382" s="1">
        <v>92.944344829115636</v>
      </c>
      <c r="AU382" s="1">
        <v>134.79143353697791</v>
      </c>
      <c r="AV382" s="1">
        <v>110.46143023830803</v>
      </c>
      <c r="AW382" s="1">
        <v>109.97204254044152</v>
      </c>
      <c r="AX382" s="1">
        <v>74.681237101613959</v>
      </c>
      <c r="AY382" s="1">
        <v>110.70000804922472</v>
      </c>
      <c r="AZ382" s="1">
        <v>96.405476586945724</v>
      </c>
      <c r="BA382" s="1">
        <v>98.433645949739315</v>
      </c>
      <c r="BB382" s="1">
        <v>96.142227175378309</v>
      </c>
      <c r="BC382" s="2">
        <v>8.9181565948742242E-2</v>
      </c>
      <c r="BD382" s="2">
        <v>0.10665277883445198</v>
      </c>
      <c r="BE382" s="2">
        <v>9.438849084854764E-2</v>
      </c>
      <c r="BF382" s="2">
        <v>7.149564986855049E-2</v>
      </c>
      <c r="BG382" s="2">
        <v>0.10368571810536763</v>
      </c>
      <c r="BH382" s="2">
        <v>8.4970330952544637E-2</v>
      </c>
      <c r="BI382" s="2">
        <v>8.4593878877262704E-2</v>
      </c>
      <c r="BJ382" s="2">
        <v>5.7447105462779965E-2</v>
      </c>
      <c r="BK382" s="2">
        <v>8.5153852345557474E-2</v>
      </c>
      <c r="BL382" s="2">
        <v>7.4158058913035174E-2</v>
      </c>
      <c r="BM382" s="2">
        <v>7.5718189192107169E-2</v>
      </c>
      <c r="BN382" s="2">
        <v>7.3955559365675619E-2</v>
      </c>
    </row>
    <row r="383" spans="1:66" x14ac:dyDescent="0.25">
      <c r="A383" s="8">
        <v>4249</v>
      </c>
      <c r="B383" s="8" t="s">
        <v>613</v>
      </c>
      <c r="C383" s="5">
        <v>2000</v>
      </c>
      <c r="D383" s="5">
        <f>+$C383*BC383</f>
        <v>178.36313189748449</v>
      </c>
      <c r="E383" s="5">
        <f>+$C383*BD383</f>
        <v>213.30555766890396</v>
      </c>
      <c r="F383" s="5">
        <f>+$C383*BE383</f>
        <v>188.77698169709529</v>
      </c>
      <c r="G383" s="5">
        <f>+$C383*BF383</f>
        <v>142.99129973710097</v>
      </c>
      <c r="H383" s="5">
        <f>+$C383*BG383</f>
        <v>207.37143621073525</v>
      </c>
      <c r="I383" s="5">
        <f>+$C383*BH383</f>
        <v>169.94066190508929</v>
      </c>
      <c r="J383" s="5">
        <f>+$C383*BI383</f>
        <v>169.18775775452542</v>
      </c>
      <c r="K383" s="5">
        <f>+$C383*BJ383</f>
        <v>114.89421092555993</v>
      </c>
      <c r="L383" s="5">
        <f>+$C383*BK383</f>
        <v>170.30770469111494</v>
      </c>
      <c r="M383" s="5">
        <f>+$C383*BL383</f>
        <v>148.31611782607035</v>
      </c>
      <c r="N383" s="5">
        <f>+$C383*BM383</f>
        <v>151.43637838421435</v>
      </c>
      <c r="O383" s="5">
        <f>+$C383*BN383</f>
        <v>147.91111873135125</v>
      </c>
      <c r="P383" s="5">
        <v>0</v>
      </c>
      <c r="Q383" s="5">
        <f>+$P383*BC383</f>
        <v>0</v>
      </c>
      <c r="R383" s="5">
        <f>+$P383*BD383</f>
        <v>0</v>
      </c>
      <c r="S383" s="5">
        <f>+$P383*BE383</f>
        <v>0</v>
      </c>
      <c r="T383" s="5">
        <f>+$P383*BF383</f>
        <v>0</v>
      </c>
      <c r="U383" s="5">
        <f>+$P383*BG383</f>
        <v>0</v>
      </c>
      <c r="V383" s="5">
        <f>+$P383*BH383</f>
        <v>0</v>
      </c>
      <c r="W383" s="5">
        <f>+$P383*BI383</f>
        <v>0</v>
      </c>
      <c r="X383" s="5">
        <f>+$P383*BJ383</f>
        <v>0</v>
      </c>
      <c r="Y383" s="5">
        <f>+$P383*BK383</f>
        <v>0</v>
      </c>
      <c r="Z383" s="5">
        <f>+$P383*BL383</f>
        <v>0</v>
      </c>
      <c r="AA383" s="5">
        <f>+$P383*BM383</f>
        <v>0</v>
      </c>
      <c r="AB383" s="5">
        <f>+$P383*BN383</f>
        <v>0</v>
      </c>
      <c r="AC383" s="5">
        <v>0</v>
      </c>
      <c r="AD383" s="5">
        <f>+$AC383*BC383</f>
        <v>0</v>
      </c>
      <c r="AE383" s="5">
        <f>+$AC383*BD383</f>
        <v>0</v>
      </c>
      <c r="AF383" s="5">
        <f>+$AC383*BE383</f>
        <v>0</v>
      </c>
      <c r="AG383" s="5">
        <f>+$AC383*BF383</f>
        <v>0</v>
      </c>
      <c r="AH383" s="5">
        <f>+$AC383*BG383</f>
        <v>0</v>
      </c>
      <c r="AI383" s="5">
        <f>+$AC383*BH383</f>
        <v>0</v>
      </c>
      <c r="AJ383" s="5">
        <f>+$AC383*BI383</f>
        <v>0</v>
      </c>
      <c r="AK383" s="5">
        <f>+$AC383*BJ383</f>
        <v>0</v>
      </c>
      <c r="AL383" s="5">
        <f>+$AC383*BK383</f>
        <v>0</v>
      </c>
      <c r="AM383" s="5">
        <f>+$AC383*BL383</f>
        <v>0</v>
      </c>
      <c r="AN383" s="5">
        <f>+$AC383*BM383</f>
        <v>0</v>
      </c>
      <c r="AO383" s="5">
        <f>+$AC383*BN383</f>
        <v>0</v>
      </c>
      <c r="AP383" s="5">
        <f>+AC383+P383+C383</f>
        <v>2000</v>
      </c>
      <c r="AQ383" s="1">
        <v>114.43243453146911</v>
      </c>
      <c r="AR383" s="1">
        <v>136.85044663363871</v>
      </c>
      <c r="AS383" s="1">
        <v>121.11364814740541</v>
      </c>
      <c r="AT383" s="1">
        <v>91.738928172331867</v>
      </c>
      <c r="AU383" s="1">
        <v>133.0432923297214</v>
      </c>
      <c r="AV383" s="1">
        <v>109.02883045844811</v>
      </c>
      <c r="AW383" s="1">
        <v>108.54578974257086</v>
      </c>
      <c r="AX383" s="1">
        <v>73.712678903511474</v>
      </c>
      <c r="AY383" s="1">
        <v>109.26431409867861</v>
      </c>
      <c r="AZ383" s="1">
        <v>95.155171713671947</v>
      </c>
      <c r="BA383" s="1">
        <v>97.157037279960377</v>
      </c>
      <c r="BB383" s="1">
        <v>94.895336444473003</v>
      </c>
      <c r="BC383" s="2">
        <v>8.9181565948742242E-2</v>
      </c>
      <c r="BD383" s="2">
        <v>0.10665277883445198</v>
      </c>
      <c r="BE383" s="2">
        <v>9.438849084854764E-2</v>
      </c>
      <c r="BF383" s="2">
        <v>7.149564986855049E-2</v>
      </c>
      <c r="BG383" s="2">
        <v>0.10368571810536763</v>
      </c>
      <c r="BH383" s="2">
        <v>8.4970330952544637E-2</v>
      </c>
      <c r="BI383" s="2">
        <v>8.4593878877262704E-2</v>
      </c>
      <c r="BJ383" s="2">
        <v>5.7447105462779965E-2</v>
      </c>
      <c r="BK383" s="2">
        <v>8.5153852345557474E-2</v>
      </c>
      <c r="BL383" s="2">
        <v>7.4158058913035174E-2</v>
      </c>
      <c r="BM383" s="2">
        <v>7.5718189192107169E-2</v>
      </c>
      <c r="BN383" s="2">
        <v>7.3955559365675619E-2</v>
      </c>
    </row>
    <row r="384" spans="1:66" x14ac:dyDescent="0.25">
      <c r="A384" s="8">
        <v>2938</v>
      </c>
      <c r="B384" s="8" t="s">
        <v>612</v>
      </c>
      <c r="C384" s="5">
        <v>500</v>
      </c>
      <c r="D384" s="5">
        <f>+$C384*BC384</f>
        <v>44.590782974371123</v>
      </c>
      <c r="E384" s="5">
        <f>+$C384*BD384</f>
        <v>53.32638941722599</v>
      </c>
      <c r="F384" s="5">
        <f>+$C384*BE384</f>
        <v>47.194245424273824</v>
      </c>
      <c r="G384" s="5">
        <f>+$C384*BF384</f>
        <v>35.747824934275243</v>
      </c>
      <c r="H384" s="5">
        <f>+$C384*BG384</f>
        <v>51.842859052683814</v>
      </c>
      <c r="I384" s="5">
        <f>+$C384*BH384</f>
        <v>42.485165476272321</v>
      </c>
      <c r="J384" s="5">
        <f>+$C384*BI384</f>
        <v>42.296939438631355</v>
      </c>
      <c r="K384" s="5">
        <f>+$C384*BJ384</f>
        <v>28.723552731389983</v>
      </c>
      <c r="L384" s="5">
        <f>+$C384*BK384</f>
        <v>42.576926172778734</v>
      </c>
      <c r="M384" s="5">
        <f>+$C384*BL384</f>
        <v>37.079029456517588</v>
      </c>
      <c r="N384" s="5">
        <f>+$C384*BM384</f>
        <v>37.859094596053588</v>
      </c>
      <c r="O384" s="5">
        <f>+$C384*BN384</f>
        <v>36.977779682837813</v>
      </c>
      <c r="P384" s="5">
        <v>0</v>
      </c>
      <c r="Q384" s="5">
        <f>+$P384*BC384</f>
        <v>0</v>
      </c>
      <c r="R384" s="5">
        <f>+$P384*BD384</f>
        <v>0</v>
      </c>
      <c r="S384" s="5">
        <f>+$P384*BE384</f>
        <v>0</v>
      </c>
      <c r="T384" s="5">
        <f>+$P384*BF384</f>
        <v>0</v>
      </c>
      <c r="U384" s="5">
        <f>+$P384*BG384</f>
        <v>0</v>
      </c>
      <c r="V384" s="5">
        <f>+$P384*BH384</f>
        <v>0</v>
      </c>
      <c r="W384" s="5">
        <f>+$P384*BI384</f>
        <v>0</v>
      </c>
      <c r="X384" s="5">
        <f>+$P384*BJ384</f>
        <v>0</v>
      </c>
      <c r="Y384" s="5">
        <f>+$P384*BK384</f>
        <v>0</v>
      </c>
      <c r="Z384" s="5">
        <f>+$P384*BL384</f>
        <v>0</v>
      </c>
      <c r="AA384" s="5">
        <f>+$P384*BM384</f>
        <v>0</v>
      </c>
      <c r="AB384" s="5">
        <f>+$P384*BN384</f>
        <v>0</v>
      </c>
      <c r="AC384" s="5">
        <v>0</v>
      </c>
      <c r="AD384" s="5">
        <f>+$AC384*BC384</f>
        <v>0</v>
      </c>
      <c r="AE384" s="5">
        <f>+$AC384*BD384</f>
        <v>0</v>
      </c>
      <c r="AF384" s="5">
        <f>+$AC384*BE384</f>
        <v>0</v>
      </c>
      <c r="AG384" s="5">
        <f>+$AC384*BF384</f>
        <v>0</v>
      </c>
      <c r="AH384" s="5">
        <f>+$AC384*BG384</f>
        <v>0</v>
      </c>
      <c r="AI384" s="5">
        <f>+$AC384*BH384</f>
        <v>0</v>
      </c>
      <c r="AJ384" s="5">
        <f>+$AC384*BI384</f>
        <v>0</v>
      </c>
      <c r="AK384" s="5">
        <f>+$AC384*BJ384</f>
        <v>0</v>
      </c>
      <c r="AL384" s="5">
        <f>+$AC384*BK384</f>
        <v>0</v>
      </c>
      <c r="AM384" s="5">
        <f>+$AC384*BL384</f>
        <v>0</v>
      </c>
      <c r="AN384" s="5">
        <f>+$AC384*BM384</f>
        <v>0</v>
      </c>
      <c r="AO384" s="5">
        <f>+$AC384*BN384</f>
        <v>0</v>
      </c>
      <c r="AP384" s="5">
        <f>+AC384+P384+C384</f>
        <v>500</v>
      </c>
      <c r="AQ384" s="1">
        <v>113.00160548738749</v>
      </c>
      <c r="AR384" s="1">
        <v>135.13930945001877</v>
      </c>
      <c r="AS384" s="1">
        <v>119.59927920023132</v>
      </c>
      <c r="AT384" s="1">
        <v>90.591851965840846</v>
      </c>
      <c r="AU384" s="1">
        <v>131.37975866843891</v>
      </c>
      <c r="AV384" s="1">
        <v>107.66556646864549</v>
      </c>
      <c r="AW384" s="1">
        <v>107.18856554986407</v>
      </c>
      <c r="AX384" s="1">
        <v>72.790997543466645</v>
      </c>
      <c r="AY384" s="1">
        <v>107.89810569164649</v>
      </c>
      <c r="AZ384" s="1">
        <v>93.965379816471213</v>
      </c>
      <c r="BA384" s="1">
        <v>95.942214652562228</v>
      </c>
      <c r="BB384" s="1">
        <v>93.70879345001012</v>
      </c>
      <c r="BC384" s="2">
        <v>8.9181565948742242E-2</v>
      </c>
      <c r="BD384" s="2">
        <v>0.10665277883445198</v>
      </c>
      <c r="BE384" s="2">
        <v>9.438849084854764E-2</v>
      </c>
      <c r="BF384" s="2">
        <v>7.149564986855049E-2</v>
      </c>
      <c r="BG384" s="2">
        <v>0.10368571810536763</v>
      </c>
      <c r="BH384" s="2">
        <v>8.4970330952544637E-2</v>
      </c>
      <c r="BI384" s="2">
        <v>8.4593878877262704E-2</v>
      </c>
      <c r="BJ384" s="2">
        <v>5.7447105462779965E-2</v>
      </c>
      <c r="BK384" s="2">
        <v>8.5153852345557474E-2</v>
      </c>
      <c r="BL384" s="2">
        <v>7.4158058913035174E-2</v>
      </c>
      <c r="BM384" s="2">
        <v>7.5718189192107169E-2</v>
      </c>
      <c r="BN384" s="2">
        <v>7.3955559365675619E-2</v>
      </c>
    </row>
    <row r="385" spans="1:66" x14ac:dyDescent="0.25">
      <c r="A385" s="8">
        <v>4111</v>
      </c>
      <c r="B385" s="8" t="s">
        <v>611</v>
      </c>
      <c r="C385" s="5">
        <v>0</v>
      </c>
      <c r="D385" s="5">
        <f>+$C385*BC385</f>
        <v>0</v>
      </c>
      <c r="E385" s="5">
        <f>+$C385*BD385</f>
        <v>0</v>
      </c>
      <c r="F385" s="5">
        <f>+$C385*BE385</f>
        <v>0</v>
      </c>
      <c r="G385" s="5">
        <f>+$C385*BF385</f>
        <v>0</v>
      </c>
      <c r="H385" s="5">
        <f>+$C385*BG385</f>
        <v>0</v>
      </c>
      <c r="I385" s="5">
        <f>+$C385*BH385</f>
        <v>0</v>
      </c>
      <c r="J385" s="5">
        <f>+$C385*BI385</f>
        <v>0</v>
      </c>
      <c r="K385" s="5">
        <f>+$C385*BJ385</f>
        <v>0</v>
      </c>
      <c r="L385" s="5">
        <f>+$C385*BK385</f>
        <v>0</v>
      </c>
      <c r="M385" s="5">
        <f>+$C385*BL385</f>
        <v>0</v>
      </c>
      <c r="N385" s="5">
        <f>+$C385*BM385</f>
        <v>0</v>
      </c>
      <c r="O385" s="5">
        <f>+$C385*BN385</f>
        <v>0</v>
      </c>
      <c r="P385" s="5">
        <v>0</v>
      </c>
      <c r="Q385" s="5">
        <f>+$P385*BC385</f>
        <v>0</v>
      </c>
      <c r="R385" s="5">
        <f>+$P385*BD385</f>
        <v>0</v>
      </c>
      <c r="S385" s="5">
        <f>+$P385*BE385</f>
        <v>0</v>
      </c>
      <c r="T385" s="5">
        <f>+$P385*BF385</f>
        <v>0</v>
      </c>
      <c r="U385" s="5">
        <f>+$P385*BG385</f>
        <v>0</v>
      </c>
      <c r="V385" s="5">
        <f>+$P385*BH385</f>
        <v>0</v>
      </c>
      <c r="W385" s="5">
        <f>+$P385*BI385</f>
        <v>0</v>
      </c>
      <c r="X385" s="5">
        <f>+$P385*BJ385</f>
        <v>0</v>
      </c>
      <c r="Y385" s="5">
        <f>+$P385*BK385</f>
        <v>0</v>
      </c>
      <c r="Z385" s="5">
        <f>+$P385*BL385</f>
        <v>0</v>
      </c>
      <c r="AA385" s="5">
        <f>+$P385*BM385</f>
        <v>0</v>
      </c>
      <c r="AB385" s="5">
        <f>+$P385*BN385</f>
        <v>0</v>
      </c>
      <c r="AC385" s="5">
        <v>0</v>
      </c>
      <c r="AD385" s="5">
        <f>+$AC385*BC385</f>
        <v>0</v>
      </c>
      <c r="AE385" s="5">
        <f>+$AC385*BD385</f>
        <v>0</v>
      </c>
      <c r="AF385" s="5">
        <f>+$AC385*BE385</f>
        <v>0</v>
      </c>
      <c r="AG385" s="5">
        <f>+$AC385*BF385</f>
        <v>0</v>
      </c>
      <c r="AH385" s="5">
        <f>+$AC385*BG385</f>
        <v>0</v>
      </c>
      <c r="AI385" s="5">
        <f>+$AC385*BH385</f>
        <v>0</v>
      </c>
      <c r="AJ385" s="5">
        <f>+$AC385*BI385</f>
        <v>0</v>
      </c>
      <c r="AK385" s="5">
        <f>+$AC385*BJ385</f>
        <v>0</v>
      </c>
      <c r="AL385" s="5">
        <f>+$AC385*BK385</f>
        <v>0</v>
      </c>
      <c r="AM385" s="5">
        <f>+$AC385*BL385</f>
        <v>0</v>
      </c>
      <c r="AN385" s="5">
        <f>+$AC385*BM385</f>
        <v>0</v>
      </c>
      <c r="AO385" s="5">
        <f>+$AC385*BN385</f>
        <v>0</v>
      </c>
      <c r="AP385" s="5">
        <f>+AC385+P385+C385</f>
        <v>0</v>
      </c>
      <c r="AQ385" s="1">
        <v>111.22573296465019</v>
      </c>
      <c r="AR385" s="1">
        <v>133.01553266508833</v>
      </c>
      <c r="AS385" s="1">
        <v>117.71972118196419</v>
      </c>
      <c r="AT385" s="1">
        <v>89.168159090008402</v>
      </c>
      <c r="AU385" s="1">
        <v>129.31506496380672</v>
      </c>
      <c r="AV385" s="1">
        <v>105.97355226838748</v>
      </c>
      <c r="AW385" s="1">
        <v>105.50404763978113</v>
      </c>
      <c r="AX385" s="1">
        <v>71.647053332386307</v>
      </c>
      <c r="AY385" s="1">
        <v>106.20243702988941</v>
      </c>
      <c r="AZ385" s="1">
        <v>92.488670389335951</v>
      </c>
      <c r="BA385" s="1">
        <v>94.434438351179793</v>
      </c>
      <c r="BB385" s="1">
        <v>92.23611639636141</v>
      </c>
      <c r="BC385" s="2">
        <v>8.9181565948742242E-2</v>
      </c>
      <c r="BD385" s="2">
        <v>0.10665277883445198</v>
      </c>
      <c r="BE385" s="2">
        <v>9.438849084854764E-2</v>
      </c>
      <c r="BF385" s="2">
        <v>7.149564986855049E-2</v>
      </c>
      <c r="BG385" s="2">
        <v>0.10368571810536763</v>
      </c>
      <c r="BH385" s="2">
        <v>8.4970330952544637E-2</v>
      </c>
      <c r="BI385" s="2">
        <v>8.4593878877262704E-2</v>
      </c>
      <c r="BJ385" s="2">
        <v>5.7447105462779965E-2</v>
      </c>
      <c r="BK385" s="2">
        <v>8.5153852345557474E-2</v>
      </c>
      <c r="BL385" s="2">
        <v>7.4158058913035174E-2</v>
      </c>
      <c r="BM385" s="2">
        <v>7.5718189192107169E-2</v>
      </c>
      <c r="BN385" s="2">
        <v>7.3955559365675619E-2</v>
      </c>
    </row>
    <row r="386" spans="1:66" x14ac:dyDescent="0.25">
      <c r="A386" s="8">
        <v>5420</v>
      </c>
      <c r="B386" s="8" t="s">
        <v>610</v>
      </c>
      <c r="C386" s="5">
        <v>0</v>
      </c>
      <c r="D386" s="5">
        <f>+$C386*BC386</f>
        <v>0</v>
      </c>
      <c r="E386" s="5">
        <f>+$C386*BD386</f>
        <v>0</v>
      </c>
      <c r="F386" s="5">
        <f>+$C386*BE386</f>
        <v>0</v>
      </c>
      <c r="G386" s="5">
        <f>+$C386*BF386</f>
        <v>0</v>
      </c>
      <c r="H386" s="5">
        <f>+$C386*BG386</f>
        <v>0</v>
      </c>
      <c r="I386" s="5">
        <f>+$C386*BH386</f>
        <v>0</v>
      </c>
      <c r="J386" s="5">
        <f>+$C386*BI386</f>
        <v>0</v>
      </c>
      <c r="K386" s="5">
        <f>+$C386*BJ386</f>
        <v>0</v>
      </c>
      <c r="L386" s="5">
        <f>+$C386*BK386</f>
        <v>0</v>
      </c>
      <c r="M386" s="5">
        <f>+$C386*BL386</f>
        <v>0</v>
      </c>
      <c r="N386" s="5">
        <f>+$C386*BM386</f>
        <v>0</v>
      </c>
      <c r="O386" s="5">
        <f>+$C386*BN386</f>
        <v>0</v>
      </c>
      <c r="P386" s="5">
        <v>0</v>
      </c>
      <c r="Q386" s="5">
        <f>+$P386*BC386</f>
        <v>0</v>
      </c>
      <c r="R386" s="5">
        <f>+$P386*BD386</f>
        <v>0</v>
      </c>
      <c r="S386" s="5">
        <f>+$P386*BE386</f>
        <v>0</v>
      </c>
      <c r="T386" s="5">
        <f>+$P386*BF386</f>
        <v>0</v>
      </c>
      <c r="U386" s="5">
        <f>+$P386*BG386</f>
        <v>0</v>
      </c>
      <c r="V386" s="5">
        <f>+$P386*BH386</f>
        <v>0</v>
      </c>
      <c r="W386" s="5">
        <f>+$P386*BI386</f>
        <v>0</v>
      </c>
      <c r="X386" s="5">
        <f>+$P386*BJ386</f>
        <v>0</v>
      </c>
      <c r="Y386" s="5">
        <f>+$P386*BK386</f>
        <v>0</v>
      </c>
      <c r="Z386" s="5">
        <f>+$P386*BL386</f>
        <v>0</v>
      </c>
      <c r="AA386" s="5">
        <f>+$P386*BM386</f>
        <v>0</v>
      </c>
      <c r="AB386" s="5">
        <f>+$P386*BN386</f>
        <v>0</v>
      </c>
      <c r="AC386" s="5">
        <v>0</v>
      </c>
      <c r="AD386" s="5">
        <f>+$AC386*BC386</f>
        <v>0</v>
      </c>
      <c r="AE386" s="5">
        <f>+$AC386*BD386</f>
        <v>0</v>
      </c>
      <c r="AF386" s="5">
        <f>+$AC386*BE386</f>
        <v>0</v>
      </c>
      <c r="AG386" s="5">
        <f>+$AC386*BF386</f>
        <v>0</v>
      </c>
      <c r="AH386" s="5">
        <f>+$AC386*BG386</f>
        <v>0</v>
      </c>
      <c r="AI386" s="5">
        <f>+$AC386*BH386</f>
        <v>0</v>
      </c>
      <c r="AJ386" s="5">
        <f>+$AC386*BI386</f>
        <v>0</v>
      </c>
      <c r="AK386" s="5">
        <f>+$AC386*BJ386</f>
        <v>0</v>
      </c>
      <c r="AL386" s="5">
        <f>+$AC386*BK386</f>
        <v>0</v>
      </c>
      <c r="AM386" s="5">
        <f>+$AC386*BL386</f>
        <v>0</v>
      </c>
      <c r="AN386" s="5">
        <f>+$AC386*BM386</f>
        <v>0</v>
      </c>
      <c r="AO386" s="5">
        <f>+$AC386*BN386</f>
        <v>0</v>
      </c>
      <c r="AP386" s="5">
        <f>+AC386+P386+C386</f>
        <v>0</v>
      </c>
      <c r="AQ386" s="1">
        <v>109.96755943224534</v>
      </c>
      <c r="AR386" s="1">
        <v>131.51087526129189</v>
      </c>
      <c r="AS386" s="1">
        <v>116.38808835307289</v>
      </c>
      <c r="AT386" s="1">
        <v>88.159498461662892</v>
      </c>
      <c r="AU386" s="1">
        <v>127.8522668527762</v>
      </c>
      <c r="AV386" s="1">
        <v>104.77479083930898</v>
      </c>
      <c r="AW386" s="1">
        <v>104.31059719658072</v>
      </c>
      <c r="AX386" s="1">
        <v>70.836589568517411</v>
      </c>
      <c r="AY386" s="1">
        <v>105.00108648099828</v>
      </c>
      <c r="AZ386" s="1">
        <v>91.442448494190856</v>
      </c>
      <c r="BA386" s="1">
        <v>93.366206138057549</v>
      </c>
      <c r="BB386" s="1">
        <v>91.192751364830471</v>
      </c>
      <c r="BC386" s="2">
        <v>8.9181565948742242E-2</v>
      </c>
      <c r="BD386" s="2">
        <v>0.10665277883445198</v>
      </c>
      <c r="BE386" s="2">
        <v>9.438849084854764E-2</v>
      </c>
      <c r="BF386" s="2">
        <v>7.149564986855049E-2</v>
      </c>
      <c r="BG386" s="2">
        <v>0.10368571810536763</v>
      </c>
      <c r="BH386" s="2">
        <v>8.4970330952544637E-2</v>
      </c>
      <c r="BI386" s="2">
        <v>8.4593878877262704E-2</v>
      </c>
      <c r="BJ386" s="2">
        <v>5.7447105462779965E-2</v>
      </c>
      <c r="BK386" s="2">
        <v>8.5153852345557474E-2</v>
      </c>
      <c r="BL386" s="2">
        <v>7.4158058913035174E-2</v>
      </c>
      <c r="BM386" s="2">
        <v>7.5718189192107169E-2</v>
      </c>
      <c r="BN386" s="2">
        <v>7.3955559365675619E-2</v>
      </c>
    </row>
    <row r="387" spans="1:66" x14ac:dyDescent="0.25">
      <c r="A387" s="8">
        <v>6642</v>
      </c>
      <c r="B387" s="8" t="s">
        <v>609</v>
      </c>
      <c r="C387" s="5">
        <v>0</v>
      </c>
      <c r="D387" s="5">
        <f>+$C387*BC387</f>
        <v>0</v>
      </c>
      <c r="E387" s="5">
        <f>+$C387*BD387</f>
        <v>0</v>
      </c>
      <c r="F387" s="5">
        <f>+$C387*BE387</f>
        <v>0</v>
      </c>
      <c r="G387" s="5">
        <f>+$C387*BF387</f>
        <v>0</v>
      </c>
      <c r="H387" s="5">
        <f>+$C387*BG387</f>
        <v>0</v>
      </c>
      <c r="I387" s="5">
        <f>+$C387*BH387</f>
        <v>0</v>
      </c>
      <c r="J387" s="5">
        <f>+$C387*BI387</f>
        <v>0</v>
      </c>
      <c r="K387" s="5">
        <f>+$C387*BJ387</f>
        <v>0</v>
      </c>
      <c r="L387" s="5">
        <f>+$C387*BK387</f>
        <v>0</v>
      </c>
      <c r="M387" s="5">
        <f>+$C387*BL387</f>
        <v>0</v>
      </c>
      <c r="N387" s="5">
        <f>+$C387*BM387</f>
        <v>0</v>
      </c>
      <c r="O387" s="5">
        <f>+$C387*BN387</f>
        <v>0</v>
      </c>
      <c r="P387" s="5">
        <v>0</v>
      </c>
      <c r="Q387" s="5">
        <f>+$P387*BC387</f>
        <v>0</v>
      </c>
      <c r="R387" s="5">
        <f>+$P387*BD387</f>
        <v>0</v>
      </c>
      <c r="S387" s="5">
        <f>+$P387*BE387</f>
        <v>0</v>
      </c>
      <c r="T387" s="5">
        <f>+$P387*BF387</f>
        <v>0</v>
      </c>
      <c r="U387" s="5">
        <f>+$P387*BG387</f>
        <v>0</v>
      </c>
      <c r="V387" s="5">
        <f>+$P387*BH387</f>
        <v>0</v>
      </c>
      <c r="W387" s="5">
        <f>+$P387*BI387</f>
        <v>0</v>
      </c>
      <c r="X387" s="5">
        <f>+$P387*BJ387</f>
        <v>0</v>
      </c>
      <c r="Y387" s="5">
        <f>+$P387*BK387</f>
        <v>0</v>
      </c>
      <c r="Z387" s="5">
        <f>+$P387*BL387</f>
        <v>0</v>
      </c>
      <c r="AA387" s="5">
        <f>+$P387*BM387</f>
        <v>0</v>
      </c>
      <c r="AB387" s="5">
        <f>+$P387*BN387</f>
        <v>0</v>
      </c>
      <c r="AC387" s="5">
        <v>1800</v>
      </c>
      <c r="AD387" s="5">
        <f>+$AC387*BC387</f>
        <v>160.52681870773603</v>
      </c>
      <c r="AE387" s="5">
        <f>+$AC387*BD387</f>
        <v>191.97500190201356</v>
      </c>
      <c r="AF387" s="5">
        <f>+$AC387*BE387</f>
        <v>169.89928352738576</v>
      </c>
      <c r="AG387" s="5">
        <f>+$AC387*BF387</f>
        <v>128.69216976339089</v>
      </c>
      <c r="AH387" s="5">
        <f>+$AC387*BG387</f>
        <v>186.63429258966173</v>
      </c>
      <c r="AI387" s="5">
        <f>+$AC387*BH387</f>
        <v>152.94659571458035</v>
      </c>
      <c r="AJ387" s="5">
        <f>+$AC387*BI387</f>
        <v>152.26898197907286</v>
      </c>
      <c r="AK387" s="5">
        <f>+$AC387*BJ387</f>
        <v>103.40478983300393</v>
      </c>
      <c r="AL387" s="5">
        <f>+$AC387*BK387</f>
        <v>153.27693422200346</v>
      </c>
      <c r="AM387" s="5">
        <f>+$AC387*BL387</f>
        <v>133.48450604346331</v>
      </c>
      <c r="AN387" s="5">
        <f>+$AC387*BM387</f>
        <v>136.2927405457929</v>
      </c>
      <c r="AO387" s="5">
        <f>+$AC387*BN387</f>
        <v>133.1200068582161</v>
      </c>
      <c r="AP387" s="5">
        <f>+AC387+P387+C387</f>
        <v>1800</v>
      </c>
      <c r="AQ387" s="1">
        <v>160.84421590094763</v>
      </c>
      <c r="AR387" s="1">
        <v>192.35457914188541</v>
      </c>
      <c r="AS387" s="1">
        <v>170.23521216631576</v>
      </c>
      <c r="AT387" s="1">
        <v>128.94662278127308</v>
      </c>
      <c r="AU387" s="1">
        <v>187.00331006039875</v>
      </c>
      <c r="AV387" s="1">
        <v>153.24900512244048</v>
      </c>
      <c r="AW387" s="1">
        <v>152.57005159399705</v>
      </c>
      <c r="AX387" s="1">
        <v>103.60924408134598</v>
      </c>
      <c r="AY387" s="1">
        <v>153.5799967825013</v>
      </c>
      <c r="AZ387" s="1">
        <v>133.74843457513481</v>
      </c>
      <c r="BA387" s="1">
        <v>136.56222158112763</v>
      </c>
      <c r="BB387" s="1">
        <v>133.38321469399858</v>
      </c>
      <c r="BC387" s="2">
        <v>8.9181565948742242E-2</v>
      </c>
      <c r="BD387" s="2">
        <v>0.10665277883445198</v>
      </c>
      <c r="BE387" s="2">
        <v>9.438849084854764E-2</v>
      </c>
      <c r="BF387" s="2">
        <v>7.149564986855049E-2</v>
      </c>
      <c r="BG387" s="2">
        <v>0.10368571810536763</v>
      </c>
      <c r="BH387" s="2">
        <v>8.4970330952544637E-2</v>
      </c>
      <c r="BI387" s="2">
        <v>8.4593878877262704E-2</v>
      </c>
      <c r="BJ387" s="2">
        <v>5.7447105462779965E-2</v>
      </c>
      <c r="BK387" s="2">
        <v>8.5153852345557474E-2</v>
      </c>
      <c r="BL387" s="2">
        <v>7.4158058913035174E-2</v>
      </c>
      <c r="BM387" s="2">
        <v>7.5718189192107169E-2</v>
      </c>
      <c r="BN387" s="2">
        <v>7.3955559365675619E-2</v>
      </c>
    </row>
    <row r="388" spans="1:66" x14ac:dyDescent="0.25">
      <c r="A388" s="8">
        <v>6682</v>
      </c>
      <c r="B388" s="8" t="s">
        <v>608</v>
      </c>
      <c r="C388" s="5">
        <v>3000</v>
      </c>
      <c r="D388" s="5">
        <f>+$C388*BC388</f>
        <v>267.54469784622671</v>
      </c>
      <c r="E388" s="5">
        <f>+$C388*BD388</f>
        <v>319.95833650335595</v>
      </c>
      <c r="F388" s="5">
        <f>+$C388*BE388</f>
        <v>283.1654725456429</v>
      </c>
      <c r="G388" s="5">
        <f>+$C388*BF388</f>
        <v>214.48694960565146</v>
      </c>
      <c r="H388" s="5">
        <f>+$C388*BG388</f>
        <v>311.05715431610287</v>
      </c>
      <c r="I388" s="5">
        <f>+$C388*BH388</f>
        <v>254.91099285763391</v>
      </c>
      <c r="J388" s="5">
        <f>+$C388*BI388</f>
        <v>253.7816366317881</v>
      </c>
      <c r="K388" s="5">
        <f>+$C388*BJ388</f>
        <v>172.34131638833989</v>
      </c>
      <c r="L388" s="5">
        <f>+$C388*BK388</f>
        <v>255.46155703667242</v>
      </c>
      <c r="M388" s="5">
        <f>+$C388*BL388</f>
        <v>222.47417673910553</v>
      </c>
      <c r="N388" s="5">
        <f>+$C388*BM388</f>
        <v>227.15456757632151</v>
      </c>
      <c r="O388" s="5">
        <f>+$C388*BN388</f>
        <v>221.86667809702686</v>
      </c>
      <c r="P388" s="5">
        <v>0</v>
      </c>
      <c r="Q388" s="5">
        <f>+$P388*BC388</f>
        <v>0</v>
      </c>
      <c r="R388" s="5">
        <f>+$P388*BD388</f>
        <v>0</v>
      </c>
      <c r="S388" s="5">
        <f>+$P388*BE388</f>
        <v>0</v>
      </c>
      <c r="T388" s="5">
        <f>+$P388*BF388</f>
        <v>0</v>
      </c>
      <c r="U388" s="5">
        <f>+$P388*BG388</f>
        <v>0</v>
      </c>
      <c r="V388" s="5">
        <f>+$P388*BH388</f>
        <v>0</v>
      </c>
      <c r="W388" s="5">
        <f>+$P388*BI388</f>
        <v>0</v>
      </c>
      <c r="X388" s="5">
        <f>+$P388*BJ388</f>
        <v>0</v>
      </c>
      <c r="Y388" s="5">
        <f>+$P388*BK388</f>
        <v>0</v>
      </c>
      <c r="Z388" s="5">
        <f>+$P388*BL388</f>
        <v>0</v>
      </c>
      <c r="AA388" s="5">
        <f>+$P388*BM388</f>
        <v>0</v>
      </c>
      <c r="AB388" s="5">
        <f>+$P388*BN388</f>
        <v>0</v>
      </c>
      <c r="AC388" s="5">
        <v>0</v>
      </c>
      <c r="AD388" s="5">
        <f>+$AC388*BC388</f>
        <v>0</v>
      </c>
      <c r="AE388" s="5">
        <f>+$AC388*BD388</f>
        <v>0</v>
      </c>
      <c r="AF388" s="5">
        <f>+$AC388*BE388</f>
        <v>0</v>
      </c>
      <c r="AG388" s="5">
        <f>+$AC388*BF388</f>
        <v>0</v>
      </c>
      <c r="AH388" s="5">
        <f>+$AC388*BG388</f>
        <v>0</v>
      </c>
      <c r="AI388" s="5">
        <f>+$AC388*BH388</f>
        <v>0</v>
      </c>
      <c r="AJ388" s="5">
        <f>+$AC388*BI388</f>
        <v>0</v>
      </c>
      <c r="AK388" s="5">
        <f>+$AC388*BJ388</f>
        <v>0</v>
      </c>
      <c r="AL388" s="5">
        <f>+$AC388*BK388</f>
        <v>0</v>
      </c>
      <c r="AM388" s="5">
        <f>+$AC388*BL388</f>
        <v>0</v>
      </c>
      <c r="AN388" s="5">
        <f>+$AC388*BM388</f>
        <v>0</v>
      </c>
      <c r="AO388" s="5">
        <f>+$AC388*BN388</f>
        <v>0</v>
      </c>
      <c r="AP388" s="5">
        <f>+AC388+P388+C388</f>
        <v>3000</v>
      </c>
      <c r="AQ388" s="1">
        <v>107.01787913849068</v>
      </c>
      <c r="AR388" s="1">
        <v>127.98333460134238</v>
      </c>
      <c r="AS388" s="1">
        <v>113.26618901825717</v>
      </c>
      <c r="AT388" s="1">
        <v>85.794779842260581</v>
      </c>
      <c r="AU388" s="1">
        <v>124.42286172644116</v>
      </c>
      <c r="AV388" s="1">
        <v>101.96439714305356</v>
      </c>
      <c r="AW388" s="1">
        <v>101.51265465271524</v>
      </c>
      <c r="AX388" s="1">
        <v>68.936526555335959</v>
      </c>
      <c r="AY388" s="1">
        <v>102.18462281466897</v>
      </c>
      <c r="AZ388" s="1">
        <v>88.989670695642204</v>
      </c>
      <c r="BA388" s="1">
        <v>90.861827030528602</v>
      </c>
      <c r="BB388" s="1">
        <v>88.746671238810748</v>
      </c>
      <c r="BC388" s="2">
        <v>8.9181565948742242E-2</v>
      </c>
      <c r="BD388" s="2">
        <v>0.10665277883445198</v>
      </c>
      <c r="BE388" s="2">
        <v>9.438849084854764E-2</v>
      </c>
      <c r="BF388" s="2">
        <v>7.149564986855049E-2</v>
      </c>
      <c r="BG388" s="2">
        <v>0.10368571810536763</v>
      </c>
      <c r="BH388" s="2">
        <v>8.4970330952544637E-2</v>
      </c>
      <c r="BI388" s="2">
        <v>8.4593878877262704E-2</v>
      </c>
      <c r="BJ388" s="2">
        <v>5.7447105462779965E-2</v>
      </c>
      <c r="BK388" s="2">
        <v>8.5153852345557474E-2</v>
      </c>
      <c r="BL388" s="2">
        <v>7.4158058913035174E-2</v>
      </c>
      <c r="BM388" s="2">
        <v>7.5718189192107169E-2</v>
      </c>
      <c r="BN388" s="2">
        <v>7.3955559365675619E-2</v>
      </c>
    </row>
    <row r="389" spans="1:66" x14ac:dyDescent="0.25">
      <c r="A389" s="8">
        <v>4489</v>
      </c>
      <c r="B389" s="8" t="s">
        <v>607</v>
      </c>
      <c r="C389" s="5">
        <v>0</v>
      </c>
      <c r="D389" s="5">
        <f>+$C389*BC389</f>
        <v>0</v>
      </c>
      <c r="E389" s="5">
        <f>+$C389*BD389</f>
        <v>0</v>
      </c>
      <c r="F389" s="5">
        <f>+$C389*BE389</f>
        <v>0</v>
      </c>
      <c r="G389" s="5">
        <f>+$C389*BF389</f>
        <v>0</v>
      </c>
      <c r="H389" s="5">
        <f>+$C389*BG389</f>
        <v>0</v>
      </c>
      <c r="I389" s="5">
        <f>+$C389*BH389</f>
        <v>0</v>
      </c>
      <c r="J389" s="5">
        <f>+$C389*BI389</f>
        <v>0</v>
      </c>
      <c r="K389" s="5">
        <f>+$C389*BJ389</f>
        <v>0</v>
      </c>
      <c r="L389" s="5">
        <f>+$C389*BK389</f>
        <v>0</v>
      </c>
      <c r="M389" s="5">
        <f>+$C389*BL389</f>
        <v>0</v>
      </c>
      <c r="N389" s="5">
        <f>+$C389*BM389</f>
        <v>0</v>
      </c>
      <c r="O389" s="5">
        <f>+$C389*BN389</f>
        <v>0</v>
      </c>
      <c r="P389" s="5">
        <v>0</v>
      </c>
      <c r="Q389" s="5">
        <f>+$P389*BC389</f>
        <v>0</v>
      </c>
      <c r="R389" s="5">
        <f>+$P389*BD389</f>
        <v>0</v>
      </c>
      <c r="S389" s="5">
        <f>+$P389*BE389</f>
        <v>0</v>
      </c>
      <c r="T389" s="5">
        <f>+$P389*BF389</f>
        <v>0</v>
      </c>
      <c r="U389" s="5">
        <f>+$P389*BG389</f>
        <v>0</v>
      </c>
      <c r="V389" s="5">
        <f>+$P389*BH389</f>
        <v>0</v>
      </c>
      <c r="W389" s="5">
        <f>+$P389*BI389</f>
        <v>0</v>
      </c>
      <c r="X389" s="5">
        <f>+$P389*BJ389</f>
        <v>0</v>
      </c>
      <c r="Y389" s="5">
        <f>+$P389*BK389</f>
        <v>0</v>
      </c>
      <c r="Z389" s="5">
        <f>+$P389*BL389</f>
        <v>0</v>
      </c>
      <c r="AA389" s="5">
        <f>+$P389*BM389</f>
        <v>0</v>
      </c>
      <c r="AB389" s="5">
        <f>+$P389*BN389</f>
        <v>0</v>
      </c>
      <c r="AC389" s="5">
        <v>0</v>
      </c>
      <c r="AD389" s="5">
        <f>+$AC389*BC389</f>
        <v>0</v>
      </c>
      <c r="AE389" s="5">
        <f>+$AC389*BD389</f>
        <v>0</v>
      </c>
      <c r="AF389" s="5">
        <f>+$AC389*BE389</f>
        <v>0</v>
      </c>
      <c r="AG389" s="5">
        <f>+$AC389*BF389</f>
        <v>0</v>
      </c>
      <c r="AH389" s="5">
        <f>+$AC389*BG389</f>
        <v>0</v>
      </c>
      <c r="AI389" s="5">
        <f>+$AC389*BH389</f>
        <v>0</v>
      </c>
      <c r="AJ389" s="5">
        <f>+$AC389*BI389</f>
        <v>0</v>
      </c>
      <c r="AK389" s="5">
        <f>+$AC389*BJ389</f>
        <v>0</v>
      </c>
      <c r="AL389" s="5">
        <f>+$AC389*BK389</f>
        <v>0</v>
      </c>
      <c r="AM389" s="5">
        <f>+$AC389*BL389</f>
        <v>0</v>
      </c>
      <c r="AN389" s="5">
        <f>+$AC389*BM389</f>
        <v>0</v>
      </c>
      <c r="AO389" s="5">
        <f>+$AC389*BN389</f>
        <v>0</v>
      </c>
      <c r="AP389" s="5">
        <f>+AC389+P389+C389</f>
        <v>0</v>
      </c>
      <c r="AQ389" s="1">
        <v>105.67935301516601</v>
      </c>
      <c r="AR389" s="1">
        <v>126.38258304381608</v>
      </c>
      <c r="AS389" s="1">
        <v>111.84951215911131</v>
      </c>
      <c r="AT389" s="1">
        <v>84.721701633383518</v>
      </c>
      <c r="AU389" s="1">
        <v>122.86664278339769</v>
      </c>
      <c r="AV389" s="1">
        <v>100.68907744578682</v>
      </c>
      <c r="AW389" s="1">
        <v>100.24298512464641</v>
      </c>
      <c r="AX389" s="1">
        <v>68.074302949445098</v>
      </c>
      <c r="AY389" s="1">
        <v>100.90654864481449</v>
      </c>
      <c r="AZ389" s="1">
        <v>87.876632389416457</v>
      </c>
      <c r="BA389" s="1">
        <v>89.725372728944265</v>
      </c>
      <c r="BB389" s="1">
        <v>87.636672248291319</v>
      </c>
      <c r="BC389" s="2">
        <v>8.9181565948742242E-2</v>
      </c>
      <c r="BD389" s="2">
        <v>0.10665277883445198</v>
      </c>
      <c r="BE389" s="2">
        <v>9.438849084854764E-2</v>
      </c>
      <c r="BF389" s="2">
        <v>7.149564986855049E-2</v>
      </c>
      <c r="BG389" s="2">
        <v>0.10368571810536763</v>
      </c>
      <c r="BH389" s="2">
        <v>8.4970330952544637E-2</v>
      </c>
      <c r="BI389" s="2">
        <v>8.4593878877262704E-2</v>
      </c>
      <c r="BJ389" s="2">
        <v>5.7447105462779965E-2</v>
      </c>
      <c r="BK389" s="2">
        <v>8.5153852345557474E-2</v>
      </c>
      <c r="BL389" s="2">
        <v>7.4158058913035174E-2</v>
      </c>
      <c r="BM389" s="2">
        <v>7.5718189192107169E-2</v>
      </c>
      <c r="BN389" s="2">
        <v>7.3955559365675619E-2</v>
      </c>
    </row>
    <row r="390" spans="1:66" x14ac:dyDescent="0.25">
      <c r="A390" s="8">
        <v>4112</v>
      </c>
      <c r="B390" s="8" t="s">
        <v>606</v>
      </c>
      <c r="C390" s="5">
        <v>0</v>
      </c>
      <c r="D390" s="5">
        <f>+$C390*BC390</f>
        <v>0</v>
      </c>
      <c r="E390" s="5">
        <f>+$C390*BD390</f>
        <v>0</v>
      </c>
      <c r="F390" s="5">
        <f>+$C390*BE390</f>
        <v>0</v>
      </c>
      <c r="G390" s="5">
        <f>+$C390*BF390</f>
        <v>0</v>
      </c>
      <c r="H390" s="5">
        <f>+$C390*BG390</f>
        <v>0</v>
      </c>
      <c r="I390" s="5">
        <f>+$C390*BH390</f>
        <v>0</v>
      </c>
      <c r="J390" s="5">
        <f>+$C390*BI390</f>
        <v>0</v>
      </c>
      <c r="K390" s="5">
        <f>+$C390*BJ390</f>
        <v>0</v>
      </c>
      <c r="L390" s="5">
        <f>+$C390*BK390</f>
        <v>0</v>
      </c>
      <c r="M390" s="5">
        <f>+$C390*BL390</f>
        <v>0</v>
      </c>
      <c r="N390" s="5">
        <f>+$C390*BM390</f>
        <v>0</v>
      </c>
      <c r="O390" s="5">
        <f>+$C390*BN390</f>
        <v>0</v>
      </c>
      <c r="P390" s="5">
        <v>0</v>
      </c>
      <c r="Q390" s="5">
        <f>+$P390*BC390</f>
        <v>0</v>
      </c>
      <c r="R390" s="5">
        <f>+$P390*BD390</f>
        <v>0</v>
      </c>
      <c r="S390" s="5">
        <f>+$P390*BE390</f>
        <v>0</v>
      </c>
      <c r="T390" s="5">
        <f>+$P390*BF390</f>
        <v>0</v>
      </c>
      <c r="U390" s="5">
        <f>+$P390*BG390</f>
        <v>0</v>
      </c>
      <c r="V390" s="5">
        <f>+$P390*BH390</f>
        <v>0</v>
      </c>
      <c r="W390" s="5">
        <f>+$P390*BI390</f>
        <v>0</v>
      </c>
      <c r="X390" s="5">
        <f>+$P390*BJ390</f>
        <v>0</v>
      </c>
      <c r="Y390" s="5">
        <f>+$P390*BK390</f>
        <v>0</v>
      </c>
      <c r="Z390" s="5">
        <f>+$P390*BL390</f>
        <v>0</v>
      </c>
      <c r="AA390" s="5">
        <f>+$P390*BM390</f>
        <v>0</v>
      </c>
      <c r="AB390" s="5">
        <f>+$P390*BN390</f>
        <v>0</v>
      </c>
      <c r="AC390" s="5">
        <v>0</v>
      </c>
      <c r="AD390" s="5">
        <f>+$AC390*BC390</f>
        <v>0</v>
      </c>
      <c r="AE390" s="5">
        <f>+$AC390*BD390</f>
        <v>0</v>
      </c>
      <c r="AF390" s="5">
        <f>+$AC390*BE390</f>
        <v>0</v>
      </c>
      <c r="AG390" s="5">
        <f>+$AC390*BF390</f>
        <v>0</v>
      </c>
      <c r="AH390" s="5">
        <f>+$AC390*BG390</f>
        <v>0</v>
      </c>
      <c r="AI390" s="5">
        <f>+$AC390*BH390</f>
        <v>0</v>
      </c>
      <c r="AJ390" s="5">
        <f>+$AC390*BI390</f>
        <v>0</v>
      </c>
      <c r="AK390" s="5">
        <f>+$AC390*BJ390</f>
        <v>0</v>
      </c>
      <c r="AL390" s="5">
        <f>+$AC390*BK390</f>
        <v>0</v>
      </c>
      <c r="AM390" s="5">
        <f>+$AC390*BL390</f>
        <v>0</v>
      </c>
      <c r="AN390" s="5">
        <f>+$AC390*BM390</f>
        <v>0</v>
      </c>
      <c r="AO390" s="5">
        <f>+$AC390*BN390</f>
        <v>0</v>
      </c>
      <c r="AP390" s="5">
        <f>+AC390+P390+C390</f>
        <v>0</v>
      </c>
      <c r="AQ390" s="1">
        <v>103.61792111826084</v>
      </c>
      <c r="AR390" s="1">
        <v>123.91730406105773</v>
      </c>
      <c r="AS390" s="1">
        <v>109.66772219314714</v>
      </c>
      <c r="AT390" s="1">
        <v>83.069079686671969</v>
      </c>
      <c r="AU390" s="1">
        <v>120.46994740939212</v>
      </c>
      <c r="AV390" s="1">
        <v>98.72498824581875</v>
      </c>
      <c r="AW390" s="1">
        <v>98.287597614398479</v>
      </c>
      <c r="AX390" s="1">
        <v>66.746413106672932</v>
      </c>
      <c r="AY390" s="1">
        <v>98.93821734784693</v>
      </c>
      <c r="AZ390" s="1">
        <v>86.162468857641656</v>
      </c>
      <c r="BA390" s="1">
        <v>87.9751467857687</v>
      </c>
      <c r="BB390" s="1">
        <v>85.927189493553726</v>
      </c>
      <c r="BC390" s="2">
        <v>8.9181565948742242E-2</v>
      </c>
      <c r="BD390" s="2">
        <v>0.10665277883445198</v>
      </c>
      <c r="BE390" s="2">
        <v>9.438849084854764E-2</v>
      </c>
      <c r="BF390" s="2">
        <v>7.149564986855049E-2</v>
      </c>
      <c r="BG390" s="2">
        <v>0.10368571810536763</v>
      </c>
      <c r="BH390" s="2">
        <v>8.4970330952544637E-2</v>
      </c>
      <c r="BI390" s="2">
        <v>8.4593878877262704E-2</v>
      </c>
      <c r="BJ390" s="2">
        <v>5.7447105462779965E-2</v>
      </c>
      <c r="BK390" s="2">
        <v>8.5153852345557474E-2</v>
      </c>
      <c r="BL390" s="2">
        <v>7.4158058913035174E-2</v>
      </c>
      <c r="BM390" s="2">
        <v>7.5718189192107169E-2</v>
      </c>
      <c r="BN390" s="2">
        <v>7.3955559365675619E-2</v>
      </c>
    </row>
    <row r="391" spans="1:66" x14ac:dyDescent="0.25">
      <c r="A391" s="8">
        <v>6672</v>
      </c>
      <c r="B391" s="8" t="s">
        <v>605</v>
      </c>
      <c r="C391" s="5">
        <v>3000</v>
      </c>
      <c r="D391" s="5">
        <f>+$C391*BC391</f>
        <v>267.54469784622671</v>
      </c>
      <c r="E391" s="5">
        <f>+$C391*BD391</f>
        <v>319.95833650335595</v>
      </c>
      <c r="F391" s="5">
        <f>+$C391*BE391</f>
        <v>283.1654725456429</v>
      </c>
      <c r="G391" s="5">
        <f>+$C391*BF391</f>
        <v>214.48694960565146</v>
      </c>
      <c r="H391" s="5">
        <f>+$C391*BG391</f>
        <v>311.05715431610287</v>
      </c>
      <c r="I391" s="5">
        <f>+$C391*BH391</f>
        <v>254.91099285763391</v>
      </c>
      <c r="J391" s="5">
        <f>+$C391*BI391</f>
        <v>253.7816366317881</v>
      </c>
      <c r="K391" s="5">
        <f>+$C391*BJ391</f>
        <v>172.34131638833989</v>
      </c>
      <c r="L391" s="5">
        <f>+$C391*BK391</f>
        <v>255.46155703667242</v>
      </c>
      <c r="M391" s="5">
        <f>+$C391*BL391</f>
        <v>222.47417673910553</v>
      </c>
      <c r="N391" s="5">
        <f>+$C391*BM391</f>
        <v>227.15456757632151</v>
      </c>
      <c r="O391" s="5">
        <f>+$C391*BN391</f>
        <v>221.86667809702686</v>
      </c>
      <c r="P391" s="5">
        <v>0</v>
      </c>
      <c r="Q391" s="5">
        <f>+$P391*BC391</f>
        <v>0</v>
      </c>
      <c r="R391" s="5">
        <f>+$P391*BD391</f>
        <v>0</v>
      </c>
      <c r="S391" s="5">
        <f>+$P391*BE391</f>
        <v>0</v>
      </c>
      <c r="T391" s="5">
        <f>+$P391*BF391</f>
        <v>0</v>
      </c>
      <c r="U391" s="5">
        <f>+$P391*BG391</f>
        <v>0</v>
      </c>
      <c r="V391" s="5">
        <f>+$P391*BH391</f>
        <v>0</v>
      </c>
      <c r="W391" s="5">
        <f>+$P391*BI391</f>
        <v>0</v>
      </c>
      <c r="X391" s="5">
        <f>+$P391*BJ391</f>
        <v>0</v>
      </c>
      <c r="Y391" s="5">
        <f>+$P391*BK391</f>
        <v>0</v>
      </c>
      <c r="Z391" s="5">
        <f>+$P391*BL391</f>
        <v>0</v>
      </c>
      <c r="AA391" s="5">
        <f>+$P391*BM391</f>
        <v>0</v>
      </c>
      <c r="AB391" s="5">
        <f>+$P391*BN391</f>
        <v>0</v>
      </c>
      <c r="AC391" s="5">
        <v>0</v>
      </c>
      <c r="AD391" s="5">
        <f>+$AC391*BC391</f>
        <v>0</v>
      </c>
      <c r="AE391" s="5">
        <f>+$AC391*BD391</f>
        <v>0</v>
      </c>
      <c r="AF391" s="5">
        <f>+$AC391*BE391</f>
        <v>0</v>
      </c>
      <c r="AG391" s="5">
        <f>+$AC391*BF391</f>
        <v>0</v>
      </c>
      <c r="AH391" s="5">
        <f>+$AC391*BG391</f>
        <v>0</v>
      </c>
      <c r="AI391" s="5">
        <f>+$AC391*BH391</f>
        <v>0</v>
      </c>
      <c r="AJ391" s="5">
        <f>+$AC391*BI391</f>
        <v>0</v>
      </c>
      <c r="AK391" s="5">
        <f>+$AC391*BJ391</f>
        <v>0</v>
      </c>
      <c r="AL391" s="5">
        <f>+$AC391*BK391</f>
        <v>0</v>
      </c>
      <c r="AM391" s="5">
        <f>+$AC391*BL391</f>
        <v>0</v>
      </c>
      <c r="AN391" s="5">
        <f>+$AC391*BM391</f>
        <v>0</v>
      </c>
      <c r="AO391" s="5">
        <f>+$AC391*BN391</f>
        <v>0</v>
      </c>
      <c r="AP391" s="5">
        <f>+AC391+P391+C391</f>
        <v>3000</v>
      </c>
      <c r="AQ391" s="1">
        <v>94.74132313311874</v>
      </c>
      <c r="AR391" s="1">
        <v>113.3017263725494</v>
      </c>
      <c r="AS391" s="1">
        <v>100.27285814502781</v>
      </c>
      <c r="AT391" s="1">
        <v>75.952831672655677</v>
      </c>
      <c r="AU391" s="1">
        <v>110.14969314349247</v>
      </c>
      <c r="AV391" s="1">
        <v>90.267551324788187</v>
      </c>
      <c r="AW391" s="1">
        <v>89.867630474229017</v>
      </c>
      <c r="AX391" s="1">
        <v>61.028472911540597</v>
      </c>
      <c r="AY391" s="1">
        <v>90.462513808484232</v>
      </c>
      <c r="AZ391" s="1">
        <v>78.781220621791618</v>
      </c>
      <c r="BA391" s="1">
        <v>80.438612542721515</v>
      </c>
      <c r="BB391" s="1">
        <v>78.56609684765057</v>
      </c>
      <c r="BC391" s="2">
        <v>8.9181565948742242E-2</v>
      </c>
      <c r="BD391" s="2">
        <v>0.10665277883445198</v>
      </c>
      <c r="BE391" s="2">
        <v>9.438849084854764E-2</v>
      </c>
      <c r="BF391" s="2">
        <v>7.149564986855049E-2</v>
      </c>
      <c r="BG391" s="2">
        <v>0.10368571810536763</v>
      </c>
      <c r="BH391" s="2">
        <v>8.4970330952544637E-2</v>
      </c>
      <c r="BI391" s="2">
        <v>8.4593878877262704E-2</v>
      </c>
      <c r="BJ391" s="2">
        <v>5.7447105462779965E-2</v>
      </c>
      <c r="BK391" s="2">
        <v>8.5153852345557474E-2</v>
      </c>
      <c r="BL391" s="2">
        <v>7.4158058913035174E-2</v>
      </c>
      <c r="BM391" s="2">
        <v>7.5718189192107169E-2</v>
      </c>
      <c r="BN391" s="2">
        <v>7.3955559365675619E-2</v>
      </c>
    </row>
    <row r="392" spans="1:66" x14ac:dyDescent="0.25">
      <c r="A392" s="8">
        <v>2689</v>
      </c>
      <c r="B392" s="8" t="s">
        <v>604</v>
      </c>
      <c r="C392" s="5">
        <v>0</v>
      </c>
      <c r="D392" s="5">
        <f>+$C392*BC392</f>
        <v>0</v>
      </c>
      <c r="E392" s="5">
        <f>+$C392*BD392</f>
        <v>0</v>
      </c>
      <c r="F392" s="5">
        <f>+$C392*BE392</f>
        <v>0</v>
      </c>
      <c r="G392" s="5">
        <f>+$C392*BF392</f>
        <v>0</v>
      </c>
      <c r="H392" s="5">
        <f>+$C392*BG392</f>
        <v>0</v>
      </c>
      <c r="I392" s="5">
        <f>+$C392*BH392</f>
        <v>0</v>
      </c>
      <c r="J392" s="5">
        <f>+$C392*BI392</f>
        <v>0</v>
      </c>
      <c r="K392" s="5">
        <f>+$C392*BJ392</f>
        <v>0</v>
      </c>
      <c r="L392" s="5">
        <f>+$C392*BK392</f>
        <v>0</v>
      </c>
      <c r="M392" s="5">
        <f>+$C392*BL392</f>
        <v>0</v>
      </c>
      <c r="N392" s="5">
        <f>+$C392*BM392</f>
        <v>0</v>
      </c>
      <c r="O392" s="5">
        <f>+$C392*BN392</f>
        <v>0</v>
      </c>
      <c r="P392" s="5">
        <v>1000</v>
      </c>
      <c r="Q392" s="5">
        <f>+$P392*BC392</f>
        <v>89.181565948742247</v>
      </c>
      <c r="R392" s="5">
        <f>+$P392*BD392</f>
        <v>106.65277883445198</v>
      </c>
      <c r="S392" s="5">
        <f>+$P392*BE392</f>
        <v>94.388490848547647</v>
      </c>
      <c r="T392" s="5">
        <f>+$P392*BF392</f>
        <v>71.495649868550487</v>
      </c>
      <c r="U392" s="5">
        <f>+$P392*BG392</f>
        <v>103.68571810536763</v>
      </c>
      <c r="V392" s="5">
        <f>+$P392*BH392</f>
        <v>84.970330952544643</v>
      </c>
      <c r="W392" s="5">
        <f>+$P392*BI392</f>
        <v>84.593878877262711</v>
      </c>
      <c r="X392" s="5">
        <f>+$P392*BJ392</f>
        <v>57.447105462779966</v>
      </c>
      <c r="Y392" s="5">
        <f>+$P392*BK392</f>
        <v>85.153852345557468</v>
      </c>
      <c r="Z392" s="5">
        <f>+$P392*BL392</f>
        <v>74.158058913035177</v>
      </c>
      <c r="AA392" s="5">
        <f>+$P392*BM392</f>
        <v>75.718189192107175</v>
      </c>
      <c r="AB392" s="5">
        <f>+$P392*BN392</f>
        <v>73.955559365675626</v>
      </c>
      <c r="AC392" s="5">
        <v>0</v>
      </c>
      <c r="AD392" s="5">
        <f>+$AC392*BC392</f>
        <v>0</v>
      </c>
      <c r="AE392" s="5">
        <f>+$AC392*BD392</f>
        <v>0</v>
      </c>
      <c r="AF392" s="5">
        <f>+$AC392*BE392</f>
        <v>0</v>
      </c>
      <c r="AG392" s="5">
        <f>+$AC392*BF392</f>
        <v>0</v>
      </c>
      <c r="AH392" s="5">
        <f>+$AC392*BG392</f>
        <v>0</v>
      </c>
      <c r="AI392" s="5">
        <f>+$AC392*BH392</f>
        <v>0</v>
      </c>
      <c r="AJ392" s="5">
        <f>+$AC392*BI392</f>
        <v>0</v>
      </c>
      <c r="AK392" s="5">
        <f>+$AC392*BJ392</f>
        <v>0</v>
      </c>
      <c r="AL392" s="5">
        <f>+$AC392*BK392</f>
        <v>0</v>
      </c>
      <c r="AM392" s="5">
        <f>+$AC392*BL392</f>
        <v>0</v>
      </c>
      <c r="AN392" s="5">
        <f>+$AC392*BM392</f>
        <v>0</v>
      </c>
      <c r="AO392" s="5">
        <f>+$AC392*BN392</f>
        <v>0</v>
      </c>
      <c r="AP392" s="5">
        <f>+AC392+P392+C392</f>
        <v>1000</v>
      </c>
      <c r="AQ392" s="1">
        <v>89.663146404865458</v>
      </c>
      <c r="AR392" s="1">
        <v>107.22870384015803</v>
      </c>
      <c r="AS392" s="1">
        <v>94.898188699129804</v>
      </c>
      <c r="AT392" s="1">
        <v>71.881726377840664</v>
      </c>
      <c r="AU392" s="1">
        <v>104.24562098313662</v>
      </c>
      <c r="AV392" s="1">
        <v>85.429170739688388</v>
      </c>
      <c r="AW392" s="1">
        <v>85.050685823199927</v>
      </c>
      <c r="AX392" s="1">
        <v>57.757319832278981</v>
      </c>
      <c r="AY392" s="1">
        <v>85.613683148223487</v>
      </c>
      <c r="AZ392" s="1">
        <v>74.558512431165568</v>
      </c>
      <c r="BA392" s="1">
        <v>76.127067413744555</v>
      </c>
      <c r="BB392" s="1">
        <v>74.354919386250273</v>
      </c>
      <c r="BC392" s="2">
        <v>8.9181565948742242E-2</v>
      </c>
      <c r="BD392" s="2">
        <v>0.10665277883445198</v>
      </c>
      <c r="BE392" s="2">
        <v>9.438849084854764E-2</v>
      </c>
      <c r="BF392" s="2">
        <v>7.149564986855049E-2</v>
      </c>
      <c r="BG392" s="2">
        <v>0.10368571810536763</v>
      </c>
      <c r="BH392" s="2">
        <v>8.4970330952544637E-2</v>
      </c>
      <c r="BI392" s="2">
        <v>8.4593878877262704E-2</v>
      </c>
      <c r="BJ392" s="2">
        <v>5.7447105462779965E-2</v>
      </c>
      <c r="BK392" s="2">
        <v>8.5153852345557474E-2</v>
      </c>
      <c r="BL392" s="2">
        <v>7.4158058913035174E-2</v>
      </c>
      <c r="BM392" s="2">
        <v>7.5718189192107169E-2</v>
      </c>
      <c r="BN392" s="2">
        <v>7.3955559365675619E-2</v>
      </c>
    </row>
    <row r="393" spans="1:66" x14ac:dyDescent="0.25">
      <c r="A393" s="8">
        <v>2795</v>
      </c>
      <c r="B393" s="8" t="s">
        <v>603</v>
      </c>
      <c r="C393" s="5">
        <v>0</v>
      </c>
      <c r="D393" s="5">
        <f>+$C393*BC393</f>
        <v>0</v>
      </c>
      <c r="E393" s="5">
        <f>+$C393*BD393</f>
        <v>0</v>
      </c>
      <c r="F393" s="5">
        <f>+$C393*BE393</f>
        <v>0</v>
      </c>
      <c r="G393" s="5">
        <f>+$C393*BF393</f>
        <v>0</v>
      </c>
      <c r="H393" s="5">
        <f>+$C393*BG393</f>
        <v>0</v>
      </c>
      <c r="I393" s="5">
        <f>+$C393*BH393</f>
        <v>0</v>
      </c>
      <c r="J393" s="5">
        <f>+$C393*BI393</f>
        <v>0</v>
      </c>
      <c r="K393" s="5">
        <f>+$C393*BJ393</f>
        <v>0</v>
      </c>
      <c r="L393" s="5">
        <f>+$C393*BK393</f>
        <v>0</v>
      </c>
      <c r="M393" s="5">
        <f>+$C393*BL393</f>
        <v>0</v>
      </c>
      <c r="N393" s="5">
        <f>+$C393*BM393</f>
        <v>0</v>
      </c>
      <c r="O393" s="5">
        <f>+$C393*BN393</f>
        <v>0</v>
      </c>
      <c r="P393" s="5">
        <v>0</v>
      </c>
      <c r="Q393" s="5">
        <f>+$P393*BC393</f>
        <v>0</v>
      </c>
      <c r="R393" s="5">
        <f>+$P393*BD393</f>
        <v>0</v>
      </c>
      <c r="S393" s="5">
        <f>+$P393*BE393</f>
        <v>0</v>
      </c>
      <c r="T393" s="5">
        <f>+$P393*BF393</f>
        <v>0</v>
      </c>
      <c r="U393" s="5">
        <f>+$P393*BG393</f>
        <v>0</v>
      </c>
      <c r="V393" s="5">
        <f>+$P393*BH393</f>
        <v>0</v>
      </c>
      <c r="W393" s="5">
        <f>+$P393*BI393</f>
        <v>0</v>
      </c>
      <c r="X393" s="5">
        <f>+$P393*BJ393</f>
        <v>0</v>
      </c>
      <c r="Y393" s="5">
        <f>+$P393*BK393</f>
        <v>0</v>
      </c>
      <c r="Z393" s="5">
        <f>+$P393*BL393</f>
        <v>0</v>
      </c>
      <c r="AA393" s="5">
        <f>+$P393*BM393</f>
        <v>0</v>
      </c>
      <c r="AB393" s="5">
        <f>+$P393*BN393</f>
        <v>0</v>
      </c>
      <c r="AC393" s="5">
        <v>2800</v>
      </c>
      <c r="AD393" s="5">
        <f>+$AC393*BC393</f>
        <v>249.70838465647827</v>
      </c>
      <c r="AE393" s="5">
        <f>+$AC393*BD393</f>
        <v>298.62778073646558</v>
      </c>
      <c r="AF393" s="5">
        <f>+$AC393*BE393</f>
        <v>264.2877743759334</v>
      </c>
      <c r="AG393" s="5">
        <f>+$AC393*BF393</f>
        <v>200.18781963194138</v>
      </c>
      <c r="AH393" s="5">
        <f>+$AC393*BG393</f>
        <v>290.32001069502934</v>
      </c>
      <c r="AI393" s="5">
        <f>+$AC393*BH393</f>
        <v>237.91692666712498</v>
      </c>
      <c r="AJ393" s="5">
        <f>+$AC393*BI393</f>
        <v>236.86286085633557</v>
      </c>
      <c r="AK393" s="5">
        <f>+$AC393*BJ393</f>
        <v>160.85189529578389</v>
      </c>
      <c r="AL393" s="5">
        <f>+$AC393*BK393</f>
        <v>238.43078656756092</v>
      </c>
      <c r="AM393" s="5">
        <f>+$AC393*BL393</f>
        <v>207.64256495649849</v>
      </c>
      <c r="AN393" s="5">
        <f>+$AC393*BM393</f>
        <v>212.01092973790009</v>
      </c>
      <c r="AO393" s="5">
        <f>+$AC393*BN393</f>
        <v>207.07556622389174</v>
      </c>
      <c r="AP393" s="5">
        <f>+AC393+P393+C393</f>
        <v>2800</v>
      </c>
      <c r="AQ393" s="1">
        <v>89.181565948742247</v>
      </c>
      <c r="AR393" s="1">
        <v>106.65277883445198</v>
      </c>
      <c r="AS393" s="1">
        <v>94.388490848547647</v>
      </c>
      <c r="AT393" s="1">
        <v>71.495649868550487</v>
      </c>
      <c r="AU393" s="1">
        <v>103.68571810536763</v>
      </c>
      <c r="AV393" s="1">
        <v>84.970330952544643</v>
      </c>
      <c r="AW393" s="1">
        <v>84.593878877262711</v>
      </c>
      <c r="AX393" s="1">
        <v>57.447105462779966</v>
      </c>
      <c r="AY393" s="1">
        <v>85.153852345557468</v>
      </c>
      <c r="AZ393" s="1">
        <v>74.158058913035177</v>
      </c>
      <c r="BA393" s="1">
        <v>75.718189192107175</v>
      </c>
      <c r="BB393" s="1">
        <v>73.955559365675626</v>
      </c>
      <c r="BC393" s="2">
        <v>8.9181565948742242E-2</v>
      </c>
      <c r="BD393" s="2">
        <v>0.10665277883445198</v>
      </c>
      <c r="BE393" s="2">
        <v>9.438849084854764E-2</v>
      </c>
      <c r="BF393" s="2">
        <v>7.149564986855049E-2</v>
      </c>
      <c r="BG393" s="2">
        <v>0.10368571810536763</v>
      </c>
      <c r="BH393" s="2">
        <v>8.4970330952544637E-2</v>
      </c>
      <c r="BI393" s="2">
        <v>8.4593878877262704E-2</v>
      </c>
      <c r="BJ393" s="2">
        <v>5.7447105462779965E-2</v>
      </c>
      <c r="BK393" s="2">
        <v>8.5153852345557474E-2</v>
      </c>
      <c r="BL393" s="2">
        <v>7.4158058913035174E-2</v>
      </c>
      <c r="BM393" s="2">
        <v>7.5718189192107169E-2</v>
      </c>
      <c r="BN393" s="2">
        <v>7.3955559365675619E-2</v>
      </c>
    </row>
    <row r="394" spans="1:66" x14ac:dyDescent="0.25">
      <c r="A394" s="8">
        <v>3521</v>
      </c>
      <c r="B394" s="8" t="s">
        <v>602</v>
      </c>
      <c r="C394" s="5">
        <v>0</v>
      </c>
      <c r="D394" s="5">
        <f>+$C394*BC394</f>
        <v>0</v>
      </c>
      <c r="E394" s="5">
        <f>+$C394*BD394</f>
        <v>0</v>
      </c>
      <c r="F394" s="5">
        <f>+$C394*BE394</f>
        <v>0</v>
      </c>
      <c r="G394" s="5">
        <f>+$C394*BF394</f>
        <v>0</v>
      </c>
      <c r="H394" s="5">
        <f>+$C394*BG394</f>
        <v>0</v>
      </c>
      <c r="I394" s="5">
        <f>+$C394*BH394</f>
        <v>0</v>
      </c>
      <c r="J394" s="5">
        <f>+$C394*BI394</f>
        <v>0</v>
      </c>
      <c r="K394" s="5">
        <f>+$C394*BJ394</f>
        <v>0</v>
      </c>
      <c r="L394" s="5">
        <f>+$C394*BK394</f>
        <v>0</v>
      </c>
      <c r="M394" s="5">
        <f>+$C394*BL394</f>
        <v>0</v>
      </c>
      <c r="N394" s="5">
        <f>+$C394*BM394</f>
        <v>0</v>
      </c>
      <c r="O394" s="5">
        <f>+$C394*BN394</f>
        <v>0</v>
      </c>
      <c r="P394" s="5">
        <v>4000</v>
      </c>
      <c r="Q394" s="5">
        <f>+$P394*BC394</f>
        <v>356.72626379496899</v>
      </c>
      <c r="R394" s="5">
        <f>+$P394*BD394</f>
        <v>426.61111533780792</v>
      </c>
      <c r="S394" s="5">
        <f>+$P394*BE394</f>
        <v>377.55396339419059</v>
      </c>
      <c r="T394" s="5">
        <f>+$P394*BF394</f>
        <v>285.98259947420195</v>
      </c>
      <c r="U394" s="5">
        <f>+$P394*BG394</f>
        <v>414.74287242147051</v>
      </c>
      <c r="V394" s="5">
        <f>+$P394*BH394</f>
        <v>339.88132381017857</v>
      </c>
      <c r="W394" s="5">
        <f>+$P394*BI394</f>
        <v>338.37551550905084</v>
      </c>
      <c r="X394" s="5">
        <f>+$P394*BJ394</f>
        <v>229.78842185111986</v>
      </c>
      <c r="Y394" s="5">
        <f>+$P394*BK394</f>
        <v>340.61540938222987</v>
      </c>
      <c r="Z394" s="5">
        <f>+$P394*BL394</f>
        <v>296.63223565214071</v>
      </c>
      <c r="AA394" s="5">
        <f>+$P394*BM394</f>
        <v>302.8727567684287</v>
      </c>
      <c r="AB394" s="5">
        <f>+$P394*BN394</f>
        <v>295.8222374627025</v>
      </c>
      <c r="AC394" s="5">
        <v>0</v>
      </c>
      <c r="AD394" s="5">
        <f>+$AC394*BC394</f>
        <v>0</v>
      </c>
      <c r="AE394" s="5">
        <f>+$AC394*BD394</f>
        <v>0</v>
      </c>
      <c r="AF394" s="5">
        <f>+$AC394*BE394</f>
        <v>0</v>
      </c>
      <c r="AG394" s="5">
        <f>+$AC394*BF394</f>
        <v>0</v>
      </c>
      <c r="AH394" s="5">
        <f>+$AC394*BG394</f>
        <v>0</v>
      </c>
      <c r="AI394" s="5">
        <f>+$AC394*BH394</f>
        <v>0</v>
      </c>
      <c r="AJ394" s="5">
        <f>+$AC394*BI394</f>
        <v>0</v>
      </c>
      <c r="AK394" s="5">
        <f>+$AC394*BJ394</f>
        <v>0</v>
      </c>
      <c r="AL394" s="5">
        <f>+$AC394*BK394</f>
        <v>0</v>
      </c>
      <c r="AM394" s="5">
        <f>+$AC394*BL394</f>
        <v>0</v>
      </c>
      <c r="AN394" s="5">
        <f>+$AC394*BM394</f>
        <v>0</v>
      </c>
      <c r="AO394" s="5">
        <f>+$AC394*BN394</f>
        <v>0</v>
      </c>
      <c r="AP394" s="5">
        <f>+AC394+P394+C394</f>
        <v>4000</v>
      </c>
      <c r="AQ394" s="1">
        <v>89.181565948742247</v>
      </c>
      <c r="AR394" s="1">
        <v>106.65277883445198</v>
      </c>
      <c r="AS394" s="1">
        <v>94.388490848547647</v>
      </c>
      <c r="AT394" s="1">
        <v>71.495649868550487</v>
      </c>
      <c r="AU394" s="1">
        <v>103.68571810536763</v>
      </c>
      <c r="AV394" s="1">
        <v>84.970330952544643</v>
      </c>
      <c r="AW394" s="1">
        <v>84.593878877262711</v>
      </c>
      <c r="AX394" s="1">
        <v>57.447105462779966</v>
      </c>
      <c r="AY394" s="1">
        <v>85.153852345557468</v>
      </c>
      <c r="AZ394" s="1">
        <v>74.158058913035177</v>
      </c>
      <c r="BA394" s="1">
        <v>75.718189192107175</v>
      </c>
      <c r="BB394" s="1">
        <v>73.955559365675626</v>
      </c>
      <c r="BC394" s="2">
        <v>8.9181565948742242E-2</v>
      </c>
      <c r="BD394" s="2">
        <v>0.10665277883445198</v>
      </c>
      <c r="BE394" s="2">
        <v>9.438849084854764E-2</v>
      </c>
      <c r="BF394" s="2">
        <v>7.149564986855049E-2</v>
      </c>
      <c r="BG394" s="2">
        <v>0.10368571810536763</v>
      </c>
      <c r="BH394" s="2">
        <v>8.4970330952544637E-2</v>
      </c>
      <c r="BI394" s="2">
        <v>8.4593878877262704E-2</v>
      </c>
      <c r="BJ394" s="2">
        <v>5.7447105462779965E-2</v>
      </c>
      <c r="BK394" s="2">
        <v>8.5153852345557474E-2</v>
      </c>
      <c r="BL394" s="2">
        <v>7.4158058913035174E-2</v>
      </c>
      <c r="BM394" s="2">
        <v>7.5718189192107169E-2</v>
      </c>
      <c r="BN394" s="2">
        <v>7.3955559365675619E-2</v>
      </c>
    </row>
    <row r="395" spans="1:66" x14ac:dyDescent="0.25">
      <c r="A395" s="8">
        <v>4193</v>
      </c>
      <c r="B395" s="8" t="s">
        <v>601</v>
      </c>
      <c r="C395" s="5">
        <v>0</v>
      </c>
      <c r="D395" s="5">
        <f>+$C395*BC395</f>
        <v>0</v>
      </c>
      <c r="E395" s="5">
        <f>+$C395*BD395</f>
        <v>0</v>
      </c>
      <c r="F395" s="5">
        <f>+$C395*BE395</f>
        <v>0</v>
      </c>
      <c r="G395" s="5">
        <f>+$C395*BF395</f>
        <v>0</v>
      </c>
      <c r="H395" s="5">
        <f>+$C395*BG395</f>
        <v>0</v>
      </c>
      <c r="I395" s="5">
        <f>+$C395*BH395</f>
        <v>0</v>
      </c>
      <c r="J395" s="5">
        <f>+$C395*BI395</f>
        <v>0</v>
      </c>
      <c r="K395" s="5">
        <f>+$C395*BJ395</f>
        <v>0</v>
      </c>
      <c r="L395" s="5">
        <f>+$C395*BK395</f>
        <v>0</v>
      </c>
      <c r="M395" s="5">
        <f>+$C395*BL395</f>
        <v>0</v>
      </c>
      <c r="N395" s="5">
        <f>+$C395*BM395</f>
        <v>0</v>
      </c>
      <c r="O395" s="5">
        <f>+$C395*BN395</f>
        <v>0</v>
      </c>
      <c r="P395" s="5">
        <v>0</v>
      </c>
      <c r="Q395" s="5">
        <f>+$P395*BC395</f>
        <v>0</v>
      </c>
      <c r="R395" s="5">
        <f>+$P395*BD395</f>
        <v>0</v>
      </c>
      <c r="S395" s="5">
        <f>+$P395*BE395</f>
        <v>0</v>
      </c>
      <c r="T395" s="5">
        <f>+$P395*BF395</f>
        <v>0</v>
      </c>
      <c r="U395" s="5">
        <f>+$P395*BG395</f>
        <v>0</v>
      </c>
      <c r="V395" s="5">
        <f>+$P395*BH395</f>
        <v>0</v>
      </c>
      <c r="W395" s="5">
        <f>+$P395*BI395</f>
        <v>0</v>
      </c>
      <c r="X395" s="5">
        <f>+$P395*BJ395</f>
        <v>0</v>
      </c>
      <c r="Y395" s="5">
        <f>+$P395*BK395</f>
        <v>0</v>
      </c>
      <c r="Z395" s="5">
        <f>+$P395*BL395</f>
        <v>0</v>
      </c>
      <c r="AA395" s="5">
        <f>+$P395*BM395</f>
        <v>0</v>
      </c>
      <c r="AB395" s="5">
        <f>+$P395*BN395</f>
        <v>0</v>
      </c>
      <c r="AC395" s="5">
        <v>0</v>
      </c>
      <c r="AD395" s="5">
        <f>+$AC395*BC395</f>
        <v>0</v>
      </c>
      <c r="AE395" s="5">
        <f>+$AC395*BD395</f>
        <v>0</v>
      </c>
      <c r="AF395" s="5">
        <f>+$AC395*BE395</f>
        <v>0</v>
      </c>
      <c r="AG395" s="5">
        <f>+$AC395*BF395</f>
        <v>0</v>
      </c>
      <c r="AH395" s="5">
        <f>+$AC395*BG395</f>
        <v>0</v>
      </c>
      <c r="AI395" s="5">
        <f>+$AC395*BH395</f>
        <v>0</v>
      </c>
      <c r="AJ395" s="5">
        <f>+$AC395*BI395</f>
        <v>0</v>
      </c>
      <c r="AK395" s="5">
        <f>+$AC395*BJ395</f>
        <v>0</v>
      </c>
      <c r="AL395" s="5">
        <f>+$AC395*BK395</f>
        <v>0</v>
      </c>
      <c r="AM395" s="5">
        <f>+$AC395*BL395</f>
        <v>0</v>
      </c>
      <c r="AN395" s="5">
        <f>+$AC395*BM395</f>
        <v>0</v>
      </c>
      <c r="AO395" s="5">
        <f>+$AC395*BN395</f>
        <v>0</v>
      </c>
      <c r="AP395" s="5">
        <f>+AC395+P395+C395</f>
        <v>0</v>
      </c>
      <c r="AQ395" s="1">
        <v>89.181565948742247</v>
      </c>
      <c r="AR395" s="1">
        <v>106.65277883445198</v>
      </c>
      <c r="AS395" s="1">
        <v>94.388490848547647</v>
      </c>
      <c r="AT395" s="1">
        <v>71.495649868550487</v>
      </c>
      <c r="AU395" s="1">
        <v>103.68571810536763</v>
      </c>
      <c r="AV395" s="1">
        <v>84.970330952544643</v>
      </c>
      <c r="AW395" s="1">
        <v>84.593878877262711</v>
      </c>
      <c r="AX395" s="1">
        <v>57.447105462779966</v>
      </c>
      <c r="AY395" s="1">
        <v>85.153852345557468</v>
      </c>
      <c r="AZ395" s="1">
        <v>74.158058913035177</v>
      </c>
      <c r="BA395" s="1">
        <v>75.718189192107175</v>
      </c>
      <c r="BB395" s="1">
        <v>73.955559365675626</v>
      </c>
      <c r="BC395" s="2">
        <v>8.9181565948742242E-2</v>
      </c>
      <c r="BD395" s="2">
        <v>0.10665277883445198</v>
      </c>
      <c r="BE395" s="2">
        <v>9.438849084854764E-2</v>
      </c>
      <c r="BF395" s="2">
        <v>7.149564986855049E-2</v>
      </c>
      <c r="BG395" s="2">
        <v>0.10368571810536763</v>
      </c>
      <c r="BH395" s="2">
        <v>8.4970330952544637E-2</v>
      </c>
      <c r="BI395" s="2">
        <v>8.4593878877262704E-2</v>
      </c>
      <c r="BJ395" s="2">
        <v>5.7447105462779965E-2</v>
      </c>
      <c r="BK395" s="2">
        <v>8.5153852345557474E-2</v>
      </c>
      <c r="BL395" s="2">
        <v>7.4158058913035174E-2</v>
      </c>
      <c r="BM395" s="2">
        <v>7.5718189192107169E-2</v>
      </c>
      <c r="BN395" s="2">
        <v>7.3955559365675619E-2</v>
      </c>
    </row>
    <row r="396" spans="1:66" x14ac:dyDescent="0.25">
      <c r="A396" s="8">
        <v>4481</v>
      </c>
      <c r="B396" s="8" t="s">
        <v>600</v>
      </c>
      <c r="C396" s="5">
        <v>0</v>
      </c>
      <c r="D396" s="5">
        <f>+$C396*BC396</f>
        <v>0</v>
      </c>
      <c r="E396" s="5">
        <f>+$C396*BD396</f>
        <v>0</v>
      </c>
      <c r="F396" s="5">
        <f>+$C396*BE396</f>
        <v>0</v>
      </c>
      <c r="G396" s="5">
        <f>+$C396*BF396</f>
        <v>0</v>
      </c>
      <c r="H396" s="5">
        <f>+$C396*BG396</f>
        <v>0</v>
      </c>
      <c r="I396" s="5">
        <f>+$C396*BH396</f>
        <v>0</v>
      </c>
      <c r="J396" s="5">
        <f>+$C396*BI396</f>
        <v>0</v>
      </c>
      <c r="K396" s="5">
        <f>+$C396*BJ396</f>
        <v>0</v>
      </c>
      <c r="L396" s="5">
        <f>+$C396*BK396</f>
        <v>0</v>
      </c>
      <c r="M396" s="5">
        <f>+$C396*BL396</f>
        <v>0</v>
      </c>
      <c r="N396" s="5">
        <f>+$C396*BM396</f>
        <v>0</v>
      </c>
      <c r="O396" s="5">
        <f>+$C396*BN396</f>
        <v>0</v>
      </c>
      <c r="P396" s="5">
        <v>0</v>
      </c>
      <c r="Q396" s="5">
        <f>+$P396*BC396</f>
        <v>0</v>
      </c>
      <c r="R396" s="5">
        <f>+$P396*BD396</f>
        <v>0</v>
      </c>
      <c r="S396" s="5">
        <f>+$P396*BE396</f>
        <v>0</v>
      </c>
      <c r="T396" s="5">
        <f>+$P396*BF396</f>
        <v>0</v>
      </c>
      <c r="U396" s="5">
        <f>+$P396*BG396</f>
        <v>0</v>
      </c>
      <c r="V396" s="5">
        <f>+$P396*BH396</f>
        <v>0</v>
      </c>
      <c r="W396" s="5">
        <f>+$P396*BI396</f>
        <v>0</v>
      </c>
      <c r="X396" s="5">
        <f>+$P396*BJ396</f>
        <v>0</v>
      </c>
      <c r="Y396" s="5">
        <f>+$P396*BK396</f>
        <v>0</v>
      </c>
      <c r="Z396" s="5">
        <f>+$P396*BL396</f>
        <v>0</v>
      </c>
      <c r="AA396" s="5">
        <f>+$P396*BM396</f>
        <v>0</v>
      </c>
      <c r="AB396" s="5">
        <f>+$P396*BN396</f>
        <v>0</v>
      </c>
      <c r="AC396" s="5">
        <v>0</v>
      </c>
      <c r="AD396" s="5">
        <f>+$AC396*BC396</f>
        <v>0</v>
      </c>
      <c r="AE396" s="5">
        <f>+$AC396*BD396</f>
        <v>0</v>
      </c>
      <c r="AF396" s="5">
        <f>+$AC396*BE396</f>
        <v>0</v>
      </c>
      <c r="AG396" s="5">
        <f>+$AC396*BF396</f>
        <v>0</v>
      </c>
      <c r="AH396" s="5">
        <f>+$AC396*BG396</f>
        <v>0</v>
      </c>
      <c r="AI396" s="5">
        <f>+$AC396*BH396</f>
        <v>0</v>
      </c>
      <c r="AJ396" s="5">
        <f>+$AC396*BI396</f>
        <v>0</v>
      </c>
      <c r="AK396" s="5">
        <f>+$AC396*BJ396</f>
        <v>0</v>
      </c>
      <c r="AL396" s="5">
        <f>+$AC396*BK396</f>
        <v>0</v>
      </c>
      <c r="AM396" s="5">
        <f>+$AC396*BL396</f>
        <v>0</v>
      </c>
      <c r="AN396" s="5">
        <f>+$AC396*BM396</f>
        <v>0</v>
      </c>
      <c r="AO396" s="5">
        <f>+$AC396*BN396</f>
        <v>0</v>
      </c>
      <c r="AP396" s="5">
        <f>+AC396+P396+C396</f>
        <v>0</v>
      </c>
      <c r="AQ396" s="1">
        <v>89.181565948742247</v>
      </c>
      <c r="AR396" s="1">
        <v>106.65277883445198</v>
      </c>
      <c r="AS396" s="1">
        <v>94.388490848547647</v>
      </c>
      <c r="AT396" s="1">
        <v>71.495649868550487</v>
      </c>
      <c r="AU396" s="1">
        <v>103.68571810536763</v>
      </c>
      <c r="AV396" s="1">
        <v>84.970330952544643</v>
      </c>
      <c r="AW396" s="1">
        <v>84.593878877262711</v>
      </c>
      <c r="AX396" s="1">
        <v>57.447105462779966</v>
      </c>
      <c r="AY396" s="1">
        <v>85.153852345557468</v>
      </c>
      <c r="AZ396" s="1">
        <v>74.158058913035177</v>
      </c>
      <c r="BA396" s="1">
        <v>75.718189192107175</v>
      </c>
      <c r="BB396" s="1">
        <v>73.955559365675626</v>
      </c>
      <c r="BC396" s="2">
        <v>8.9181565948742242E-2</v>
      </c>
      <c r="BD396" s="2">
        <v>0.10665277883445198</v>
      </c>
      <c r="BE396" s="2">
        <v>9.438849084854764E-2</v>
      </c>
      <c r="BF396" s="2">
        <v>7.149564986855049E-2</v>
      </c>
      <c r="BG396" s="2">
        <v>0.10368571810536763</v>
      </c>
      <c r="BH396" s="2">
        <v>8.4970330952544637E-2</v>
      </c>
      <c r="BI396" s="2">
        <v>8.4593878877262704E-2</v>
      </c>
      <c r="BJ396" s="2">
        <v>5.7447105462779965E-2</v>
      </c>
      <c r="BK396" s="2">
        <v>8.5153852345557474E-2</v>
      </c>
      <c r="BL396" s="2">
        <v>7.4158058913035174E-2</v>
      </c>
      <c r="BM396" s="2">
        <v>7.5718189192107169E-2</v>
      </c>
      <c r="BN396" s="2">
        <v>7.3955559365675619E-2</v>
      </c>
    </row>
    <row r="397" spans="1:66" x14ac:dyDescent="0.25">
      <c r="A397" s="8">
        <v>4595</v>
      </c>
      <c r="B397" s="8" t="s">
        <v>599</v>
      </c>
      <c r="C397" s="5">
        <v>0</v>
      </c>
      <c r="D397" s="5">
        <f>+$C397*BC397</f>
        <v>0</v>
      </c>
      <c r="E397" s="5">
        <f>+$C397*BD397</f>
        <v>0</v>
      </c>
      <c r="F397" s="5">
        <f>+$C397*BE397</f>
        <v>0</v>
      </c>
      <c r="G397" s="5">
        <f>+$C397*BF397</f>
        <v>0</v>
      </c>
      <c r="H397" s="5">
        <f>+$C397*BG397</f>
        <v>0</v>
      </c>
      <c r="I397" s="5">
        <f>+$C397*BH397</f>
        <v>0</v>
      </c>
      <c r="J397" s="5">
        <f>+$C397*BI397</f>
        <v>0</v>
      </c>
      <c r="K397" s="5">
        <f>+$C397*BJ397</f>
        <v>0</v>
      </c>
      <c r="L397" s="5">
        <f>+$C397*BK397</f>
        <v>0</v>
      </c>
      <c r="M397" s="5">
        <f>+$C397*BL397</f>
        <v>0</v>
      </c>
      <c r="N397" s="5">
        <f>+$C397*BM397</f>
        <v>0</v>
      </c>
      <c r="O397" s="5">
        <f>+$C397*BN397</f>
        <v>0</v>
      </c>
      <c r="P397" s="5">
        <v>0</v>
      </c>
      <c r="Q397" s="5">
        <f>+$P397*BC397</f>
        <v>0</v>
      </c>
      <c r="R397" s="5">
        <f>+$P397*BD397</f>
        <v>0</v>
      </c>
      <c r="S397" s="5">
        <f>+$P397*BE397</f>
        <v>0</v>
      </c>
      <c r="T397" s="5">
        <f>+$P397*BF397</f>
        <v>0</v>
      </c>
      <c r="U397" s="5">
        <f>+$P397*BG397</f>
        <v>0</v>
      </c>
      <c r="V397" s="5">
        <f>+$P397*BH397</f>
        <v>0</v>
      </c>
      <c r="W397" s="5">
        <f>+$P397*BI397</f>
        <v>0</v>
      </c>
      <c r="X397" s="5">
        <f>+$P397*BJ397</f>
        <v>0</v>
      </c>
      <c r="Y397" s="5">
        <f>+$P397*BK397</f>
        <v>0</v>
      </c>
      <c r="Z397" s="5">
        <f>+$P397*BL397</f>
        <v>0</v>
      </c>
      <c r="AA397" s="5">
        <f>+$P397*BM397</f>
        <v>0</v>
      </c>
      <c r="AB397" s="5">
        <f>+$P397*BN397</f>
        <v>0</v>
      </c>
      <c r="AC397" s="5">
        <v>0</v>
      </c>
      <c r="AD397" s="5">
        <f>+$AC397*BC397</f>
        <v>0</v>
      </c>
      <c r="AE397" s="5">
        <f>+$AC397*BD397</f>
        <v>0</v>
      </c>
      <c r="AF397" s="5">
        <f>+$AC397*BE397</f>
        <v>0</v>
      </c>
      <c r="AG397" s="5">
        <f>+$AC397*BF397</f>
        <v>0</v>
      </c>
      <c r="AH397" s="5">
        <f>+$AC397*BG397</f>
        <v>0</v>
      </c>
      <c r="AI397" s="5">
        <f>+$AC397*BH397</f>
        <v>0</v>
      </c>
      <c r="AJ397" s="5">
        <f>+$AC397*BI397</f>
        <v>0</v>
      </c>
      <c r="AK397" s="5">
        <f>+$AC397*BJ397</f>
        <v>0</v>
      </c>
      <c r="AL397" s="5">
        <f>+$AC397*BK397</f>
        <v>0</v>
      </c>
      <c r="AM397" s="5">
        <f>+$AC397*BL397</f>
        <v>0</v>
      </c>
      <c r="AN397" s="5">
        <f>+$AC397*BM397</f>
        <v>0</v>
      </c>
      <c r="AO397" s="5">
        <f>+$AC397*BN397</f>
        <v>0</v>
      </c>
      <c r="AP397" s="5">
        <f>+AC397+P397+C397</f>
        <v>0</v>
      </c>
      <c r="AQ397" s="1">
        <v>89.181565948742247</v>
      </c>
      <c r="AR397" s="1">
        <v>106.65277883445198</v>
      </c>
      <c r="AS397" s="1">
        <v>94.388490848547647</v>
      </c>
      <c r="AT397" s="1">
        <v>71.495649868550487</v>
      </c>
      <c r="AU397" s="1">
        <v>103.68571810536763</v>
      </c>
      <c r="AV397" s="1">
        <v>84.970330952544643</v>
      </c>
      <c r="AW397" s="1">
        <v>84.593878877262711</v>
      </c>
      <c r="AX397" s="1">
        <v>57.447105462779966</v>
      </c>
      <c r="AY397" s="1">
        <v>85.153852345557468</v>
      </c>
      <c r="AZ397" s="1">
        <v>74.158058913035177</v>
      </c>
      <c r="BA397" s="1">
        <v>75.718189192107175</v>
      </c>
      <c r="BB397" s="1">
        <v>73.955559365675626</v>
      </c>
      <c r="BC397" s="2">
        <v>8.9181565948742242E-2</v>
      </c>
      <c r="BD397" s="2">
        <v>0.10665277883445198</v>
      </c>
      <c r="BE397" s="2">
        <v>9.438849084854764E-2</v>
      </c>
      <c r="BF397" s="2">
        <v>7.149564986855049E-2</v>
      </c>
      <c r="BG397" s="2">
        <v>0.10368571810536763</v>
      </c>
      <c r="BH397" s="2">
        <v>8.4970330952544637E-2</v>
      </c>
      <c r="BI397" s="2">
        <v>8.4593878877262704E-2</v>
      </c>
      <c r="BJ397" s="2">
        <v>5.7447105462779965E-2</v>
      </c>
      <c r="BK397" s="2">
        <v>8.5153852345557474E-2</v>
      </c>
      <c r="BL397" s="2">
        <v>7.4158058913035174E-2</v>
      </c>
      <c r="BM397" s="2">
        <v>7.5718189192107169E-2</v>
      </c>
      <c r="BN397" s="2">
        <v>7.3955559365675619E-2</v>
      </c>
    </row>
    <row r="398" spans="1:66" x14ac:dyDescent="0.25">
      <c r="A398" s="8">
        <v>4824</v>
      </c>
      <c r="B398" s="8" t="s">
        <v>598</v>
      </c>
      <c r="C398" s="5">
        <v>0</v>
      </c>
      <c r="D398" s="5">
        <f>+$C398*BC398</f>
        <v>0</v>
      </c>
      <c r="E398" s="5">
        <f>+$C398*BD398</f>
        <v>0</v>
      </c>
      <c r="F398" s="5">
        <f>+$C398*BE398</f>
        <v>0</v>
      </c>
      <c r="G398" s="5">
        <f>+$C398*BF398</f>
        <v>0</v>
      </c>
      <c r="H398" s="5">
        <f>+$C398*BG398</f>
        <v>0</v>
      </c>
      <c r="I398" s="5">
        <f>+$C398*BH398</f>
        <v>0</v>
      </c>
      <c r="J398" s="5">
        <f>+$C398*BI398</f>
        <v>0</v>
      </c>
      <c r="K398" s="5">
        <f>+$C398*BJ398</f>
        <v>0</v>
      </c>
      <c r="L398" s="5">
        <f>+$C398*BK398</f>
        <v>0</v>
      </c>
      <c r="M398" s="5">
        <f>+$C398*BL398</f>
        <v>0</v>
      </c>
      <c r="N398" s="5">
        <f>+$C398*BM398</f>
        <v>0</v>
      </c>
      <c r="O398" s="5">
        <f>+$C398*BN398</f>
        <v>0</v>
      </c>
      <c r="P398" s="5">
        <v>0</v>
      </c>
      <c r="Q398" s="5">
        <f>+$P398*BC398</f>
        <v>0</v>
      </c>
      <c r="R398" s="5">
        <f>+$P398*BD398</f>
        <v>0</v>
      </c>
      <c r="S398" s="5">
        <f>+$P398*BE398</f>
        <v>0</v>
      </c>
      <c r="T398" s="5">
        <f>+$P398*BF398</f>
        <v>0</v>
      </c>
      <c r="U398" s="5">
        <f>+$P398*BG398</f>
        <v>0</v>
      </c>
      <c r="V398" s="5">
        <f>+$P398*BH398</f>
        <v>0</v>
      </c>
      <c r="W398" s="5">
        <f>+$P398*BI398</f>
        <v>0</v>
      </c>
      <c r="X398" s="5">
        <f>+$P398*BJ398</f>
        <v>0</v>
      </c>
      <c r="Y398" s="5">
        <f>+$P398*BK398</f>
        <v>0</v>
      </c>
      <c r="Z398" s="5">
        <f>+$P398*BL398</f>
        <v>0</v>
      </c>
      <c r="AA398" s="5">
        <f>+$P398*BM398</f>
        <v>0</v>
      </c>
      <c r="AB398" s="5">
        <f>+$P398*BN398</f>
        <v>0</v>
      </c>
      <c r="AC398" s="5">
        <v>0</v>
      </c>
      <c r="AD398" s="5">
        <f>+$AC398*BC398</f>
        <v>0</v>
      </c>
      <c r="AE398" s="5">
        <f>+$AC398*BD398</f>
        <v>0</v>
      </c>
      <c r="AF398" s="5">
        <f>+$AC398*BE398</f>
        <v>0</v>
      </c>
      <c r="AG398" s="5">
        <f>+$AC398*BF398</f>
        <v>0</v>
      </c>
      <c r="AH398" s="5">
        <f>+$AC398*BG398</f>
        <v>0</v>
      </c>
      <c r="AI398" s="5">
        <f>+$AC398*BH398</f>
        <v>0</v>
      </c>
      <c r="AJ398" s="5">
        <f>+$AC398*BI398</f>
        <v>0</v>
      </c>
      <c r="AK398" s="5">
        <f>+$AC398*BJ398</f>
        <v>0</v>
      </c>
      <c r="AL398" s="5">
        <f>+$AC398*BK398</f>
        <v>0</v>
      </c>
      <c r="AM398" s="5">
        <f>+$AC398*BL398</f>
        <v>0</v>
      </c>
      <c r="AN398" s="5">
        <f>+$AC398*BM398</f>
        <v>0</v>
      </c>
      <c r="AO398" s="5">
        <f>+$AC398*BN398</f>
        <v>0</v>
      </c>
      <c r="AP398" s="5">
        <f>+AC398+P398+C398</f>
        <v>0</v>
      </c>
      <c r="AQ398" s="1">
        <v>89.181565948742247</v>
      </c>
      <c r="AR398" s="1">
        <v>106.65277883445198</v>
      </c>
      <c r="AS398" s="1">
        <v>94.388490848547647</v>
      </c>
      <c r="AT398" s="1">
        <v>71.495649868550487</v>
      </c>
      <c r="AU398" s="1">
        <v>103.68571810536763</v>
      </c>
      <c r="AV398" s="1">
        <v>84.970330952544643</v>
      </c>
      <c r="AW398" s="1">
        <v>84.593878877262711</v>
      </c>
      <c r="AX398" s="1">
        <v>57.447105462779966</v>
      </c>
      <c r="AY398" s="1">
        <v>85.153852345557468</v>
      </c>
      <c r="AZ398" s="1">
        <v>74.158058913035177</v>
      </c>
      <c r="BA398" s="1">
        <v>75.718189192107175</v>
      </c>
      <c r="BB398" s="1">
        <v>73.955559365675626</v>
      </c>
      <c r="BC398" s="2">
        <v>8.9181565948742242E-2</v>
      </c>
      <c r="BD398" s="2">
        <v>0.10665277883445198</v>
      </c>
      <c r="BE398" s="2">
        <v>9.438849084854764E-2</v>
      </c>
      <c r="BF398" s="2">
        <v>7.149564986855049E-2</v>
      </c>
      <c r="BG398" s="2">
        <v>0.10368571810536763</v>
      </c>
      <c r="BH398" s="2">
        <v>8.4970330952544637E-2</v>
      </c>
      <c r="BI398" s="2">
        <v>8.4593878877262704E-2</v>
      </c>
      <c r="BJ398" s="2">
        <v>5.7447105462779965E-2</v>
      </c>
      <c r="BK398" s="2">
        <v>8.5153852345557474E-2</v>
      </c>
      <c r="BL398" s="2">
        <v>7.4158058913035174E-2</v>
      </c>
      <c r="BM398" s="2">
        <v>7.5718189192107169E-2</v>
      </c>
      <c r="BN398" s="2">
        <v>7.3955559365675619E-2</v>
      </c>
    </row>
    <row r="399" spans="1:66" x14ac:dyDescent="0.25">
      <c r="A399" s="8">
        <v>5324</v>
      </c>
      <c r="B399" s="8" t="s">
        <v>597</v>
      </c>
      <c r="C399" s="5">
        <v>1000</v>
      </c>
      <c r="D399" s="5">
        <f>+$C399*BC399</f>
        <v>89.181565948742247</v>
      </c>
      <c r="E399" s="5">
        <f>+$C399*BD399</f>
        <v>106.65277883445198</v>
      </c>
      <c r="F399" s="5">
        <f>+$C399*BE399</f>
        <v>94.388490848547647</v>
      </c>
      <c r="G399" s="5">
        <f>+$C399*BF399</f>
        <v>71.495649868550487</v>
      </c>
      <c r="H399" s="5">
        <f>+$C399*BG399</f>
        <v>103.68571810536763</v>
      </c>
      <c r="I399" s="5">
        <f>+$C399*BH399</f>
        <v>84.970330952544643</v>
      </c>
      <c r="J399" s="5">
        <f>+$C399*BI399</f>
        <v>84.593878877262711</v>
      </c>
      <c r="K399" s="5">
        <f>+$C399*BJ399</f>
        <v>57.447105462779966</v>
      </c>
      <c r="L399" s="5">
        <f>+$C399*BK399</f>
        <v>85.153852345557468</v>
      </c>
      <c r="M399" s="5">
        <f>+$C399*BL399</f>
        <v>74.158058913035177</v>
      </c>
      <c r="N399" s="5">
        <f>+$C399*BM399</f>
        <v>75.718189192107175</v>
      </c>
      <c r="O399" s="5">
        <f>+$C399*BN399</f>
        <v>73.955559365675626</v>
      </c>
      <c r="P399" s="5">
        <v>0</v>
      </c>
      <c r="Q399" s="5">
        <f>+$P399*BC399</f>
        <v>0</v>
      </c>
      <c r="R399" s="5">
        <f>+$P399*BD399</f>
        <v>0</v>
      </c>
      <c r="S399" s="5">
        <f>+$P399*BE399</f>
        <v>0</v>
      </c>
      <c r="T399" s="5">
        <f>+$P399*BF399</f>
        <v>0</v>
      </c>
      <c r="U399" s="5">
        <f>+$P399*BG399</f>
        <v>0</v>
      </c>
      <c r="V399" s="5">
        <f>+$P399*BH399</f>
        <v>0</v>
      </c>
      <c r="W399" s="5">
        <f>+$P399*BI399</f>
        <v>0</v>
      </c>
      <c r="X399" s="5">
        <f>+$P399*BJ399</f>
        <v>0</v>
      </c>
      <c r="Y399" s="5">
        <f>+$P399*BK399</f>
        <v>0</v>
      </c>
      <c r="Z399" s="5">
        <f>+$P399*BL399</f>
        <v>0</v>
      </c>
      <c r="AA399" s="5">
        <f>+$P399*BM399</f>
        <v>0</v>
      </c>
      <c r="AB399" s="5">
        <f>+$P399*BN399</f>
        <v>0</v>
      </c>
      <c r="AC399" s="5">
        <v>0</v>
      </c>
      <c r="AD399" s="5">
        <f>+$AC399*BC399</f>
        <v>0</v>
      </c>
      <c r="AE399" s="5">
        <f>+$AC399*BD399</f>
        <v>0</v>
      </c>
      <c r="AF399" s="5">
        <f>+$AC399*BE399</f>
        <v>0</v>
      </c>
      <c r="AG399" s="5">
        <f>+$AC399*BF399</f>
        <v>0</v>
      </c>
      <c r="AH399" s="5">
        <f>+$AC399*BG399</f>
        <v>0</v>
      </c>
      <c r="AI399" s="5">
        <f>+$AC399*BH399</f>
        <v>0</v>
      </c>
      <c r="AJ399" s="5">
        <f>+$AC399*BI399</f>
        <v>0</v>
      </c>
      <c r="AK399" s="5">
        <f>+$AC399*BJ399</f>
        <v>0</v>
      </c>
      <c r="AL399" s="5">
        <f>+$AC399*BK399</f>
        <v>0</v>
      </c>
      <c r="AM399" s="5">
        <f>+$AC399*BL399</f>
        <v>0</v>
      </c>
      <c r="AN399" s="5">
        <f>+$AC399*BM399</f>
        <v>0</v>
      </c>
      <c r="AO399" s="5">
        <f>+$AC399*BN399</f>
        <v>0</v>
      </c>
      <c r="AP399" s="5">
        <f>+AC399+P399+C399</f>
        <v>1000</v>
      </c>
      <c r="AQ399" s="1">
        <v>89.181565948742247</v>
      </c>
      <c r="AR399" s="1">
        <v>106.65277883445198</v>
      </c>
      <c r="AS399" s="1">
        <v>94.388490848547647</v>
      </c>
      <c r="AT399" s="1">
        <v>71.495649868550487</v>
      </c>
      <c r="AU399" s="1">
        <v>103.68571810536763</v>
      </c>
      <c r="AV399" s="1">
        <v>84.970330952544643</v>
      </c>
      <c r="AW399" s="1">
        <v>84.593878877262711</v>
      </c>
      <c r="AX399" s="1">
        <v>57.447105462779966</v>
      </c>
      <c r="AY399" s="1">
        <v>85.153852345557468</v>
      </c>
      <c r="AZ399" s="1">
        <v>74.158058913035177</v>
      </c>
      <c r="BA399" s="1">
        <v>75.718189192107175</v>
      </c>
      <c r="BB399" s="1">
        <v>73.955559365675626</v>
      </c>
      <c r="BC399" s="2">
        <v>8.9181565948742242E-2</v>
      </c>
      <c r="BD399" s="2">
        <v>0.10665277883445198</v>
      </c>
      <c r="BE399" s="2">
        <v>9.438849084854764E-2</v>
      </c>
      <c r="BF399" s="2">
        <v>7.149564986855049E-2</v>
      </c>
      <c r="BG399" s="2">
        <v>0.10368571810536763</v>
      </c>
      <c r="BH399" s="2">
        <v>8.4970330952544637E-2</v>
      </c>
      <c r="BI399" s="2">
        <v>8.4593878877262704E-2</v>
      </c>
      <c r="BJ399" s="2">
        <v>5.7447105462779965E-2</v>
      </c>
      <c r="BK399" s="2">
        <v>8.5153852345557474E-2</v>
      </c>
      <c r="BL399" s="2">
        <v>7.4158058913035174E-2</v>
      </c>
      <c r="BM399" s="2">
        <v>7.5718189192107169E-2</v>
      </c>
      <c r="BN399" s="2">
        <v>7.3955559365675619E-2</v>
      </c>
    </row>
    <row r="400" spans="1:66" x14ac:dyDescent="0.25">
      <c r="A400" s="8">
        <v>5439</v>
      </c>
      <c r="B400" s="8" t="s">
        <v>596</v>
      </c>
      <c r="C400" s="5">
        <v>0</v>
      </c>
      <c r="D400" s="5">
        <f>+$C400*BC400</f>
        <v>0</v>
      </c>
      <c r="E400" s="5">
        <f>+$C400*BD400</f>
        <v>0</v>
      </c>
      <c r="F400" s="5">
        <f>+$C400*BE400</f>
        <v>0</v>
      </c>
      <c r="G400" s="5">
        <f>+$C400*BF400</f>
        <v>0</v>
      </c>
      <c r="H400" s="5">
        <f>+$C400*BG400</f>
        <v>0</v>
      </c>
      <c r="I400" s="5">
        <f>+$C400*BH400</f>
        <v>0</v>
      </c>
      <c r="J400" s="5">
        <f>+$C400*BI400</f>
        <v>0</v>
      </c>
      <c r="K400" s="5">
        <f>+$C400*BJ400</f>
        <v>0</v>
      </c>
      <c r="L400" s="5">
        <f>+$C400*BK400</f>
        <v>0</v>
      </c>
      <c r="M400" s="5">
        <f>+$C400*BL400</f>
        <v>0</v>
      </c>
      <c r="N400" s="5">
        <f>+$C400*BM400</f>
        <v>0</v>
      </c>
      <c r="O400" s="5">
        <f>+$C400*BN400</f>
        <v>0</v>
      </c>
      <c r="P400" s="5">
        <v>0</v>
      </c>
      <c r="Q400" s="5">
        <f>+$P400*BC400</f>
        <v>0</v>
      </c>
      <c r="R400" s="5">
        <f>+$P400*BD400</f>
        <v>0</v>
      </c>
      <c r="S400" s="5">
        <f>+$P400*BE400</f>
        <v>0</v>
      </c>
      <c r="T400" s="5">
        <f>+$P400*BF400</f>
        <v>0</v>
      </c>
      <c r="U400" s="5">
        <f>+$P400*BG400</f>
        <v>0</v>
      </c>
      <c r="V400" s="5">
        <f>+$P400*BH400</f>
        <v>0</v>
      </c>
      <c r="W400" s="5">
        <f>+$P400*BI400</f>
        <v>0</v>
      </c>
      <c r="X400" s="5">
        <f>+$P400*BJ400</f>
        <v>0</v>
      </c>
      <c r="Y400" s="5">
        <f>+$P400*BK400</f>
        <v>0</v>
      </c>
      <c r="Z400" s="5">
        <f>+$P400*BL400</f>
        <v>0</v>
      </c>
      <c r="AA400" s="5">
        <f>+$P400*BM400</f>
        <v>0</v>
      </c>
      <c r="AB400" s="5">
        <f>+$P400*BN400</f>
        <v>0</v>
      </c>
      <c r="AC400" s="5">
        <v>0</v>
      </c>
      <c r="AD400" s="5">
        <f>+$AC400*BC400</f>
        <v>0</v>
      </c>
      <c r="AE400" s="5">
        <f>+$AC400*BD400</f>
        <v>0</v>
      </c>
      <c r="AF400" s="5">
        <f>+$AC400*BE400</f>
        <v>0</v>
      </c>
      <c r="AG400" s="5">
        <f>+$AC400*BF400</f>
        <v>0</v>
      </c>
      <c r="AH400" s="5">
        <f>+$AC400*BG400</f>
        <v>0</v>
      </c>
      <c r="AI400" s="5">
        <f>+$AC400*BH400</f>
        <v>0</v>
      </c>
      <c r="AJ400" s="5">
        <f>+$AC400*BI400</f>
        <v>0</v>
      </c>
      <c r="AK400" s="5">
        <f>+$AC400*BJ400</f>
        <v>0</v>
      </c>
      <c r="AL400" s="5">
        <f>+$AC400*BK400</f>
        <v>0</v>
      </c>
      <c r="AM400" s="5">
        <f>+$AC400*BL400</f>
        <v>0</v>
      </c>
      <c r="AN400" s="5">
        <f>+$AC400*BM400</f>
        <v>0</v>
      </c>
      <c r="AO400" s="5">
        <f>+$AC400*BN400</f>
        <v>0</v>
      </c>
      <c r="AP400" s="5">
        <f>+AC400+P400+C400</f>
        <v>0</v>
      </c>
      <c r="AQ400" s="1">
        <v>89.181565948742247</v>
      </c>
      <c r="AR400" s="1">
        <v>106.65277883445198</v>
      </c>
      <c r="AS400" s="1">
        <v>94.388490848547647</v>
      </c>
      <c r="AT400" s="1">
        <v>71.495649868550487</v>
      </c>
      <c r="AU400" s="1">
        <v>103.68571810536763</v>
      </c>
      <c r="AV400" s="1">
        <v>84.970330952544643</v>
      </c>
      <c r="AW400" s="1">
        <v>84.593878877262711</v>
      </c>
      <c r="AX400" s="1">
        <v>57.447105462779966</v>
      </c>
      <c r="AY400" s="1">
        <v>85.153852345557468</v>
      </c>
      <c r="AZ400" s="1">
        <v>74.158058913035177</v>
      </c>
      <c r="BA400" s="1">
        <v>75.718189192107175</v>
      </c>
      <c r="BB400" s="1">
        <v>73.955559365675626</v>
      </c>
      <c r="BC400" s="2">
        <v>8.9181565948742242E-2</v>
      </c>
      <c r="BD400" s="2">
        <v>0.10665277883445198</v>
      </c>
      <c r="BE400" s="2">
        <v>9.438849084854764E-2</v>
      </c>
      <c r="BF400" s="2">
        <v>7.149564986855049E-2</v>
      </c>
      <c r="BG400" s="2">
        <v>0.10368571810536763</v>
      </c>
      <c r="BH400" s="2">
        <v>8.4970330952544637E-2</v>
      </c>
      <c r="BI400" s="2">
        <v>8.4593878877262704E-2</v>
      </c>
      <c r="BJ400" s="2">
        <v>5.7447105462779965E-2</v>
      </c>
      <c r="BK400" s="2">
        <v>8.5153852345557474E-2</v>
      </c>
      <c r="BL400" s="2">
        <v>7.4158058913035174E-2</v>
      </c>
      <c r="BM400" s="2">
        <v>7.5718189192107169E-2</v>
      </c>
      <c r="BN400" s="2">
        <v>7.3955559365675619E-2</v>
      </c>
    </row>
    <row r="401" spans="1:66" x14ac:dyDescent="0.25">
      <c r="A401" s="8">
        <v>6514</v>
      </c>
      <c r="B401" s="8" t="s">
        <v>595</v>
      </c>
      <c r="C401" s="5">
        <v>0</v>
      </c>
      <c r="D401" s="5">
        <f>+$C401*BC401</f>
        <v>0</v>
      </c>
      <c r="E401" s="5">
        <f>+$C401*BD401</f>
        <v>0</v>
      </c>
      <c r="F401" s="5">
        <f>+$C401*BE401</f>
        <v>0</v>
      </c>
      <c r="G401" s="5">
        <f>+$C401*BF401</f>
        <v>0</v>
      </c>
      <c r="H401" s="5">
        <f>+$C401*BG401</f>
        <v>0</v>
      </c>
      <c r="I401" s="5">
        <f>+$C401*BH401</f>
        <v>0</v>
      </c>
      <c r="J401" s="5">
        <f>+$C401*BI401</f>
        <v>0</v>
      </c>
      <c r="K401" s="5">
        <f>+$C401*BJ401</f>
        <v>0</v>
      </c>
      <c r="L401" s="5">
        <f>+$C401*BK401</f>
        <v>0</v>
      </c>
      <c r="M401" s="5">
        <f>+$C401*BL401</f>
        <v>0</v>
      </c>
      <c r="N401" s="5">
        <f>+$C401*BM401</f>
        <v>0</v>
      </c>
      <c r="O401" s="5">
        <f>+$C401*BN401</f>
        <v>0</v>
      </c>
      <c r="P401" s="5">
        <v>0</v>
      </c>
      <c r="Q401" s="5">
        <f>+$P401*BC401</f>
        <v>0</v>
      </c>
      <c r="R401" s="5">
        <f>+$P401*BD401</f>
        <v>0</v>
      </c>
      <c r="S401" s="5">
        <f>+$P401*BE401</f>
        <v>0</v>
      </c>
      <c r="T401" s="5">
        <f>+$P401*BF401</f>
        <v>0</v>
      </c>
      <c r="U401" s="5">
        <f>+$P401*BG401</f>
        <v>0</v>
      </c>
      <c r="V401" s="5">
        <f>+$P401*BH401</f>
        <v>0</v>
      </c>
      <c r="W401" s="5">
        <f>+$P401*BI401</f>
        <v>0</v>
      </c>
      <c r="X401" s="5">
        <f>+$P401*BJ401</f>
        <v>0</v>
      </c>
      <c r="Y401" s="5">
        <f>+$P401*BK401</f>
        <v>0</v>
      </c>
      <c r="Z401" s="5">
        <f>+$P401*BL401</f>
        <v>0</v>
      </c>
      <c r="AA401" s="5">
        <f>+$P401*BM401</f>
        <v>0</v>
      </c>
      <c r="AB401" s="5">
        <f>+$P401*BN401</f>
        <v>0</v>
      </c>
      <c r="AC401" s="5">
        <v>0</v>
      </c>
      <c r="AD401" s="5">
        <f>+$AC401*BC401</f>
        <v>0</v>
      </c>
      <c r="AE401" s="5">
        <f>+$AC401*BD401</f>
        <v>0</v>
      </c>
      <c r="AF401" s="5">
        <f>+$AC401*BE401</f>
        <v>0</v>
      </c>
      <c r="AG401" s="5">
        <f>+$AC401*BF401</f>
        <v>0</v>
      </c>
      <c r="AH401" s="5">
        <f>+$AC401*BG401</f>
        <v>0</v>
      </c>
      <c r="AI401" s="5">
        <f>+$AC401*BH401</f>
        <v>0</v>
      </c>
      <c r="AJ401" s="5">
        <f>+$AC401*BI401</f>
        <v>0</v>
      </c>
      <c r="AK401" s="5">
        <f>+$AC401*BJ401</f>
        <v>0</v>
      </c>
      <c r="AL401" s="5">
        <f>+$AC401*BK401</f>
        <v>0</v>
      </c>
      <c r="AM401" s="5">
        <f>+$AC401*BL401</f>
        <v>0</v>
      </c>
      <c r="AN401" s="5">
        <f>+$AC401*BM401</f>
        <v>0</v>
      </c>
      <c r="AO401" s="5">
        <f>+$AC401*BN401</f>
        <v>0</v>
      </c>
      <c r="AP401" s="5">
        <f>+AC401+P401+C401</f>
        <v>0</v>
      </c>
      <c r="AQ401" s="1">
        <v>89.181565948742247</v>
      </c>
      <c r="AR401" s="1">
        <v>106.65277883445198</v>
      </c>
      <c r="AS401" s="1">
        <v>94.388490848547647</v>
      </c>
      <c r="AT401" s="1">
        <v>71.495649868550487</v>
      </c>
      <c r="AU401" s="1">
        <v>103.68571810536763</v>
      </c>
      <c r="AV401" s="1">
        <v>84.970330952544643</v>
      </c>
      <c r="AW401" s="1">
        <v>84.593878877262711</v>
      </c>
      <c r="AX401" s="1">
        <v>57.447105462779966</v>
      </c>
      <c r="AY401" s="1">
        <v>85.153852345557468</v>
      </c>
      <c r="AZ401" s="1">
        <v>74.158058913035177</v>
      </c>
      <c r="BA401" s="1">
        <v>75.718189192107175</v>
      </c>
      <c r="BB401" s="1">
        <v>73.955559365675626</v>
      </c>
      <c r="BC401" s="2">
        <v>8.9181565948742242E-2</v>
      </c>
      <c r="BD401" s="2">
        <v>0.10665277883445198</v>
      </c>
      <c r="BE401" s="2">
        <v>9.438849084854764E-2</v>
      </c>
      <c r="BF401" s="2">
        <v>7.149564986855049E-2</v>
      </c>
      <c r="BG401" s="2">
        <v>0.10368571810536763</v>
      </c>
      <c r="BH401" s="2">
        <v>8.4970330952544637E-2</v>
      </c>
      <c r="BI401" s="2">
        <v>8.4593878877262704E-2</v>
      </c>
      <c r="BJ401" s="2">
        <v>5.7447105462779965E-2</v>
      </c>
      <c r="BK401" s="2">
        <v>8.5153852345557474E-2</v>
      </c>
      <c r="BL401" s="2">
        <v>7.4158058913035174E-2</v>
      </c>
      <c r="BM401" s="2">
        <v>7.5718189192107169E-2</v>
      </c>
      <c r="BN401" s="2">
        <v>7.3955559365675619E-2</v>
      </c>
    </row>
    <row r="402" spans="1:66" x14ac:dyDescent="0.25">
      <c r="A402" s="8">
        <v>6556</v>
      </c>
      <c r="B402" s="8" t="s">
        <v>594</v>
      </c>
      <c r="C402" s="5">
        <v>0</v>
      </c>
      <c r="D402" s="5">
        <f>+$C402*BC402</f>
        <v>0</v>
      </c>
      <c r="E402" s="5">
        <f>+$C402*BD402</f>
        <v>0</v>
      </c>
      <c r="F402" s="5">
        <f>+$C402*BE402</f>
        <v>0</v>
      </c>
      <c r="G402" s="5">
        <f>+$C402*BF402</f>
        <v>0</v>
      </c>
      <c r="H402" s="5">
        <f>+$C402*BG402</f>
        <v>0</v>
      </c>
      <c r="I402" s="5">
        <f>+$C402*BH402</f>
        <v>0</v>
      </c>
      <c r="J402" s="5">
        <f>+$C402*BI402</f>
        <v>0</v>
      </c>
      <c r="K402" s="5">
        <f>+$C402*BJ402</f>
        <v>0</v>
      </c>
      <c r="L402" s="5">
        <f>+$C402*BK402</f>
        <v>0</v>
      </c>
      <c r="M402" s="5">
        <f>+$C402*BL402</f>
        <v>0</v>
      </c>
      <c r="N402" s="5">
        <f>+$C402*BM402</f>
        <v>0</v>
      </c>
      <c r="O402" s="5">
        <f>+$C402*BN402</f>
        <v>0</v>
      </c>
      <c r="P402" s="5">
        <v>0</v>
      </c>
      <c r="Q402" s="5">
        <f>+$P402*BC402</f>
        <v>0</v>
      </c>
      <c r="R402" s="5">
        <f>+$P402*BD402</f>
        <v>0</v>
      </c>
      <c r="S402" s="5">
        <f>+$P402*BE402</f>
        <v>0</v>
      </c>
      <c r="T402" s="5">
        <f>+$P402*BF402</f>
        <v>0</v>
      </c>
      <c r="U402" s="5">
        <f>+$P402*BG402</f>
        <v>0</v>
      </c>
      <c r="V402" s="5">
        <f>+$P402*BH402</f>
        <v>0</v>
      </c>
      <c r="W402" s="5">
        <f>+$P402*BI402</f>
        <v>0</v>
      </c>
      <c r="X402" s="5">
        <f>+$P402*BJ402</f>
        <v>0</v>
      </c>
      <c r="Y402" s="5">
        <f>+$P402*BK402</f>
        <v>0</v>
      </c>
      <c r="Z402" s="5">
        <f>+$P402*BL402</f>
        <v>0</v>
      </c>
      <c r="AA402" s="5">
        <f>+$P402*BM402</f>
        <v>0</v>
      </c>
      <c r="AB402" s="5">
        <f>+$P402*BN402</f>
        <v>0</v>
      </c>
      <c r="AC402" s="5">
        <v>0</v>
      </c>
      <c r="AD402" s="5">
        <f>+$AC402*BC402</f>
        <v>0</v>
      </c>
      <c r="AE402" s="5">
        <f>+$AC402*BD402</f>
        <v>0</v>
      </c>
      <c r="AF402" s="5">
        <f>+$AC402*BE402</f>
        <v>0</v>
      </c>
      <c r="AG402" s="5">
        <f>+$AC402*BF402</f>
        <v>0</v>
      </c>
      <c r="AH402" s="5">
        <f>+$AC402*BG402</f>
        <v>0</v>
      </c>
      <c r="AI402" s="5">
        <f>+$AC402*BH402</f>
        <v>0</v>
      </c>
      <c r="AJ402" s="5">
        <f>+$AC402*BI402</f>
        <v>0</v>
      </c>
      <c r="AK402" s="5">
        <f>+$AC402*BJ402</f>
        <v>0</v>
      </c>
      <c r="AL402" s="5">
        <f>+$AC402*BK402</f>
        <v>0</v>
      </c>
      <c r="AM402" s="5">
        <f>+$AC402*BL402</f>
        <v>0</v>
      </c>
      <c r="AN402" s="5">
        <f>+$AC402*BM402</f>
        <v>0</v>
      </c>
      <c r="AO402" s="5">
        <f>+$AC402*BN402</f>
        <v>0</v>
      </c>
      <c r="AP402" s="5">
        <f>+AC402+P402+C402</f>
        <v>0</v>
      </c>
      <c r="AQ402" s="1">
        <v>89.181565948742247</v>
      </c>
      <c r="AR402" s="1">
        <v>106.65277883445198</v>
      </c>
      <c r="AS402" s="1">
        <v>94.388490848547647</v>
      </c>
      <c r="AT402" s="1">
        <v>71.495649868550487</v>
      </c>
      <c r="AU402" s="1">
        <v>103.68571810536763</v>
      </c>
      <c r="AV402" s="1">
        <v>84.970330952544643</v>
      </c>
      <c r="AW402" s="1">
        <v>84.593878877262711</v>
      </c>
      <c r="AX402" s="1">
        <v>57.447105462779966</v>
      </c>
      <c r="AY402" s="1">
        <v>85.153852345557468</v>
      </c>
      <c r="AZ402" s="1">
        <v>74.158058913035177</v>
      </c>
      <c r="BA402" s="1">
        <v>75.718189192107175</v>
      </c>
      <c r="BB402" s="1">
        <v>73.955559365675626</v>
      </c>
      <c r="BC402" s="2">
        <v>8.9181565948742242E-2</v>
      </c>
      <c r="BD402" s="2">
        <v>0.10665277883445198</v>
      </c>
      <c r="BE402" s="2">
        <v>9.438849084854764E-2</v>
      </c>
      <c r="BF402" s="2">
        <v>7.149564986855049E-2</v>
      </c>
      <c r="BG402" s="2">
        <v>0.10368571810536763</v>
      </c>
      <c r="BH402" s="2">
        <v>8.4970330952544637E-2</v>
      </c>
      <c r="BI402" s="2">
        <v>8.4593878877262704E-2</v>
      </c>
      <c r="BJ402" s="2">
        <v>5.7447105462779965E-2</v>
      </c>
      <c r="BK402" s="2">
        <v>8.5153852345557474E-2</v>
      </c>
      <c r="BL402" s="2">
        <v>7.4158058913035174E-2</v>
      </c>
      <c r="BM402" s="2">
        <v>7.5718189192107169E-2</v>
      </c>
      <c r="BN402" s="2">
        <v>7.3955559365675619E-2</v>
      </c>
    </row>
    <row r="403" spans="1:66" x14ac:dyDescent="0.25">
      <c r="A403" s="8">
        <v>6661</v>
      </c>
      <c r="B403" s="8" t="s">
        <v>593</v>
      </c>
      <c r="C403" s="5">
        <v>0</v>
      </c>
      <c r="D403" s="5">
        <f>+$C403*BC403</f>
        <v>0</v>
      </c>
      <c r="E403" s="5">
        <f>+$C403*BD403</f>
        <v>0</v>
      </c>
      <c r="F403" s="5">
        <f>+$C403*BE403</f>
        <v>0</v>
      </c>
      <c r="G403" s="5">
        <f>+$C403*BF403</f>
        <v>0</v>
      </c>
      <c r="H403" s="5">
        <f>+$C403*BG403</f>
        <v>0</v>
      </c>
      <c r="I403" s="5">
        <f>+$C403*BH403</f>
        <v>0</v>
      </c>
      <c r="J403" s="5">
        <f>+$C403*BI403</f>
        <v>0</v>
      </c>
      <c r="K403" s="5">
        <f>+$C403*BJ403</f>
        <v>0</v>
      </c>
      <c r="L403" s="5">
        <f>+$C403*BK403</f>
        <v>0</v>
      </c>
      <c r="M403" s="5">
        <f>+$C403*BL403</f>
        <v>0</v>
      </c>
      <c r="N403" s="5">
        <f>+$C403*BM403</f>
        <v>0</v>
      </c>
      <c r="O403" s="5">
        <f>+$C403*BN403</f>
        <v>0</v>
      </c>
      <c r="P403" s="5">
        <v>0</v>
      </c>
      <c r="Q403" s="5">
        <f>+$P403*BC403</f>
        <v>0</v>
      </c>
      <c r="R403" s="5">
        <f>+$P403*BD403</f>
        <v>0</v>
      </c>
      <c r="S403" s="5">
        <f>+$P403*BE403</f>
        <v>0</v>
      </c>
      <c r="T403" s="5">
        <f>+$P403*BF403</f>
        <v>0</v>
      </c>
      <c r="U403" s="5">
        <f>+$P403*BG403</f>
        <v>0</v>
      </c>
      <c r="V403" s="5">
        <f>+$P403*BH403</f>
        <v>0</v>
      </c>
      <c r="W403" s="5">
        <f>+$P403*BI403</f>
        <v>0</v>
      </c>
      <c r="X403" s="5">
        <f>+$P403*BJ403</f>
        <v>0</v>
      </c>
      <c r="Y403" s="5">
        <f>+$P403*BK403</f>
        <v>0</v>
      </c>
      <c r="Z403" s="5">
        <f>+$P403*BL403</f>
        <v>0</v>
      </c>
      <c r="AA403" s="5">
        <f>+$P403*BM403</f>
        <v>0</v>
      </c>
      <c r="AB403" s="5">
        <f>+$P403*BN403</f>
        <v>0</v>
      </c>
      <c r="AC403" s="5">
        <v>1000</v>
      </c>
      <c r="AD403" s="5">
        <f>+$AC403*BC403</f>
        <v>89.181565948742247</v>
      </c>
      <c r="AE403" s="5">
        <f>+$AC403*BD403</f>
        <v>106.65277883445198</v>
      </c>
      <c r="AF403" s="5">
        <f>+$AC403*BE403</f>
        <v>94.388490848547647</v>
      </c>
      <c r="AG403" s="5">
        <f>+$AC403*BF403</f>
        <v>71.495649868550487</v>
      </c>
      <c r="AH403" s="5">
        <f>+$AC403*BG403</f>
        <v>103.68571810536763</v>
      </c>
      <c r="AI403" s="5">
        <f>+$AC403*BH403</f>
        <v>84.970330952544643</v>
      </c>
      <c r="AJ403" s="5">
        <f>+$AC403*BI403</f>
        <v>84.593878877262711</v>
      </c>
      <c r="AK403" s="5">
        <f>+$AC403*BJ403</f>
        <v>57.447105462779966</v>
      </c>
      <c r="AL403" s="5">
        <f>+$AC403*BK403</f>
        <v>85.153852345557468</v>
      </c>
      <c r="AM403" s="5">
        <f>+$AC403*BL403</f>
        <v>74.158058913035177</v>
      </c>
      <c r="AN403" s="5">
        <f>+$AC403*BM403</f>
        <v>75.718189192107175</v>
      </c>
      <c r="AO403" s="5">
        <f>+$AC403*BN403</f>
        <v>73.955559365675626</v>
      </c>
      <c r="AP403" s="5">
        <f>+AC403+P403+C403</f>
        <v>1000</v>
      </c>
      <c r="AQ403" s="1">
        <v>89.181565948742247</v>
      </c>
      <c r="AR403" s="1">
        <v>106.65277883445198</v>
      </c>
      <c r="AS403" s="1">
        <v>94.388490848547647</v>
      </c>
      <c r="AT403" s="1">
        <v>71.495649868550487</v>
      </c>
      <c r="AU403" s="1">
        <v>103.68571810536763</v>
      </c>
      <c r="AV403" s="1">
        <v>84.970330952544643</v>
      </c>
      <c r="AW403" s="1">
        <v>84.593878877262711</v>
      </c>
      <c r="AX403" s="1">
        <v>57.447105462779966</v>
      </c>
      <c r="AY403" s="1">
        <v>85.153852345557468</v>
      </c>
      <c r="AZ403" s="1">
        <v>74.158058913035177</v>
      </c>
      <c r="BA403" s="1">
        <v>75.718189192107175</v>
      </c>
      <c r="BB403" s="1">
        <v>73.955559365675626</v>
      </c>
      <c r="BC403" s="2">
        <v>8.9181565948742242E-2</v>
      </c>
      <c r="BD403" s="2">
        <v>0.10665277883445198</v>
      </c>
      <c r="BE403" s="2">
        <v>9.438849084854764E-2</v>
      </c>
      <c r="BF403" s="2">
        <v>7.149564986855049E-2</v>
      </c>
      <c r="BG403" s="2">
        <v>0.10368571810536763</v>
      </c>
      <c r="BH403" s="2">
        <v>8.4970330952544637E-2</v>
      </c>
      <c r="BI403" s="2">
        <v>8.4593878877262704E-2</v>
      </c>
      <c r="BJ403" s="2">
        <v>5.7447105462779965E-2</v>
      </c>
      <c r="BK403" s="2">
        <v>8.5153852345557474E-2</v>
      </c>
      <c r="BL403" s="2">
        <v>7.4158058913035174E-2</v>
      </c>
      <c r="BM403" s="2">
        <v>7.5718189192107169E-2</v>
      </c>
      <c r="BN403" s="2">
        <v>7.3955559365675619E-2</v>
      </c>
    </row>
    <row r="404" spans="1:66" x14ac:dyDescent="0.25">
      <c r="A404" s="8">
        <v>6688</v>
      </c>
      <c r="B404" s="8" t="s">
        <v>592</v>
      </c>
      <c r="C404" s="5">
        <v>0</v>
      </c>
      <c r="D404" s="5">
        <f>+$C404*BC404</f>
        <v>0</v>
      </c>
      <c r="E404" s="5">
        <f>+$C404*BD404</f>
        <v>0</v>
      </c>
      <c r="F404" s="5">
        <f>+$C404*BE404</f>
        <v>0</v>
      </c>
      <c r="G404" s="5">
        <f>+$C404*BF404</f>
        <v>0</v>
      </c>
      <c r="H404" s="5">
        <f>+$C404*BG404</f>
        <v>0</v>
      </c>
      <c r="I404" s="5">
        <f>+$C404*BH404</f>
        <v>0</v>
      </c>
      <c r="J404" s="5">
        <f>+$C404*BI404</f>
        <v>0</v>
      </c>
      <c r="K404" s="5">
        <f>+$C404*BJ404</f>
        <v>0</v>
      </c>
      <c r="L404" s="5">
        <f>+$C404*BK404</f>
        <v>0</v>
      </c>
      <c r="M404" s="5">
        <f>+$C404*BL404</f>
        <v>0</v>
      </c>
      <c r="N404" s="5">
        <f>+$C404*BM404</f>
        <v>0</v>
      </c>
      <c r="O404" s="5">
        <f>+$C404*BN404</f>
        <v>0</v>
      </c>
      <c r="P404" s="5">
        <v>0</v>
      </c>
      <c r="Q404" s="5">
        <f>+$P404*BC404</f>
        <v>0</v>
      </c>
      <c r="R404" s="5">
        <f>+$P404*BD404</f>
        <v>0</v>
      </c>
      <c r="S404" s="5">
        <f>+$P404*BE404</f>
        <v>0</v>
      </c>
      <c r="T404" s="5">
        <f>+$P404*BF404</f>
        <v>0</v>
      </c>
      <c r="U404" s="5">
        <f>+$P404*BG404</f>
        <v>0</v>
      </c>
      <c r="V404" s="5">
        <f>+$P404*BH404</f>
        <v>0</v>
      </c>
      <c r="W404" s="5">
        <f>+$P404*BI404</f>
        <v>0</v>
      </c>
      <c r="X404" s="5">
        <f>+$P404*BJ404</f>
        <v>0</v>
      </c>
      <c r="Y404" s="5">
        <f>+$P404*BK404</f>
        <v>0</v>
      </c>
      <c r="Z404" s="5">
        <f>+$P404*BL404</f>
        <v>0</v>
      </c>
      <c r="AA404" s="5">
        <f>+$P404*BM404</f>
        <v>0</v>
      </c>
      <c r="AB404" s="5">
        <f>+$P404*BN404</f>
        <v>0</v>
      </c>
      <c r="AC404" s="5">
        <v>0</v>
      </c>
      <c r="AD404" s="5">
        <f>+$AC404*BC404</f>
        <v>0</v>
      </c>
      <c r="AE404" s="5">
        <f>+$AC404*BD404</f>
        <v>0</v>
      </c>
      <c r="AF404" s="5">
        <f>+$AC404*BE404</f>
        <v>0</v>
      </c>
      <c r="AG404" s="5">
        <f>+$AC404*BF404</f>
        <v>0</v>
      </c>
      <c r="AH404" s="5">
        <f>+$AC404*BG404</f>
        <v>0</v>
      </c>
      <c r="AI404" s="5">
        <f>+$AC404*BH404</f>
        <v>0</v>
      </c>
      <c r="AJ404" s="5">
        <f>+$AC404*BI404</f>
        <v>0</v>
      </c>
      <c r="AK404" s="5">
        <f>+$AC404*BJ404</f>
        <v>0</v>
      </c>
      <c r="AL404" s="5">
        <f>+$AC404*BK404</f>
        <v>0</v>
      </c>
      <c r="AM404" s="5">
        <f>+$AC404*BL404</f>
        <v>0</v>
      </c>
      <c r="AN404" s="5">
        <f>+$AC404*BM404</f>
        <v>0</v>
      </c>
      <c r="AO404" s="5">
        <f>+$AC404*BN404</f>
        <v>0</v>
      </c>
      <c r="AP404" s="5">
        <f>+AC404+P404+C404</f>
        <v>0</v>
      </c>
      <c r="AQ404" s="1">
        <v>90.94736095452734</v>
      </c>
      <c r="AR404" s="1">
        <v>108.76450385537413</v>
      </c>
      <c r="AS404" s="1">
        <v>96.257382967348875</v>
      </c>
      <c r="AT404" s="1">
        <v>72.911263735947784</v>
      </c>
      <c r="AU404" s="1">
        <v>105.7386953238539</v>
      </c>
      <c r="AV404" s="1">
        <v>86.652743505405013</v>
      </c>
      <c r="AW404" s="1">
        <v>86.268837679032501</v>
      </c>
      <c r="AX404" s="1">
        <v>58.584558150943003</v>
      </c>
      <c r="AY404" s="1">
        <v>86.839898621999509</v>
      </c>
      <c r="AZ404" s="1">
        <v>75.626388479513267</v>
      </c>
      <c r="BA404" s="1">
        <v>77.217409338110883</v>
      </c>
      <c r="BB404" s="1">
        <v>75.419879441115995</v>
      </c>
      <c r="BC404" s="2">
        <v>8.9181565948742242E-2</v>
      </c>
      <c r="BD404" s="2">
        <v>0.10665277883445198</v>
      </c>
      <c r="BE404" s="2">
        <v>9.438849084854764E-2</v>
      </c>
      <c r="BF404" s="2">
        <v>7.149564986855049E-2</v>
      </c>
      <c r="BG404" s="2">
        <v>0.10368571810536763</v>
      </c>
      <c r="BH404" s="2">
        <v>8.4970330952544637E-2</v>
      </c>
      <c r="BI404" s="2">
        <v>8.4593878877262704E-2</v>
      </c>
      <c r="BJ404" s="2">
        <v>5.7447105462779965E-2</v>
      </c>
      <c r="BK404" s="2">
        <v>8.5153852345557474E-2</v>
      </c>
      <c r="BL404" s="2">
        <v>7.4158058913035174E-2</v>
      </c>
      <c r="BM404" s="2">
        <v>7.5718189192107169E-2</v>
      </c>
      <c r="BN404" s="2">
        <v>7.3955559365675619E-2</v>
      </c>
    </row>
    <row r="405" spans="1:66" x14ac:dyDescent="0.25">
      <c r="A405" s="8">
        <v>34031</v>
      </c>
      <c r="B405" s="8" t="s">
        <v>591</v>
      </c>
      <c r="C405" s="5">
        <v>0</v>
      </c>
      <c r="D405" s="5">
        <f>+$C405*BC405</f>
        <v>0</v>
      </c>
      <c r="E405" s="5">
        <f>+$C405*BD405</f>
        <v>0</v>
      </c>
      <c r="F405" s="5">
        <f>+$C405*BE405</f>
        <v>0</v>
      </c>
      <c r="G405" s="5">
        <f>+$C405*BF405</f>
        <v>0</v>
      </c>
      <c r="H405" s="5">
        <f>+$C405*BG405</f>
        <v>0</v>
      </c>
      <c r="I405" s="5">
        <f>+$C405*BH405</f>
        <v>0</v>
      </c>
      <c r="J405" s="5">
        <f>+$C405*BI405</f>
        <v>0</v>
      </c>
      <c r="K405" s="5">
        <f>+$C405*BJ405</f>
        <v>0</v>
      </c>
      <c r="L405" s="5">
        <f>+$C405*BK405</f>
        <v>0</v>
      </c>
      <c r="M405" s="5">
        <f>+$C405*BL405</f>
        <v>0</v>
      </c>
      <c r="N405" s="5">
        <f>+$C405*BM405</f>
        <v>0</v>
      </c>
      <c r="O405" s="5">
        <f>+$C405*BN405</f>
        <v>0</v>
      </c>
      <c r="P405" s="5">
        <v>0</v>
      </c>
      <c r="Q405" s="5">
        <f>+$P405*BC405</f>
        <v>0</v>
      </c>
      <c r="R405" s="5">
        <f>+$P405*BD405</f>
        <v>0</v>
      </c>
      <c r="S405" s="5">
        <f>+$P405*BE405</f>
        <v>0</v>
      </c>
      <c r="T405" s="5">
        <f>+$P405*BF405</f>
        <v>0</v>
      </c>
      <c r="U405" s="5">
        <f>+$P405*BG405</f>
        <v>0</v>
      </c>
      <c r="V405" s="5">
        <f>+$P405*BH405</f>
        <v>0</v>
      </c>
      <c r="W405" s="5">
        <f>+$P405*BI405</f>
        <v>0</v>
      </c>
      <c r="X405" s="5">
        <f>+$P405*BJ405</f>
        <v>0</v>
      </c>
      <c r="Y405" s="5">
        <f>+$P405*BK405</f>
        <v>0</v>
      </c>
      <c r="Z405" s="5">
        <f>+$P405*BL405</f>
        <v>0</v>
      </c>
      <c r="AA405" s="5">
        <f>+$P405*BM405</f>
        <v>0</v>
      </c>
      <c r="AB405" s="5">
        <f>+$P405*BN405</f>
        <v>0</v>
      </c>
      <c r="AC405" s="5">
        <v>0</v>
      </c>
      <c r="AD405" s="5">
        <f>+$AC405*BC405</f>
        <v>0</v>
      </c>
      <c r="AE405" s="5">
        <f>+$AC405*BD405</f>
        <v>0</v>
      </c>
      <c r="AF405" s="5">
        <f>+$AC405*BE405</f>
        <v>0</v>
      </c>
      <c r="AG405" s="5">
        <f>+$AC405*BF405</f>
        <v>0</v>
      </c>
      <c r="AH405" s="5">
        <f>+$AC405*BG405</f>
        <v>0</v>
      </c>
      <c r="AI405" s="5">
        <f>+$AC405*BH405</f>
        <v>0</v>
      </c>
      <c r="AJ405" s="5">
        <f>+$AC405*BI405</f>
        <v>0</v>
      </c>
      <c r="AK405" s="5">
        <f>+$AC405*BJ405</f>
        <v>0</v>
      </c>
      <c r="AL405" s="5">
        <f>+$AC405*BK405</f>
        <v>0</v>
      </c>
      <c r="AM405" s="5">
        <f>+$AC405*BL405</f>
        <v>0</v>
      </c>
      <c r="AN405" s="5">
        <f>+$AC405*BM405</f>
        <v>0</v>
      </c>
      <c r="AO405" s="5">
        <f>+$AC405*BN405</f>
        <v>0</v>
      </c>
      <c r="AP405" s="5">
        <f>+AC405+P405+C405</f>
        <v>0</v>
      </c>
      <c r="AQ405" s="1">
        <v>89.181565948742247</v>
      </c>
      <c r="AR405" s="1">
        <v>106.65277883445198</v>
      </c>
      <c r="AS405" s="1">
        <v>94.388490848547647</v>
      </c>
      <c r="AT405" s="1">
        <v>71.495649868550487</v>
      </c>
      <c r="AU405" s="1">
        <v>103.68571810536763</v>
      </c>
      <c r="AV405" s="1">
        <v>84.970330952544643</v>
      </c>
      <c r="AW405" s="1">
        <v>84.593878877262711</v>
      </c>
      <c r="AX405" s="1">
        <v>57.447105462779966</v>
      </c>
      <c r="AY405" s="1">
        <v>85.153852345557468</v>
      </c>
      <c r="AZ405" s="1">
        <v>74.158058913035177</v>
      </c>
      <c r="BA405" s="1">
        <v>75.718189192107175</v>
      </c>
      <c r="BB405" s="1">
        <v>73.955559365675626</v>
      </c>
      <c r="BC405" s="2">
        <v>8.9181565948742242E-2</v>
      </c>
      <c r="BD405" s="2">
        <v>0.10665277883445198</v>
      </c>
      <c r="BE405" s="2">
        <v>9.438849084854764E-2</v>
      </c>
      <c r="BF405" s="2">
        <v>7.149564986855049E-2</v>
      </c>
      <c r="BG405" s="2">
        <v>0.10368571810536763</v>
      </c>
      <c r="BH405" s="2">
        <v>8.4970330952544637E-2</v>
      </c>
      <c r="BI405" s="2">
        <v>8.4593878877262704E-2</v>
      </c>
      <c r="BJ405" s="2">
        <v>5.7447105462779965E-2</v>
      </c>
      <c r="BK405" s="2">
        <v>8.5153852345557474E-2</v>
      </c>
      <c r="BL405" s="2">
        <v>7.4158058913035174E-2</v>
      </c>
      <c r="BM405" s="2">
        <v>7.5718189192107169E-2</v>
      </c>
      <c r="BN405" s="2">
        <v>7.3955559365675619E-2</v>
      </c>
    </row>
    <row r="406" spans="1:66" x14ac:dyDescent="0.25">
      <c r="A406" s="8">
        <v>831</v>
      </c>
      <c r="B406" s="8" t="s">
        <v>590</v>
      </c>
      <c r="C406" s="5">
        <v>1000</v>
      </c>
      <c r="D406" s="5">
        <f>+$C406*BC406</f>
        <v>89.181565948742247</v>
      </c>
      <c r="E406" s="5">
        <f>+$C406*BD406</f>
        <v>106.65277883445198</v>
      </c>
      <c r="F406" s="5">
        <f>+$C406*BE406</f>
        <v>94.388490848547647</v>
      </c>
      <c r="G406" s="5">
        <f>+$C406*BF406</f>
        <v>71.495649868550487</v>
      </c>
      <c r="H406" s="5">
        <f>+$C406*BG406</f>
        <v>103.68571810536763</v>
      </c>
      <c r="I406" s="5">
        <f>+$C406*BH406</f>
        <v>84.970330952544643</v>
      </c>
      <c r="J406" s="5">
        <f>+$C406*BI406</f>
        <v>84.593878877262711</v>
      </c>
      <c r="K406" s="5">
        <f>+$C406*BJ406</f>
        <v>57.447105462779966</v>
      </c>
      <c r="L406" s="5">
        <f>+$C406*BK406</f>
        <v>85.153852345557468</v>
      </c>
      <c r="M406" s="5">
        <f>+$C406*BL406</f>
        <v>74.158058913035177</v>
      </c>
      <c r="N406" s="5">
        <f>+$C406*BM406</f>
        <v>75.718189192107175</v>
      </c>
      <c r="O406" s="5">
        <f>+$C406*BN406</f>
        <v>73.955559365675626</v>
      </c>
      <c r="P406" s="5">
        <v>1000</v>
      </c>
      <c r="Q406" s="5">
        <f>+$P406*BC406</f>
        <v>89.181565948742247</v>
      </c>
      <c r="R406" s="5">
        <f>+$P406*BD406</f>
        <v>106.65277883445198</v>
      </c>
      <c r="S406" s="5">
        <f>+$P406*BE406</f>
        <v>94.388490848547647</v>
      </c>
      <c r="T406" s="5">
        <f>+$P406*BF406</f>
        <v>71.495649868550487</v>
      </c>
      <c r="U406" s="5">
        <f>+$P406*BG406</f>
        <v>103.68571810536763</v>
      </c>
      <c r="V406" s="5">
        <f>+$P406*BH406</f>
        <v>84.970330952544643</v>
      </c>
      <c r="W406" s="5">
        <f>+$P406*BI406</f>
        <v>84.593878877262711</v>
      </c>
      <c r="X406" s="5">
        <f>+$P406*BJ406</f>
        <v>57.447105462779966</v>
      </c>
      <c r="Y406" s="5">
        <f>+$P406*BK406</f>
        <v>85.153852345557468</v>
      </c>
      <c r="Z406" s="5">
        <f>+$P406*BL406</f>
        <v>74.158058913035177</v>
      </c>
      <c r="AA406" s="5">
        <f>+$P406*BM406</f>
        <v>75.718189192107175</v>
      </c>
      <c r="AB406" s="5">
        <f>+$P406*BN406</f>
        <v>73.955559365675626</v>
      </c>
      <c r="AC406" s="5">
        <v>0</v>
      </c>
      <c r="AD406" s="5">
        <f>+$AC406*BC406</f>
        <v>0</v>
      </c>
      <c r="AE406" s="5">
        <f>+$AC406*BD406</f>
        <v>0</v>
      </c>
      <c r="AF406" s="5">
        <f>+$AC406*BE406</f>
        <v>0</v>
      </c>
      <c r="AG406" s="5">
        <f>+$AC406*BF406</f>
        <v>0</v>
      </c>
      <c r="AH406" s="5">
        <f>+$AC406*BG406</f>
        <v>0</v>
      </c>
      <c r="AI406" s="5">
        <f>+$AC406*BH406</f>
        <v>0</v>
      </c>
      <c r="AJ406" s="5">
        <f>+$AC406*BI406</f>
        <v>0</v>
      </c>
      <c r="AK406" s="5">
        <f>+$AC406*BJ406</f>
        <v>0</v>
      </c>
      <c r="AL406" s="5">
        <f>+$AC406*BK406</f>
        <v>0</v>
      </c>
      <c r="AM406" s="5">
        <f>+$AC406*BL406</f>
        <v>0</v>
      </c>
      <c r="AN406" s="5">
        <f>+$AC406*BM406</f>
        <v>0</v>
      </c>
      <c r="AO406" s="5">
        <f>+$AC406*BN406</f>
        <v>0</v>
      </c>
      <c r="AP406" s="5">
        <f>+AC406+P406+C406</f>
        <v>2000</v>
      </c>
      <c r="AQ406" s="1">
        <v>89.181565948742247</v>
      </c>
      <c r="AR406" s="1">
        <v>106.65277883445198</v>
      </c>
      <c r="AS406" s="1">
        <v>94.388490848547647</v>
      </c>
      <c r="AT406" s="1">
        <v>71.495649868550487</v>
      </c>
      <c r="AU406" s="1">
        <v>103.68571810536763</v>
      </c>
      <c r="AV406" s="1">
        <v>84.970330952544643</v>
      </c>
      <c r="AW406" s="1">
        <v>84.593878877262711</v>
      </c>
      <c r="AX406" s="1">
        <v>57.447105462779966</v>
      </c>
      <c r="AY406" s="1">
        <v>85.153852345557468</v>
      </c>
      <c r="AZ406" s="1">
        <v>74.158058913035177</v>
      </c>
      <c r="BA406" s="1">
        <v>75.718189192107175</v>
      </c>
      <c r="BB406" s="1">
        <v>73.955559365675626</v>
      </c>
      <c r="BC406" s="2">
        <v>8.9181565948742242E-2</v>
      </c>
      <c r="BD406" s="2">
        <v>0.10665277883445198</v>
      </c>
      <c r="BE406" s="2">
        <v>9.438849084854764E-2</v>
      </c>
      <c r="BF406" s="2">
        <v>7.149564986855049E-2</v>
      </c>
      <c r="BG406" s="2">
        <v>0.10368571810536763</v>
      </c>
      <c r="BH406" s="2">
        <v>8.4970330952544637E-2</v>
      </c>
      <c r="BI406" s="2">
        <v>8.4593878877262704E-2</v>
      </c>
      <c r="BJ406" s="2">
        <v>5.7447105462779965E-2</v>
      </c>
      <c r="BK406" s="2">
        <v>8.5153852345557474E-2</v>
      </c>
      <c r="BL406" s="2">
        <v>7.4158058913035174E-2</v>
      </c>
      <c r="BM406" s="2">
        <v>7.5718189192107169E-2</v>
      </c>
      <c r="BN406" s="2">
        <v>7.3955559365675619E-2</v>
      </c>
    </row>
    <row r="407" spans="1:66" x14ac:dyDescent="0.25">
      <c r="A407" s="8">
        <v>5087</v>
      </c>
      <c r="B407" s="8" t="s">
        <v>589</v>
      </c>
      <c r="C407" s="5">
        <v>983.73000000000013</v>
      </c>
      <c r="D407" s="5">
        <f>+$C407*BC407</f>
        <v>87.730581870756211</v>
      </c>
      <c r="E407" s="5">
        <f>+$C407*BD407</f>
        <v>104.91753812281546</v>
      </c>
      <c r="F407" s="5">
        <f>+$C407*BE407</f>
        <v>92.852790102441787</v>
      </c>
      <c r="G407" s="5">
        <f>+$C407*BF407</f>
        <v>70.332415645189187</v>
      </c>
      <c r="H407" s="5">
        <f>+$C407*BG407</f>
        <v>101.99875147179331</v>
      </c>
      <c r="I407" s="5">
        <f>+$C407*BH407</f>
        <v>83.587863667946749</v>
      </c>
      <c r="J407" s="5">
        <f>+$C407*BI407</f>
        <v>83.217536467929648</v>
      </c>
      <c r="K407" s="5">
        <f>+$C407*BJ407</f>
        <v>56.512441056900542</v>
      </c>
      <c r="L407" s="5">
        <f>+$C407*BK407</f>
        <v>83.768399167895268</v>
      </c>
      <c r="M407" s="5">
        <f>+$C407*BL407</f>
        <v>72.951507294520098</v>
      </c>
      <c r="N407" s="5">
        <f>+$C407*BM407</f>
        <v>74.4862542539516</v>
      </c>
      <c r="O407" s="5">
        <f>+$C407*BN407</f>
        <v>72.752302414796091</v>
      </c>
      <c r="P407" s="5">
        <v>0</v>
      </c>
      <c r="Q407" s="5">
        <f>+$P407*BC407</f>
        <v>0</v>
      </c>
      <c r="R407" s="5">
        <f>+$P407*BD407</f>
        <v>0</v>
      </c>
      <c r="S407" s="5">
        <f>+$P407*BE407</f>
        <v>0</v>
      </c>
      <c r="T407" s="5">
        <f>+$P407*BF407</f>
        <v>0</v>
      </c>
      <c r="U407" s="5">
        <f>+$P407*BG407</f>
        <v>0</v>
      </c>
      <c r="V407" s="5">
        <f>+$P407*BH407</f>
        <v>0</v>
      </c>
      <c r="W407" s="5">
        <f>+$P407*BI407</f>
        <v>0</v>
      </c>
      <c r="X407" s="5">
        <f>+$P407*BJ407</f>
        <v>0</v>
      </c>
      <c r="Y407" s="5">
        <f>+$P407*BK407</f>
        <v>0</v>
      </c>
      <c r="Z407" s="5">
        <f>+$P407*BL407</f>
        <v>0</v>
      </c>
      <c r="AA407" s="5">
        <f>+$P407*BM407</f>
        <v>0</v>
      </c>
      <c r="AB407" s="5">
        <f>+$P407*BN407</f>
        <v>0</v>
      </c>
      <c r="AC407" s="5">
        <v>0</v>
      </c>
      <c r="AD407" s="5">
        <f>+$AC407*BC407</f>
        <v>0</v>
      </c>
      <c r="AE407" s="5">
        <f>+$AC407*BD407</f>
        <v>0</v>
      </c>
      <c r="AF407" s="5">
        <f>+$AC407*BE407</f>
        <v>0</v>
      </c>
      <c r="AG407" s="5">
        <f>+$AC407*BF407</f>
        <v>0</v>
      </c>
      <c r="AH407" s="5">
        <f>+$AC407*BG407</f>
        <v>0</v>
      </c>
      <c r="AI407" s="5">
        <f>+$AC407*BH407</f>
        <v>0</v>
      </c>
      <c r="AJ407" s="5">
        <f>+$AC407*BI407</f>
        <v>0</v>
      </c>
      <c r="AK407" s="5">
        <f>+$AC407*BJ407</f>
        <v>0</v>
      </c>
      <c r="AL407" s="5">
        <f>+$AC407*BK407</f>
        <v>0</v>
      </c>
      <c r="AM407" s="5">
        <f>+$AC407*BL407</f>
        <v>0</v>
      </c>
      <c r="AN407" s="5">
        <f>+$AC407*BM407</f>
        <v>0</v>
      </c>
      <c r="AO407" s="5">
        <f>+$AC407*BN407</f>
        <v>0</v>
      </c>
      <c r="AP407" s="5">
        <f>+AC407+P407+C407</f>
        <v>983.73000000000013</v>
      </c>
      <c r="AQ407" s="1">
        <v>137.76393745184717</v>
      </c>
      <c r="AR407" s="1">
        <v>164.75273332675039</v>
      </c>
      <c r="AS407" s="1">
        <v>145.80737634622076</v>
      </c>
      <c r="AT407" s="1">
        <v>110.44347709964232</v>
      </c>
      <c r="AU407" s="1">
        <v>160.16934252901149</v>
      </c>
      <c r="AV407" s="1">
        <v>131.25859850159094</v>
      </c>
      <c r="AW407" s="1">
        <v>130.67707114668258</v>
      </c>
      <c r="AX407" s="1">
        <v>88.741875740473063</v>
      </c>
      <c r="AY407" s="1">
        <v>131.54209464161866</v>
      </c>
      <c r="AZ407" s="1">
        <v>114.5562547703824</v>
      </c>
      <c r="BA407" s="1">
        <v>116.96627850002109</v>
      </c>
      <c r="BB407" s="1">
        <v>114.24344197460233</v>
      </c>
      <c r="BC407" s="2">
        <v>8.9181565948742242E-2</v>
      </c>
      <c r="BD407" s="2">
        <v>0.10665277883445198</v>
      </c>
      <c r="BE407" s="2">
        <v>9.438849084854764E-2</v>
      </c>
      <c r="BF407" s="2">
        <v>7.149564986855049E-2</v>
      </c>
      <c r="BG407" s="2">
        <v>0.10368571810536763</v>
      </c>
      <c r="BH407" s="2">
        <v>8.4970330952544637E-2</v>
      </c>
      <c r="BI407" s="2">
        <v>8.4593878877262704E-2</v>
      </c>
      <c r="BJ407" s="2">
        <v>5.7447105462779965E-2</v>
      </c>
      <c r="BK407" s="2">
        <v>8.5153852345557474E-2</v>
      </c>
      <c r="BL407" s="2">
        <v>7.4158058913035174E-2</v>
      </c>
      <c r="BM407" s="2">
        <v>7.5718189192107169E-2</v>
      </c>
      <c r="BN407" s="2">
        <v>7.3955559365675619E-2</v>
      </c>
    </row>
    <row r="408" spans="1:66" x14ac:dyDescent="0.25">
      <c r="A408" s="8">
        <v>1250</v>
      </c>
      <c r="B408" s="8" t="s">
        <v>588</v>
      </c>
      <c r="C408" s="5">
        <v>0</v>
      </c>
      <c r="D408" s="5">
        <f>+$C408*BC408</f>
        <v>0</v>
      </c>
      <c r="E408" s="5">
        <f>+$C408*BD408</f>
        <v>0</v>
      </c>
      <c r="F408" s="5">
        <f>+$C408*BE408</f>
        <v>0</v>
      </c>
      <c r="G408" s="5">
        <f>+$C408*BF408</f>
        <v>0</v>
      </c>
      <c r="H408" s="5">
        <f>+$C408*BG408</f>
        <v>0</v>
      </c>
      <c r="I408" s="5">
        <f>+$C408*BH408</f>
        <v>0</v>
      </c>
      <c r="J408" s="5">
        <f>+$C408*BI408</f>
        <v>0</v>
      </c>
      <c r="K408" s="5">
        <f>+$C408*BJ408</f>
        <v>0</v>
      </c>
      <c r="L408" s="5">
        <f>+$C408*BK408</f>
        <v>0</v>
      </c>
      <c r="M408" s="5">
        <f>+$C408*BL408</f>
        <v>0</v>
      </c>
      <c r="N408" s="5">
        <f>+$C408*BM408</f>
        <v>0</v>
      </c>
      <c r="O408" s="5">
        <f>+$C408*BN408</f>
        <v>0</v>
      </c>
      <c r="P408" s="5">
        <v>0</v>
      </c>
      <c r="Q408" s="5">
        <f>+$P408*BC408</f>
        <v>0</v>
      </c>
      <c r="R408" s="5">
        <f>+$P408*BD408</f>
        <v>0</v>
      </c>
      <c r="S408" s="5">
        <f>+$P408*BE408</f>
        <v>0</v>
      </c>
      <c r="T408" s="5">
        <f>+$P408*BF408</f>
        <v>0</v>
      </c>
      <c r="U408" s="5">
        <f>+$P408*BG408</f>
        <v>0</v>
      </c>
      <c r="V408" s="5">
        <f>+$P408*BH408</f>
        <v>0</v>
      </c>
      <c r="W408" s="5">
        <f>+$P408*BI408</f>
        <v>0</v>
      </c>
      <c r="X408" s="5">
        <f>+$P408*BJ408</f>
        <v>0</v>
      </c>
      <c r="Y408" s="5">
        <f>+$P408*BK408</f>
        <v>0</v>
      </c>
      <c r="Z408" s="5">
        <f>+$P408*BL408</f>
        <v>0</v>
      </c>
      <c r="AA408" s="5">
        <f>+$P408*BM408</f>
        <v>0</v>
      </c>
      <c r="AB408" s="5">
        <f>+$P408*BN408</f>
        <v>0</v>
      </c>
      <c r="AC408" s="5">
        <v>0</v>
      </c>
      <c r="AD408" s="5">
        <f>+$AC408*BC408</f>
        <v>0</v>
      </c>
      <c r="AE408" s="5">
        <f>+$AC408*BD408</f>
        <v>0</v>
      </c>
      <c r="AF408" s="5">
        <f>+$AC408*BE408</f>
        <v>0</v>
      </c>
      <c r="AG408" s="5">
        <f>+$AC408*BF408</f>
        <v>0</v>
      </c>
      <c r="AH408" s="5">
        <f>+$AC408*BG408</f>
        <v>0</v>
      </c>
      <c r="AI408" s="5">
        <f>+$AC408*BH408</f>
        <v>0</v>
      </c>
      <c r="AJ408" s="5">
        <f>+$AC408*BI408</f>
        <v>0</v>
      </c>
      <c r="AK408" s="5">
        <f>+$AC408*BJ408</f>
        <v>0</v>
      </c>
      <c r="AL408" s="5">
        <f>+$AC408*BK408</f>
        <v>0</v>
      </c>
      <c r="AM408" s="5">
        <f>+$AC408*BL408</f>
        <v>0</v>
      </c>
      <c r="AN408" s="5">
        <f>+$AC408*BM408</f>
        <v>0</v>
      </c>
      <c r="AO408" s="5">
        <f>+$AC408*BN408</f>
        <v>0</v>
      </c>
      <c r="AP408" s="5">
        <f>+AC408+P408+C408</f>
        <v>0</v>
      </c>
      <c r="AQ408" s="1">
        <v>87.730581870756211</v>
      </c>
      <c r="AR408" s="1">
        <v>104.91753812281546</v>
      </c>
      <c r="AS408" s="1">
        <v>92.852790102441787</v>
      </c>
      <c r="AT408" s="1">
        <v>70.332415645189187</v>
      </c>
      <c r="AU408" s="1">
        <v>101.99875147179331</v>
      </c>
      <c r="AV408" s="1">
        <v>83.587863667946749</v>
      </c>
      <c r="AW408" s="1">
        <v>83.217536467929648</v>
      </c>
      <c r="AX408" s="1">
        <v>56.512441056900542</v>
      </c>
      <c r="AY408" s="1">
        <v>83.768399167895268</v>
      </c>
      <c r="AZ408" s="1">
        <v>72.951507294520098</v>
      </c>
      <c r="BA408" s="1">
        <v>74.4862542539516</v>
      </c>
      <c r="BB408" s="1">
        <v>72.752302414796091</v>
      </c>
      <c r="BC408" s="2">
        <v>8.9181565948742242E-2</v>
      </c>
      <c r="BD408" s="2">
        <v>0.10665277883445198</v>
      </c>
      <c r="BE408" s="2">
        <v>9.438849084854764E-2</v>
      </c>
      <c r="BF408" s="2">
        <v>7.149564986855049E-2</v>
      </c>
      <c r="BG408" s="2">
        <v>0.10368571810536763</v>
      </c>
      <c r="BH408" s="2">
        <v>8.4970330952544637E-2</v>
      </c>
      <c r="BI408" s="2">
        <v>8.4593878877262704E-2</v>
      </c>
      <c r="BJ408" s="2">
        <v>5.7447105462779965E-2</v>
      </c>
      <c r="BK408" s="2">
        <v>8.5153852345557474E-2</v>
      </c>
      <c r="BL408" s="2">
        <v>7.4158058913035174E-2</v>
      </c>
      <c r="BM408" s="2">
        <v>7.5718189192107169E-2</v>
      </c>
      <c r="BN408" s="2">
        <v>7.3955559365675619E-2</v>
      </c>
    </row>
    <row r="409" spans="1:66" x14ac:dyDescent="0.25">
      <c r="A409" s="8">
        <v>3073</v>
      </c>
      <c r="B409" s="8" t="s">
        <v>587</v>
      </c>
      <c r="C409" s="5">
        <v>12000</v>
      </c>
      <c r="D409" s="5">
        <f>+$C409*BC409</f>
        <v>1070.1787913849068</v>
      </c>
      <c r="E409" s="5">
        <f>+$C409*BD409</f>
        <v>1279.8333460134238</v>
      </c>
      <c r="F409" s="5">
        <f>+$C409*BE409</f>
        <v>1132.6618901825716</v>
      </c>
      <c r="G409" s="5">
        <f>+$C409*BF409</f>
        <v>857.94779842260584</v>
      </c>
      <c r="H409" s="5">
        <f>+$C409*BG409</f>
        <v>1244.2286172644115</v>
      </c>
      <c r="I409" s="5">
        <f>+$C409*BH409</f>
        <v>1019.6439714305357</v>
      </c>
      <c r="J409" s="5">
        <f>+$C409*BI409</f>
        <v>1015.1265465271524</v>
      </c>
      <c r="K409" s="5">
        <f>+$C409*BJ409</f>
        <v>689.36526555335956</v>
      </c>
      <c r="L409" s="5">
        <f>+$C409*BK409</f>
        <v>1021.8462281466897</v>
      </c>
      <c r="M409" s="5">
        <f>+$C409*BL409</f>
        <v>889.89670695642212</v>
      </c>
      <c r="N409" s="5">
        <f>+$C409*BM409</f>
        <v>908.61827030528605</v>
      </c>
      <c r="O409" s="5">
        <f>+$C409*BN409</f>
        <v>887.46671238810745</v>
      </c>
      <c r="P409" s="5">
        <v>0</v>
      </c>
      <c r="Q409" s="5">
        <f>+$P409*BC409</f>
        <v>0</v>
      </c>
      <c r="R409" s="5">
        <f>+$P409*BD409</f>
        <v>0</v>
      </c>
      <c r="S409" s="5">
        <f>+$P409*BE409</f>
        <v>0</v>
      </c>
      <c r="T409" s="5">
        <f>+$P409*BF409</f>
        <v>0</v>
      </c>
      <c r="U409" s="5">
        <f>+$P409*BG409</f>
        <v>0</v>
      </c>
      <c r="V409" s="5">
        <f>+$P409*BH409</f>
        <v>0</v>
      </c>
      <c r="W409" s="5">
        <f>+$P409*BI409</f>
        <v>0</v>
      </c>
      <c r="X409" s="5">
        <f>+$P409*BJ409</f>
        <v>0</v>
      </c>
      <c r="Y409" s="5">
        <f>+$P409*BK409</f>
        <v>0</v>
      </c>
      <c r="Z409" s="5">
        <f>+$P409*BL409</f>
        <v>0</v>
      </c>
      <c r="AA409" s="5">
        <f>+$P409*BM409</f>
        <v>0</v>
      </c>
      <c r="AB409" s="5">
        <f>+$P409*BN409</f>
        <v>0</v>
      </c>
      <c r="AC409" s="5">
        <v>0</v>
      </c>
      <c r="AD409" s="5">
        <f>+$AC409*BC409</f>
        <v>0</v>
      </c>
      <c r="AE409" s="5">
        <f>+$AC409*BD409</f>
        <v>0</v>
      </c>
      <c r="AF409" s="5">
        <f>+$AC409*BE409</f>
        <v>0</v>
      </c>
      <c r="AG409" s="5">
        <f>+$AC409*BF409</f>
        <v>0</v>
      </c>
      <c r="AH409" s="5">
        <f>+$AC409*BG409</f>
        <v>0</v>
      </c>
      <c r="AI409" s="5">
        <f>+$AC409*BH409</f>
        <v>0</v>
      </c>
      <c r="AJ409" s="5">
        <f>+$AC409*BI409</f>
        <v>0</v>
      </c>
      <c r="AK409" s="5">
        <f>+$AC409*BJ409</f>
        <v>0</v>
      </c>
      <c r="AL409" s="5">
        <f>+$AC409*BK409</f>
        <v>0</v>
      </c>
      <c r="AM409" s="5">
        <f>+$AC409*BL409</f>
        <v>0</v>
      </c>
      <c r="AN409" s="5">
        <f>+$AC409*BM409</f>
        <v>0</v>
      </c>
      <c r="AO409" s="5">
        <f>+$AC409*BN409</f>
        <v>0</v>
      </c>
      <c r="AP409" s="5">
        <f>+AC409+P409+C409</f>
        <v>12000</v>
      </c>
      <c r="AQ409" s="1">
        <v>87.513335576105064</v>
      </c>
      <c r="AR409" s="1">
        <v>104.65773195357473</v>
      </c>
      <c r="AS409" s="1">
        <v>92.622859738734704</v>
      </c>
      <c r="AT409" s="1">
        <v>70.158252242109384</v>
      </c>
      <c r="AU409" s="1">
        <v>101.74617306248862</v>
      </c>
      <c r="AV409" s="1">
        <v>83.380875941746339</v>
      </c>
      <c r="AW409" s="1">
        <v>83.011465778984629</v>
      </c>
      <c r="AX409" s="1">
        <v>56.372499907993202</v>
      </c>
      <c r="AY409" s="1">
        <v>83.560964383581478</v>
      </c>
      <c r="AZ409" s="1">
        <v>72.770858263007938</v>
      </c>
      <c r="BA409" s="1">
        <v>74.301804745079608</v>
      </c>
      <c r="BB409" s="1">
        <v>72.57214667218129</v>
      </c>
      <c r="BC409" s="2">
        <v>8.9181565948742242E-2</v>
      </c>
      <c r="BD409" s="2">
        <v>0.10665277883445198</v>
      </c>
      <c r="BE409" s="2">
        <v>9.438849084854764E-2</v>
      </c>
      <c r="BF409" s="2">
        <v>7.149564986855049E-2</v>
      </c>
      <c r="BG409" s="2">
        <v>0.10368571810536763</v>
      </c>
      <c r="BH409" s="2">
        <v>8.4970330952544637E-2</v>
      </c>
      <c r="BI409" s="2">
        <v>8.4593878877262704E-2</v>
      </c>
      <c r="BJ409" s="2">
        <v>5.7447105462779965E-2</v>
      </c>
      <c r="BK409" s="2">
        <v>8.5153852345557474E-2</v>
      </c>
      <c r="BL409" s="2">
        <v>7.4158058913035174E-2</v>
      </c>
      <c r="BM409" s="2">
        <v>7.5718189192107169E-2</v>
      </c>
      <c r="BN409" s="2">
        <v>7.3955559365675619E-2</v>
      </c>
    </row>
    <row r="410" spans="1:66" x14ac:dyDescent="0.25">
      <c r="A410" s="8">
        <v>6523</v>
      </c>
      <c r="B410" s="8" t="s">
        <v>586</v>
      </c>
      <c r="C410" s="5">
        <v>0</v>
      </c>
      <c r="D410" s="5">
        <f>+$C410*BC410</f>
        <v>0</v>
      </c>
      <c r="E410" s="5">
        <f>+$C410*BD410</f>
        <v>0</v>
      </c>
      <c r="F410" s="5">
        <f>+$C410*BE410</f>
        <v>0</v>
      </c>
      <c r="G410" s="5">
        <f>+$C410*BF410</f>
        <v>0</v>
      </c>
      <c r="H410" s="5">
        <f>+$C410*BG410</f>
        <v>0</v>
      </c>
      <c r="I410" s="5">
        <f>+$C410*BH410</f>
        <v>0</v>
      </c>
      <c r="J410" s="5">
        <f>+$C410*BI410</f>
        <v>0</v>
      </c>
      <c r="K410" s="5">
        <f>+$C410*BJ410</f>
        <v>0</v>
      </c>
      <c r="L410" s="5">
        <f>+$C410*BK410</f>
        <v>0</v>
      </c>
      <c r="M410" s="5">
        <f>+$C410*BL410</f>
        <v>0</v>
      </c>
      <c r="N410" s="5">
        <f>+$C410*BM410</f>
        <v>0</v>
      </c>
      <c r="O410" s="5">
        <f>+$C410*BN410</f>
        <v>0</v>
      </c>
      <c r="P410" s="5">
        <v>0</v>
      </c>
      <c r="Q410" s="5">
        <f>+$P410*BC410</f>
        <v>0</v>
      </c>
      <c r="R410" s="5">
        <f>+$P410*BD410</f>
        <v>0</v>
      </c>
      <c r="S410" s="5">
        <f>+$P410*BE410</f>
        <v>0</v>
      </c>
      <c r="T410" s="5">
        <f>+$P410*BF410</f>
        <v>0</v>
      </c>
      <c r="U410" s="5">
        <f>+$P410*BG410</f>
        <v>0</v>
      </c>
      <c r="V410" s="5">
        <f>+$P410*BH410</f>
        <v>0</v>
      </c>
      <c r="W410" s="5">
        <f>+$P410*BI410</f>
        <v>0</v>
      </c>
      <c r="X410" s="5">
        <f>+$P410*BJ410</f>
        <v>0</v>
      </c>
      <c r="Y410" s="5">
        <f>+$P410*BK410</f>
        <v>0</v>
      </c>
      <c r="Z410" s="5">
        <f>+$P410*BL410</f>
        <v>0</v>
      </c>
      <c r="AA410" s="5">
        <f>+$P410*BM410</f>
        <v>0</v>
      </c>
      <c r="AB410" s="5">
        <f>+$P410*BN410</f>
        <v>0</v>
      </c>
      <c r="AC410" s="5">
        <v>0</v>
      </c>
      <c r="AD410" s="5">
        <f>+$AC410*BC410</f>
        <v>0</v>
      </c>
      <c r="AE410" s="5">
        <f>+$AC410*BD410</f>
        <v>0</v>
      </c>
      <c r="AF410" s="5">
        <f>+$AC410*BE410</f>
        <v>0</v>
      </c>
      <c r="AG410" s="5">
        <f>+$AC410*BF410</f>
        <v>0</v>
      </c>
      <c r="AH410" s="5">
        <f>+$AC410*BG410</f>
        <v>0</v>
      </c>
      <c r="AI410" s="5">
        <f>+$AC410*BH410</f>
        <v>0</v>
      </c>
      <c r="AJ410" s="5">
        <f>+$AC410*BI410</f>
        <v>0</v>
      </c>
      <c r="AK410" s="5">
        <f>+$AC410*BJ410</f>
        <v>0</v>
      </c>
      <c r="AL410" s="5">
        <f>+$AC410*BK410</f>
        <v>0</v>
      </c>
      <c r="AM410" s="5">
        <f>+$AC410*BL410</f>
        <v>0</v>
      </c>
      <c r="AN410" s="5">
        <f>+$AC410*BM410</f>
        <v>0</v>
      </c>
      <c r="AO410" s="5">
        <f>+$AC410*BN410</f>
        <v>0</v>
      </c>
      <c r="AP410" s="5">
        <f>+AC410+P410+C410</f>
        <v>0</v>
      </c>
      <c r="AQ410" s="1">
        <v>85.44485833548994</v>
      </c>
      <c r="AR410" s="1">
        <v>102.18402740128845</v>
      </c>
      <c r="AS410" s="1">
        <v>90.433613081993499</v>
      </c>
      <c r="AT410" s="1">
        <v>68.499982139058233</v>
      </c>
      <c r="AU410" s="1">
        <v>99.341286516752731</v>
      </c>
      <c r="AV410" s="1">
        <v>81.410074085633013</v>
      </c>
      <c r="AW410" s="1">
        <v>81.049395352305396</v>
      </c>
      <c r="AX410" s="1">
        <v>55.040071743889484</v>
      </c>
      <c r="AY410" s="1">
        <v>81.585905932278621</v>
      </c>
      <c r="AZ410" s="1">
        <v>71.050836244579003</v>
      </c>
      <c r="BA410" s="1">
        <v>72.545597064957875</v>
      </c>
      <c r="BB410" s="1">
        <v>70.856821428253809</v>
      </c>
      <c r="BC410" s="2">
        <v>8.9181565948742242E-2</v>
      </c>
      <c r="BD410" s="2">
        <v>0.10665277883445198</v>
      </c>
      <c r="BE410" s="2">
        <v>9.438849084854764E-2</v>
      </c>
      <c r="BF410" s="2">
        <v>7.149564986855049E-2</v>
      </c>
      <c r="BG410" s="2">
        <v>0.10368571810536763</v>
      </c>
      <c r="BH410" s="2">
        <v>8.4970330952544637E-2</v>
      </c>
      <c r="BI410" s="2">
        <v>8.4593878877262704E-2</v>
      </c>
      <c r="BJ410" s="2">
        <v>5.7447105462779965E-2</v>
      </c>
      <c r="BK410" s="2">
        <v>8.5153852345557474E-2</v>
      </c>
      <c r="BL410" s="2">
        <v>7.4158058913035174E-2</v>
      </c>
      <c r="BM410" s="2">
        <v>7.5718189192107169E-2</v>
      </c>
      <c r="BN410" s="2">
        <v>7.3955559365675619E-2</v>
      </c>
    </row>
    <row r="411" spans="1:66" x14ac:dyDescent="0.25">
      <c r="A411" s="8">
        <v>35308</v>
      </c>
      <c r="B411" s="8" t="s">
        <v>585</v>
      </c>
      <c r="C411" s="5">
        <v>0</v>
      </c>
      <c r="D411" s="5">
        <f>+$C411*BC411</f>
        <v>0</v>
      </c>
      <c r="E411" s="5">
        <f>+$C411*BD411</f>
        <v>0</v>
      </c>
      <c r="F411" s="5">
        <f>+$C411*BE411</f>
        <v>0</v>
      </c>
      <c r="G411" s="5">
        <f>+$C411*BF411</f>
        <v>0</v>
      </c>
      <c r="H411" s="5">
        <f>+$C411*BG411</f>
        <v>0</v>
      </c>
      <c r="I411" s="5">
        <f>+$C411*BH411</f>
        <v>0</v>
      </c>
      <c r="J411" s="5">
        <f>+$C411*BI411</f>
        <v>0</v>
      </c>
      <c r="K411" s="5">
        <f>+$C411*BJ411</f>
        <v>0</v>
      </c>
      <c r="L411" s="5">
        <f>+$C411*BK411</f>
        <v>0</v>
      </c>
      <c r="M411" s="5">
        <f>+$C411*BL411</f>
        <v>0</v>
      </c>
      <c r="N411" s="5">
        <f>+$C411*BM411</f>
        <v>0</v>
      </c>
      <c r="O411" s="5">
        <f>+$C411*BN411</f>
        <v>0</v>
      </c>
      <c r="P411" s="5">
        <v>0</v>
      </c>
      <c r="Q411" s="5">
        <f>+$P411*BC411</f>
        <v>0</v>
      </c>
      <c r="R411" s="5">
        <f>+$P411*BD411</f>
        <v>0</v>
      </c>
      <c r="S411" s="5">
        <f>+$P411*BE411</f>
        <v>0</v>
      </c>
      <c r="T411" s="5">
        <f>+$P411*BF411</f>
        <v>0</v>
      </c>
      <c r="U411" s="5">
        <f>+$P411*BG411</f>
        <v>0</v>
      </c>
      <c r="V411" s="5">
        <f>+$P411*BH411</f>
        <v>0</v>
      </c>
      <c r="W411" s="5">
        <f>+$P411*BI411</f>
        <v>0</v>
      </c>
      <c r="X411" s="5">
        <f>+$P411*BJ411</f>
        <v>0</v>
      </c>
      <c r="Y411" s="5">
        <f>+$P411*BK411</f>
        <v>0</v>
      </c>
      <c r="Z411" s="5">
        <f>+$P411*BL411</f>
        <v>0</v>
      </c>
      <c r="AA411" s="5">
        <f>+$P411*BM411</f>
        <v>0</v>
      </c>
      <c r="AB411" s="5">
        <f>+$P411*BN411</f>
        <v>0</v>
      </c>
      <c r="AC411" s="5">
        <v>0</v>
      </c>
      <c r="AD411" s="5">
        <f>+$AC411*BC411</f>
        <v>0</v>
      </c>
      <c r="AE411" s="5">
        <f>+$AC411*BD411</f>
        <v>0</v>
      </c>
      <c r="AF411" s="5">
        <f>+$AC411*BE411</f>
        <v>0</v>
      </c>
      <c r="AG411" s="5">
        <f>+$AC411*BF411</f>
        <v>0</v>
      </c>
      <c r="AH411" s="5">
        <f>+$AC411*BG411</f>
        <v>0</v>
      </c>
      <c r="AI411" s="5">
        <f>+$AC411*BH411</f>
        <v>0</v>
      </c>
      <c r="AJ411" s="5">
        <f>+$AC411*BI411</f>
        <v>0</v>
      </c>
      <c r="AK411" s="5">
        <f>+$AC411*BJ411</f>
        <v>0</v>
      </c>
      <c r="AL411" s="5">
        <f>+$AC411*BK411</f>
        <v>0</v>
      </c>
      <c r="AM411" s="5">
        <f>+$AC411*BL411</f>
        <v>0</v>
      </c>
      <c r="AN411" s="5">
        <f>+$AC411*BM411</f>
        <v>0</v>
      </c>
      <c r="AO411" s="5">
        <f>+$AC411*BN411</f>
        <v>0</v>
      </c>
      <c r="AP411" s="5">
        <f>+AC411+P411+C411</f>
        <v>0</v>
      </c>
      <c r="AQ411" s="1">
        <v>85.23349802419142</v>
      </c>
      <c r="AR411" s="1">
        <v>101.9312603154508</v>
      </c>
      <c r="AS411" s="1">
        <v>90.209912358682445</v>
      </c>
      <c r="AT411" s="1">
        <v>68.330537448869762</v>
      </c>
      <c r="AU411" s="1">
        <v>99.095551364843004</v>
      </c>
      <c r="AV411" s="1">
        <v>81.208694401275494</v>
      </c>
      <c r="AW411" s="1">
        <v>80.848907859366292</v>
      </c>
      <c r="AX411" s="1">
        <v>54.903922103942698</v>
      </c>
      <c r="AY411" s="1">
        <v>81.384091302219645</v>
      </c>
      <c r="AZ411" s="1">
        <v>70.875081644955102</v>
      </c>
      <c r="BA411" s="1">
        <v>72.366144956572583</v>
      </c>
      <c r="BB411" s="1">
        <v>70.681546752557153</v>
      </c>
      <c r="BC411" s="2">
        <v>8.9181565948742242E-2</v>
      </c>
      <c r="BD411" s="2">
        <v>0.10665277883445198</v>
      </c>
      <c r="BE411" s="2">
        <v>9.438849084854764E-2</v>
      </c>
      <c r="BF411" s="2">
        <v>7.149564986855049E-2</v>
      </c>
      <c r="BG411" s="2">
        <v>0.10368571810536763</v>
      </c>
      <c r="BH411" s="2">
        <v>8.4970330952544637E-2</v>
      </c>
      <c r="BI411" s="2">
        <v>8.4593878877262704E-2</v>
      </c>
      <c r="BJ411" s="2">
        <v>5.7447105462779965E-2</v>
      </c>
      <c r="BK411" s="2">
        <v>8.5153852345557474E-2</v>
      </c>
      <c r="BL411" s="2">
        <v>7.4158058913035174E-2</v>
      </c>
      <c r="BM411" s="2">
        <v>7.5718189192107169E-2</v>
      </c>
      <c r="BN411" s="2">
        <v>7.3955559365675619E-2</v>
      </c>
    </row>
    <row r="412" spans="1:66" x14ac:dyDescent="0.25">
      <c r="A412" s="8">
        <v>27011</v>
      </c>
      <c r="B412" s="8" t="s">
        <v>584</v>
      </c>
      <c r="C412" s="5">
        <v>0</v>
      </c>
      <c r="D412" s="5">
        <f>+$C412*BC412</f>
        <v>0</v>
      </c>
      <c r="E412" s="5">
        <f>+$C412*BD412</f>
        <v>0</v>
      </c>
      <c r="F412" s="5">
        <f>+$C412*BE412</f>
        <v>0</v>
      </c>
      <c r="G412" s="5">
        <f>+$C412*BF412</f>
        <v>0</v>
      </c>
      <c r="H412" s="5">
        <f>+$C412*BG412</f>
        <v>0</v>
      </c>
      <c r="I412" s="5">
        <f>+$C412*BH412</f>
        <v>0</v>
      </c>
      <c r="J412" s="5">
        <f>+$C412*BI412</f>
        <v>0</v>
      </c>
      <c r="K412" s="5">
        <f>+$C412*BJ412</f>
        <v>0</v>
      </c>
      <c r="L412" s="5">
        <f>+$C412*BK412</f>
        <v>0</v>
      </c>
      <c r="M412" s="5">
        <f>+$C412*BL412</f>
        <v>0</v>
      </c>
      <c r="N412" s="5">
        <f>+$C412*BM412</f>
        <v>0</v>
      </c>
      <c r="O412" s="5">
        <f>+$C412*BN412</f>
        <v>0</v>
      </c>
      <c r="P412" s="5">
        <v>0</v>
      </c>
      <c r="Q412" s="5">
        <f>+$P412*BC412</f>
        <v>0</v>
      </c>
      <c r="R412" s="5">
        <f>+$P412*BD412</f>
        <v>0</v>
      </c>
      <c r="S412" s="5">
        <f>+$P412*BE412</f>
        <v>0</v>
      </c>
      <c r="T412" s="5">
        <f>+$P412*BF412</f>
        <v>0</v>
      </c>
      <c r="U412" s="5">
        <f>+$P412*BG412</f>
        <v>0</v>
      </c>
      <c r="V412" s="5">
        <f>+$P412*BH412</f>
        <v>0</v>
      </c>
      <c r="W412" s="5">
        <f>+$P412*BI412</f>
        <v>0</v>
      </c>
      <c r="X412" s="5">
        <f>+$P412*BJ412</f>
        <v>0</v>
      </c>
      <c r="Y412" s="5">
        <f>+$P412*BK412</f>
        <v>0</v>
      </c>
      <c r="Z412" s="5">
        <f>+$P412*BL412</f>
        <v>0</v>
      </c>
      <c r="AA412" s="5">
        <f>+$P412*BM412</f>
        <v>0</v>
      </c>
      <c r="AB412" s="5">
        <f>+$P412*BN412</f>
        <v>0</v>
      </c>
      <c r="AC412" s="5">
        <v>0</v>
      </c>
      <c r="AD412" s="5">
        <f>+$AC412*BC412</f>
        <v>0</v>
      </c>
      <c r="AE412" s="5">
        <f>+$AC412*BD412</f>
        <v>0</v>
      </c>
      <c r="AF412" s="5">
        <f>+$AC412*BE412</f>
        <v>0</v>
      </c>
      <c r="AG412" s="5">
        <f>+$AC412*BF412</f>
        <v>0</v>
      </c>
      <c r="AH412" s="5">
        <f>+$AC412*BG412</f>
        <v>0</v>
      </c>
      <c r="AI412" s="5">
        <f>+$AC412*BH412</f>
        <v>0</v>
      </c>
      <c r="AJ412" s="5">
        <f>+$AC412*BI412</f>
        <v>0</v>
      </c>
      <c r="AK412" s="5">
        <f>+$AC412*BJ412</f>
        <v>0</v>
      </c>
      <c r="AL412" s="5">
        <f>+$AC412*BK412</f>
        <v>0</v>
      </c>
      <c r="AM412" s="5">
        <f>+$AC412*BL412</f>
        <v>0</v>
      </c>
      <c r="AN412" s="5">
        <f>+$AC412*BM412</f>
        <v>0</v>
      </c>
      <c r="AO412" s="5">
        <f>+$AC412*BN412</f>
        <v>0</v>
      </c>
      <c r="AP412" s="5">
        <f>+AC412+P412+C412</f>
        <v>0</v>
      </c>
      <c r="AQ412" s="1">
        <v>89.524379888249214</v>
      </c>
      <c r="AR412" s="1">
        <v>107.06275211629162</v>
      </c>
      <c r="AS412" s="1">
        <v>94.75132020736946</v>
      </c>
      <c r="AT412" s="1">
        <v>71.770479146645201</v>
      </c>
      <c r="AU412" s="1">
        <v>104.08428600576467</v>
      </c>
      <c r="AV412" s="1">
        <v>85.29695690472623</v>
      </c>
      <c r="AW412" s="1">
        <v>84.919057747666912</v>
      </c>
      <c r="AX412" s="1">
        <v>57.667932136178898</v>
      </c>
      <c r="AY412" s="1">
        <v>85.481183753973795</v>
      </c>
      <c r="AZ412" s="1">
        <v>74.443122491496879</v>
      </c>
      <c r="BA412" s="1">
        <v>76.009249911361636</v>
      </c>
      <c r="BB412" s="1">
        <v>74.239844535877282</v>
      </c>
      <c r="BC412" s="2">
        <v>8.9181565948742242E-2</v>
      </c>
      <c r="BD412" s="2">
        <v>0.10665277883445198</v>
      </c>
      <c r="BE412" s="2">
        <v>9.438849084854764E-2</v>
      </c>
      <c r="BF412" s="2">
        <v>7.149564986855049E-2</v>
      </c>
      <c r="BG412" s="2">
        <v>0.10368571810536763</v>
      </c>
      <c r="BH412" s="2">
        <v>8.4970330952544637E-2</v>
      </c>
      <c r="BI412" s="2">
        <v>8.4593878877262704E-2</v>
      </c>
      <c r="BJ412" s="2">
        <v>5.7447105462779965E-2</v>
      </c>
      <c r="BK412" s="2">
        <v>8.5153852345557474E-2</v>
      </c>
      <c r="BL412" s="2">
        <v>7.4158058913035174E-2</v>
      </c>
      <c r="BM412" s="2">
        <v>7.5718189192107169E-2</v>
      </c>
      <c r="BN412" s="2">
        <v>7.3955559365675619E-2</v>
      </c>
    </row>
    <row r="413" spans="1:66" x14ac:dyDescent="0.25">
      <c r="A413" s="8">
        <v>2668</v>
      </c>
      <c r="B413" s="8" t="s">
        <v>583</v>
      </c>
      <c r="C413" s="5">
        <v>2000</v>
      </c>
      <c r="D413" s="5">
        <f>+$C413*BC413</f>
        <v>178.36313189748449</v>
      </c>
      <c r="E413" s="5">
        <f>+$C413*BD413</f>
        <v>213.30555766890396</v>
      </c>
      <c r="F413" s="5">
        <f>+$C413*BE413</f>
        <v>188.77698169709529</v>
      </c>
      <c r="G413" s="5">
        <f>+$C413*BF413</f>
        <v>142.99129973710097</v>
      </c>
      <c r="H413" s="5">
        <f>+$C413*BG413</f>
        <v>207.37143621073525</v>
      </c>
      <c r="I413" s="5">
        <f>+$C413*BH413</f>
        <v>169.94066190508929</v>
      </c>
      <c r="J413" s="5">
        <f>+$C413*BI413</f>
        <v>169.18775775452542</v>
      </c>
      <c r="K413" s="5">
        <f>+$C413*BJ413</f>
        <v>114.89421092555993</v>
      </c>
      <c r="L413" s="5">
        <f>+$C413*BK413</f>
        <v>170.30770469111494</v>
      </c>
      <c r="M413" s="5">
        <f>+$C413*BL413</f>
        <v>148.31611782607035</v>
      </c>
      <c r="N413" s="5">
        <f>+$C413*BM413</f>
        <v>151.43637838421435</v>
      </c>
      <c r="O413" s="5">
        <f>+$C413*BN413</f>
        <v>147.91111873135125</v>
      </c>
      <c r="P413" s="5">
        <v>0</v>
      </c>
      <c r="Q413" s="5">
        <f>+$P413*BC413</f>
        <v>0</v>
      </c>
      <c r="R413" s="5">
        <f>+$P413*BD413</f>
        <v>0</v>
      </c>
      <c r="S413" s="5">
        <f>+$P413*BE413</f>
        <v>0</v>
      </c>
      <c r="T413" s="5">
        <f>+$P413*BF413</f>
        <v>0</v>
      </c>
      <c r="U413" s="5">
        <f>+$P413*BG413</f>
        <v>0</v>
      </c>
      <c r="V413" s="5">
        <f>+$P413*BH413</f>
        <v>0</v>
      </c>
      <c r="W413" s="5">
        <f>+$P413*BI413</f>
        <v>0</v>
      </c>
      <c r="X413" s="5">
        <f>+$P413*BJ413</f>
        <v>0</v>
      </c>
      <c r="Y413" s="5">
        <f>+$P413*BK413</f>
        <v>0</v>
      </c>
      <c r="Z413" s="5">
        <f>+$P413*BL413</f>
        <v>0</v>
      </c>
      <c r="AA413" s="5">
        <f>+$P413*BM413</f>
        <v>0</v>
      </c>
      <c r="AB413" s="5">
        <f>+$P413*BN413</f>
        <v>0</v>
      </c>
      <c r="AC413" s="5">
        <v>0</v>
      </c>
      <c r="AD413" s="5">
        <f>+$AC413*BC413</f>
        <v>0</v>
      </c>
      <c r="AE413" s="5">
        <f>+$AC413*BD413</f>
        <v>0</v>
      </c>
      <c r="AF413" s="5">
        <f>+$AC413*BE413</f>
        <v>0</v>
      </c>
      <c r="AG413" s="5">
        <f>+$AC413*BF413</f>
        <v>0</v>
      </c>
      <c r="AH413" s="5">
        <f>+$AC413*BG413</f>
        <v>0</v>
      </c>
      <c r="AI413" s="5">
        <f>+$AC413*BH413</f>
        <v>0</v>
      </c>
      <c r="AJ413" s="5">
        <f>+$AC413*BI413</f>
        <v>0</v>
      </c>
      <c r="AK413" s="5">
        <f>+$AC413*BJ413</f>
        <v>0</v>
      </c>
      <c r="AL413" s="5">
        <f>+$AC413*BK413</f>
        <v>0</v>
      </c>
      <c r="AM413" s="5">
        <f>+$AC413*BL413</f>
        <v>0</v>
      </c>
      <c r="AN413" s="5">
        <f>+$AC413*BM413</f>
        <v>0</v>
      </c>
      <c r="AO413" s="5">
        <f>+$AC413*BN413</f>
        <v>0</v>
      </c>
      <c r="AP413" s="5">
        <f>+AC413+P413+C413</f>
        <v>2000</v>
      </c>
      <c r="AQ413" s="1">
        <v>92.36088877481491</v>
      </c>
      <c r="AR413" s="1">
        <v>110.45495039990021</v>
      </c>
      <c r="AS413" s="1">
        <v>97.753440547298368</v>
      </c>
      <c r="AT413" s="1">
        <v>74.044469786364317</v>
      </c>
      <c r="AU413" s="1">
        <v>107.382113955824</v>
      </c>
      <c r="AV413" s="1">
        <v>87.999523251002856</v>
      </c>
      <c r="AW413" s="1">
        <v>87.609650659237133</v>
      </c>
      <c r="AX413" s="1">
        <v>59.495094772528077</v>
      </c>
      <c r="AY413" s="1">
        <v>88.1895871816766</v>
      </c>
      <c r="AZ413" s="1">
        <v>76.80179371328488</v>
      </c>
      <c r="BA413" s="1">
        <v>78.417542636805791</v>
      </c>
      <c r="BB413" s="1">
        <v>76.592075057061962</v>
      </c>
      <c r="BC413" s="2">
        <v>8.9181565948742242E-2</v>
      </c>
      <c r="BD413" s="2">
        <v>0.10665277883445198</v>
      </c>
      <c r="BE413" s="2">
        <v>9.438849084854764E-2</v>
      </c>
      <c r="BF413" s="2">
        <v>7.149564986855049E-2</v>
      </c>
      <c r="BG413" s="2">
        <v>0.10368571810536763</v>
      </c>
      <c r="BH413" s="2">
        <v>8.4970330952544637E-2</v>
      </c>
      <c r="BI413" s="2">
        <v>8.4593878877262704E-2</v>
      </c>
      <c r="BJ413" s="2">
        <v>5.7447105462779965E-2</v>
      </c>
      <c r="BK413" s="2">
        <v>8.5153852345557474E-2</v>
      </c>
      <c r="BL413" s="2">
        <v>7.4158058913035174E-2</v>
      </c>
      <c r="BM413" s="2">
        <v>7.5718189192107169E-2</v>
      </c>
      <c r="BN413" s="2">
        <v>7.3955559365675619E-2</v>
      </c>
    </row>
    <row r="414" spans="1:66" x14ac:dyDescent="0.25">
      <c r="A414" s="8">
        <v>606</v>
      </c>
      <c r="B414" s="8" t="s">
        <v>582</v>
      </c>
      <c r="C414" s="5">
        <v>386.36400000000003</v>
      </c>
      <c r="D414" s="5">
        <f>+$C414*BC414</f>
        <v>34.456546546219847</v>
      </c>
      <c r="E414" s="5">
        <f>+$C414*BD414</f>
        <v>41.20679424159421</v>
      </c>
      <c r="F414" s="5">
        <f>+$C414*BE414</f>
        <v>36.468314878208261</v>
      </c>
      <c r="G414" s="5">
        <f>+$C414*BF414</f>
        <v>27.623345265812645</v>
      </c>
      <c r="H414" s="5">
        <f>+$C414*BG414</f>
        <v>40.060428790062261</v>
      </c>
      <c r="I414" s="5">
        <f>+$C414*BH414</f>
        <v>32.829476948148958</v>
      </c>
      <c r="J414" s="5">
        <f>+$C414*BI414</f>
        <v>32.684029418534728</v>
      </c>
      <c r="K414" s="5">
        <f>+$C414*BJ414</f>
        <v>22.19549345502152</v>
      </c>
      <c r="L414" s="5">
        <f>+$C414*BK414</f>
        <v>32.900383007638972</v>
      </c>
      <c r="M414" s="5">
        <f>+$C414*BL414</f>
        <v>28.652004273875924</v>
      </c>
      <c r="N414" s="5">
        <f>+$C414*BM414</f>
        <v>29.254782449019295</v>
      </c>
      <c r="O414" s="5">
        <f>+$C414*BN414</f>
        <v>28.573765738759896</v>
      </c>
      <c r="P414" s="5">
        <v>0</v>
      </c>
      <c r="Q414" s="5">
        <f>+$P414*BC414</f>
        <v>0</v>
      </c>
      <c r="R414" s="5">
        <f>+$P414*BD414</f>
        <v>0</v>
      </c>
      <c r="S414" s="5">
        <f>+$P414*BE414</f>
        <v>0</v>
      </c>
      <c r="T414" s="5">
        <f>+$P414*BF414</f>
        <v>0</v>
      </c>
      <c r="U414" s="5">
        <f>+$P414*BG414</f>
        <v>0</v>
      </c>
      <c r="V414" s="5">
        <f>+$P414*BH414</f>
        <v>0</v>
      </c>
      <c r="W414" s="5">
        <f>+$P414*BI414</f>
        <v>0</v>
      </c>
      <c r="X414" s="5">
        <f>+$P414*BJ414</f>
        <v>0</v>
      </c>
      <c r="Y414" s="5">
        <f>+$P414*BK414</f>
        <v>0</v>
      </c>
      <c r="Z414" s="5">
        <f>+$P414*BL414</f>
        <v>0</v>
      </c>
      <c r="AA414" s="5">
        <f>+$P414*BM414</f>
        <v>0</v>
      </c>
      <c r="AB414" s="5">
        <f>+$P414*BN414</f>
        <v>0</v>
      </c>
      <c r="AC414" s="5">
        <v>0</v>
      </c>
      <c r="AD414" s="5">
        <f>+$AC414*BC414</f>
        <v>0</v>
      </c>
      <c r="AE414" s="5">
        <f>+$AC414*BD414</f>
        <v>0</v>
      </c>
      <c r="AF414" s="5">
        <f>+$AC414*BE414</f>
        <v>0</v>
      </c>
      <c r="AG414" s="5">
        <f>+$AC414*BF414</f>
        <v>0</v>
      </c>
      <c r="AH414" s="5">
        <f>+$AC414*BG414</f>
        <v>0</v>
      </c>
      <c r="AI414" s="5">
        <f>+$AC414*BH414</f>
        <v>0</v>
      </c>
      <c r="AJ414" s="5">
        <f>+$AC414*BI414</f>
        <v>0</v>
      </c>
      <c r="AK414" s="5">
        <f>+$AC414*BJ414</f>
        <v>0</v>
      </c>
      <c r="AL414" s="5">
        <f>+$AC414*BK414</f>
        <v>0</v>
      </c>
      <c r="AM414" s="5">
        <f>+$AC414*BL414</f>
        <v>0</v>
      </c>
      <c r="AN414" s="5">
        <f>+$AC414*BM414</f>
        <v>0</v>
      </c>
      <c r="AO414" s="5">
        <f>+$AC414*BN414</f>
        <v>0</v>
      </c>
      <c r="AP414" s="5">
        <f>+AC414+P414+C414</f>
        <v>386.36400000000003</v>
      </c>
      <c r="AQ414" s="1">
        <v>79.19938409053357</v>
      </c>
      <c r="AR414" s="1">
        <v>94.715026646732937</v>
      </c>
      <c r="AS414" s="1">
        <v>83.823492679378845</v>
      </c>
      <c r="AT414" s="1">
        <v>63.493070283113759</v>
      </c>
      <c r="AU414" s="1">
        <v>92.08007199211572</v>
      </c>
      <c r="AV414" s="1">
        <v>75.459516838695365</v>
      </c>
      <c r="AW414" s="1">
        <v>75.125201420651806</v>
      </c>
      <c r="AX414" s="1">
        <v>51.016993501225542</v>
      </c>
      <c r="AY414" s="1">
        <v>75.622496498666877</v>
      </c>
      <c r="AZ414" s="1">
        <v>65.857473220840234</v>
      </c>
      <c r="BA414" s="1">
        <v>67.24297655764542</v>
      </c>
      <c r="BB414" s="1">
        <v>65.677639650316181</v>
      </c>
      <c r="BC414" s="2">
        <v>8.9181565948742242E-2</v>
      </c>
      <c r="BD414" s="2">
        <v>0.10665277883445198</v>
      </c>
      <c r="BE414" s="2">
        <v>9.438849084854764E-2</v>
      </c>
      <c r="BF414" s="2">
        <v>7.149564986855049E-2</v>
      </c>
      <c r="BG414" s="2">
        <v>0.10368571810536763</v>
      </c>
      <c r="BH414" s="2">
        <v>8.4970330952544637E-2</v>
      </c>
      <c r="BI414" s="2">
        <v>8.4593878877262704E-2</v>
      </c>
      <c r="BJ414" s="2">
        <v>5.7447105462779965E-2</v>
      </c>
      <c r="BK414" s="2">
        <v>8.5153852345557474E-2</v>
      </c>
      <c r="BL414" s="2">
        <v>7.4158058913035174E-2</v>
      </c>
      <c r="BM414" s="2">
        <v>7.5718189192107169E-2</v>
      </c>
      <c r="BN414" s="2">
        <v>7.3955559365675619E-2</v>
      </c>
    </row>
    <row r="415" spans="1:66" x14ac:dyDescent="0.25">
      <c r="A415" s="8">
        <v>3445</v>
      </c>
      <c r="B415" s="8" t="s">
        <v>581</v>
      </c>
      <c r="C415" s="5">
        <v>859.74900000000002</v>
      </c>
      <c r="D415" s="5">
        <f>+$C415*BC415</f>
        <v>76.673762142865201</v>
      </c>
      <c r="E415" s="5">
        <f>+$C415*BD415</f>
        <v>91.694619950141259</v>
      </c>
      <c r="F415" s="5">
        <f>+$C415*BE415</f>
        <v>81.150410618547994</v>
      </c>
      <c r="G415" s="5">
        <f>+$C415*BF415</f>
        <v>61.468313478836414</v>
      </c>
      <c r="H415" s="5">
        <f>+$C415*BG415</f>
        <v>89.14369245537172</v>
      </c>
      <c r="I415" s="5">
        <f>+$C415*BH415</f>
        <v>73.053157066119297</v>
      </c>
      <c r="J415" s="5">
        <f>+$C415*BI415</f>
        <v>72.729502770847731</v>
      </c>
      <c r="K415" s="5">
        <f>+$C415*BJ415</f>
        <v>49.390091474519615</v>
      </c>
      <c r="L415" s="5">
        <f>+$C415*BK415</f>
        <v>73.21093940024069</v>
      </c>
      <c r="M415" s="5">
        <f>+$C415*BL415</f>
        <v>63.757316992423078</v>
      </c>
      <c r="N415" s="5">
        <f>+$C415*BM415</f>
        <v>65.098637439724953</v>
      </c>
      <c r="O415" s="5">
        <f>+$C415*BN415</f>
        <v>63.58321820908025</v>
      </c>
      <c r="P415" s="5">
        <v>0</v>
      </c>
      <c r="Q415" s="5">
        <f>+$P415*BC415</f>
        <v>0</v>
      </c>
      <c r="R415" s="5">
        <f>+$P415*BD415</f>
        <v>0</v>
      </c>
      <c r="S415" s="5">
        <f>+$P415*BE415</f>
        <v>0</v>
      </c>
      <c r="T415" s="5">
        <f>+$P415*BF415</f>
        <v>0</v>
      </c>
      <c r="U415" s="5">
        <f>+$P415*BG415</f>
        <v>0</v>
      </c>
      <c r="V415" s="5">
        <f>+$P415*BH415</f>
        <v>0</v>
      </c>
      <c r="W415" s="5">
        <f>+$P415*BI415</f>
        <v>0</v>
      </c>
      <c r="X415" s="5">
        <f>+$P415*BJ415</f>
        <v>0</v>
      </c>
      <c r="Y415" s="5">
        <f>+$P415*BK415</f>
        <v>0</v>
      </c>
      <c r="Z415" s="5">
        <f>+$P415*BL415</f>
        <v>0</v>
      </c>
      <c r="AA415" s="5">
        <f>+$P415*BM415</f>
        <v>0</v>
      </c>
      <c r="AB415" s="5">
        <f>+$P415*BN415</f>
        <v>0</v>
      </c>
      <c r="AC415" s="5">
        <v>0</v>
      </c>
      <c r="AD415" s="5">
        <f>+$AC415*BC415</f>
        <v>0</v>
      </c>
      <c r="AE415" s="5">
        <f>+$AC415*BD415</f>
        <v>0</v>
      </c>
      <c r="AF415" s="5">
        <f>+$AC415*BE415</f>
        <v>0</v>
      </c>
      <c r="AG415" s="5">
        <f>+$AC415*BF415</f>
        <v>0</v>
      </c>
      <c r="AH415" s="5">
        <f>+$AC415*BG415</f>
        <v>0</v>
      </c>
      <c r="AI415" s="5">
        <f>+$AC415*BH415</f>
        <v>0</v>
      </c>
      <c r="AJ415" s="5">
        <f>+$AC415*BI415</f>
        <v>0</v>
      </c>
      <c r="AK415" s="5">
        <f>+$AC415*BJ415</f>
        <v>0</v>
      </c>
      <c r="AL415" s="5">
        <f>+$AC415*BK415</f>
        <v>0</v>
      </c>
      <c r="AM415" s="5">
        <f>+$AC415*BL415</f>
        <v>0</v>
      </c>
      <c r="AN415" s="5">
        <f>+$AC415*BM415</f>
        <v>0</v>
      </c>
      <c r="AO415" s="5">
        <f>+$AC415*BN415</f>
        <v>0</v>
      </c>
      <c r="AP415" s="5">
        <f>+AC415+P415+C415</f>
        <v>859.74900000000002</v>
      </c>
      <c r="AQ415" s="1">
        <v>79.047329520590978</v>
      </c>
      <c r="AR415" s="1">
        <v>94.533183658820207</v>
      </c>
      <c r="AS415" s="1">
        <v>83.662560302482078</v>
      </c>
      <c r="AT415" s="1">
        <v>63.371170200087889</v>
      </c>
      <c r="AU415" s="1">
        <v>91.903287842746082</v>
      </c>
      <c r="AV415" s="1">
        <v>75.31464242442128</v>
      </c>
      <c r="AW415" s="1">
        <v>74.980968857166076</v>
      </c>
      <c r="AX415" s="1">
        <v>50.919046186411506</v>
      </c>
      <c r="AY415" s="1">
        <v>75.477309180417706</v>
      </c>
      <c r="AZ415" s="1">
        <v>65.731033730393506</v>
      </c>
      <c r="BA415" s="1">
        <v>67.113877045072883</v>
      </c>
      <c r="BB415" s="1">
        <v>65.551545421597709</v>
      </c>
      <c r="BC415" s="2">
        <v>8.9181565948742242E-2</v>
      </c>
      <c r="BD415" s="2">
        <v>0.10665277883445198</v>
      </c>
      <c r="BE415" s="2">
        <v>9.438849084854764E-2</v>
      </c>
      <c r="BF415" s="2">
        <v>7.149564986855049E-2</v>
      </c>
      <c r="BG415" s="2">
        <v>0.10368571810536763</v>
      </c>
      <c r="BH415" s="2">
        <v>8.4970330952544637E-2</v>
      </c>
      <c r="BI415" s="2">
        <v>8.4593878877262704E-2</v>
      </c>
      <c r="BJ415" s="2">
        <v>5.7447105462779965E-2</v>
      </c>
      <c r="BK415" s="2">
        <v>8.5153852345557474E-2</v>
      </c>
      <c r="BL415" s="2">
        <v>7.4158058913035174E-2</v>
      </c>
      <c r="BM415" s="2">
        <v>7.5718189192107169E-2</v>
      </c>
      <c r="BN415" s="2">
        <v>7.3955559365675619E-2</v>
      </c>
    </row>
    <row r="416" spans="1:66" x14ac:dyDescent="0.25">
      <c r="A416" s="8">
        <v>5216</v>
      </c>
      <c r="B416" s="8" t="s">
        <v>580</v>
      </c>
      <c r="C416" s="5">
        <v>845.46000000000015</v>
      </c>
      <c r="D416" s="5">
        <f>+$C416*BC416</f>
        <v>75.399446747023632</v>
      </c>
      <c r="E416" s="5">
        <f>+$C416*BD416</f>
        <v>90.170658393375788</v>
      </c>
      <c r="F416" s="5">
        <f>+$C416*BE416</f>
        <v>79.801693472813099</v>
      </c>
      <c r="G416" s="5">
        <f>+$C416*BF416</f>
        <v>60.446712137864708</v>
      </c>
      <c r="H416" s="5">
        <f>+$C416*BG416</f>
        <v>87.662127229364131</v>
      </c>
      <c r="I416" s="5">
        <f>+$C416*BH416</f>
        <v>71.839016007138397</v>
      </c>
      <c r="J416" s="5">
        <f>+$C416*BI416</f>
        <v>71.520740835570535</v>
      </c>
      <c r="K416" s="5">
        <f>+$C416*BJ416</f>
        <v>48.569229784561955</v>
      </c>
      <c r="L416" s="5">
        <f>+$C416*BK416</f>
        <v>71.99417600407503</v>
      </c>
      <c r="M416" s="5">
        <f>+$C416*BL416</f>
        <v>62.697672488614728</v>
      </c>
      <c r="N416" s="5">
        <f>+$C416*BM416</f>
        <v>64.016700234358936</v>
      </c>
      <c r="O416" s="5">
        <f>+$C416*BN416</f>
        <v>62.526467221304117</v>
      </c>
      <c r="P416" s="5">
        <v>0</v>
      </c>
      <c r="Q416" s="5">
        <f>+$P416*BC416</f>
        <v>0</v>
      </c>
      <c r="R416" s="5">
        <f>+$P416*BD416</f>
        <v>0</v>
      </c>
      <c r="S416" s="5">
        <f>+$P416*BE416</f>
        <v>0</v>
      </c>
      <c r="T416" s="5">
        <f>+$P416*BF416</f>
        <v>0</v>
      </c>
      <c r="U416" s="5">
        <f>+$P416*BG416</f>
        <v>0</v>
      </c>
      <c r="V416" s="5">
        <f>+$P416*BH416</f>
        <v>0</v>
      </c>
      <c r="W416" s="5">
        <f>+$P416*BI416</f>
        <v>0</v>
      </c>
      <c r="X416" s="5">
        <f>+$P416*BJ416</f>
        <v>0</v>
      </c>
      <c r="Y416" s="5">
        <f>+$P416*BK416</f>
        <v>0</v>
      </c>
      <c r="Z416" s="5">
        <f>+$P416*BL416</f>
        <v>0</v>
      </c>
      <c r="AA416" s="5">
        <f>+$P416*BM416</f>
        <v>0</v>
      </c>
      <c r="AB416" s="5">
        <f>+$P416*BN416</f>
        <v>0</v>
      </c>
      <c r="AC416" s="5">
        <v>0</v>
      </c>
      <c r="AD416" s="5">
        <f>+$AC416*BC416</f>
        <v>0</v>
      </c>
      <c r="AE416" s="5">
        <f>+$AC416*BD416</f>
        <v>0</v>
      </c>
      <c r="AF416" s="5">
        <f>+$AC416*BE416</f>
        <v>0</v>
      </c>
      <c r="AG416" s="5">
        <f>+$AC416*BF416</f>
        <v>0</v>
      </c>
      <c r="AH416" s="5">
        <f>+$AC416*BG416</f>
        <v>0</v>
      </c>
      <c r="AI416" s="5">
        <f>+$AC416*BH416</f>
        <v>0</v>
      </c>
      <c r="AJ416" s="5">
        <f>+$AC416*BI416</f>
        <v>0</v>
      </c>
      <c r="AK416" s="5">
        <f>+$AC416*BJ416</f>
        <v>0</v>
      </c>
      <c r="AL416" s="5">
        <f>+$AC416*BK416</f>
        <v>0</v>
      </c>
      <c r="AM416" s="5">
        <f>+$AC416*BL416</f>
        <v>0</v>
      </c>
      <c r="AN416" s="5">
        <f>+$AC416*BM416</f>
        <v>0</v>
      </c>
      <c r="AO416" s="5">
        <f>+$AC416*BN416</f>
        <v>0</v>
      </c>
      <c r="AP416" s="5">
        <f>+AC416+P416+C416</f>
        <v>845.46000000000015</v>
      </c>
      <c r="AQ416" s="1">
        <v>76.673762142865201</v>
      </c>
      <c r="AR416" s="1">
        <v>91.694619950141259</v>
      </c>
      <c r="AS416" s="1">
        <v>81.150410618547994</v>
      </c>
      <c r="AT416" s="1">
        <v>61.468313478836414</v>
      </c>
      <c r="AU416" s="1">
        <v>89.14369245537172</v>
      </c>
      <c r="AV416" s="1">
        <v>73.053157066119297</v>
      </c>
      <c r="AW416" s="1">
        <v>72.729502770847731</v>
      </c>
      <c r="AX416" s="1">
        <v>49.390091474519615</v>
      </c>
      <c r="AY416" s="1">
        <v>73.21093940024069</v>
      </c>
      <c r="AZ416" s="1">
        <v>63.757316992423078</v>
      </c>
      <c r="BA416" s="1">
        <v>65.098637439724953</v>
      </c>
      <c r="BB416" s="1">
        <v>63.58321820908025</v>
      </c>
      <c r="BC416" s="2">
        <v>8.9181565948742242E-2</v>
      </c>
      <c r="BD416" s="2">
        <v>0.10665277883445198</v>
      </c>
      <c r="BE416" s="2">
        <v>9.438849084854764E-2</v>
      </c>
      <c r="BF416" s="2">
        <v>7.149564986855049E-2</v>
      </c>
      <c r="BG416" s="2">
        <v>0.10368571810536763</v>
      </c>
      <c r="BH416" s="2">
        <v>8.4970330952544637E-2</v>
      </c>
      <c r="BI416" s="2">
        <v>8.4593878877262704E-2</v>
      </c>
      <c r="BJ416" s="2">
        <v>5.7447105462779965E-2</v>
      </c>
      <c r="BK416" s="2">
        <v>8.5153852345557474E-2</v>
      </c>
      <c r="BL416" s="2">
        <v>7.4158058913035174E-2</v>
      </c>
      <c r="BM416" s="2">
        <v>7.5718189192107169E-2</v>
      </c>
      <c r="BN416" s="2">
        <v>7.3955559365675619E-2</v>
      </c>
    </row>
    <row r="417" spans="1:66" x14ac:dyDescent="0.25">
      <c r="A417" s="8">
        <v>6652</v>
      </c>
      <c r="B417" s="8" t="s">
        <v>579</v>
      </c>
      <c r="C417" s="5">
        <v>1700</v>
      </c>
      <c r="D417" s="5">
        <f>+$C417*BC417</f>
        <v>151.60866211286182</v>
      </c>
      <c r="E417" s="5">
        <f>+$C417*BD417</f>
        <v>181.30972401856837</v>
      </c>
      <c r="F417" s="5">
        <f>+$C417*BE417</f>
        <v>160.46043444253098</v>
      </c>
      <c r="G417" s="5">
        <f>+$C417*BF417</f>
        <v>121.54260477653584</v>
      </c>
      <c r="H417" s="5">
        <f>+$C417*BG417</f>
        <v>176.26572077912496</v>
      </c>
      <c r="I417" s="5">
        <f>+$C417*BH417</f>
        <v>144.44956261932589</v>
      </c>
      <c r="J417" s="5">
        <f>+$C417*BI417</f>
        <v>143.80959409134661</v>
      </c>
      <c r="K417" s="5">
        <f>+$C417*BJ417</f>
        <v>97.660079286725946</v>
      </c>
      <c r="L417" s="5">
        <f>+$C417*BK417</f>
        <v>144.7615489874477</v>
      </c>
      <c r="M417" s="5">
        <f>+$C417*BL417</f>
        <v>126.06870015215979</v>
      </c>
      <c r="N417" s="5">
        <f>+$C417*BM417</f>
        <v>128.7209216265822</v>
      </c>
      <c r="O417" s="5">
        <f>+$C417*BN417</f>
        <v>125.72445092164855</v>
      </c>
      <c r="P417" s="5">
        <v>0</v>
      </c>
      <c r="Q417" s="5">
        <f>+$P417*BC417</f>
        <v>0</v>
      </c>
      <c r="R417" s="5">
        <f>+$P417*BD417</f>
        <v>0</v>
      </c>
      <c r="S417" s="5">
        <f>+$P417*BE417</f>
        <v>0</v>
      </c>
      <c r="T417" s="5">
        <f>+$P417*BF417</f>
        <v>0</v>
      </c>
      <c r="U417" s="5">
        <f>+$P417*BG417</f>
        <v>0</v>
      </c>
      <c r="V417" s="5">
        <f>+$P417*BH417</f>
        <v>0</v>
      </c>
      <c r="W417" s="5">
        <f>+$P417*BI417</f>
        <v>0</v>
      </c>
      <c r="X417" s="5">
        <f>+$P417*BJ417</f>
        <v>0</v>
      </c>
      <c r="Y417" s="5">
        <f>+$P417*BK417</f>
        <v>0</v>
      </c>
      <c r="Z417" s="5">
        <f>+$P417*BL417</f>
        <v>0</v>
      </c>
      <c r="AA417" s="5">
        <f>+$P417*BM417</f>
        <v>0</v>
      </c>
      <c r="AB417" s="5">
        <f>+$P417*BN417</f>
        <v>0</v>
      </c>
      <c r="AC417" s="5">
        <v>0</v>
      </c>
      <c r="AD417" s="5">
        <f>+$AC417*BC417</f>
        <v>0</v>
      </c>
      <c r="AE417" s="5">
        <f>+$AC417*BD417</f>
        <v>0</v>
      </c>
      <c r="AF417" s="5">
        <f>+$AC417*BE417</f>
        <v>0</v>
      </c>
      <c r="AG417" s="5">
        <f>+$AC417*BF417</f>
        <v>0</v>
      </c>
      <c r="AH417" s="5">
        <f>+$AC417*BG417</f>
        <v>0</v>
      </c>
      <c r="AI417" s="5">
        <f>+$AC417*BH417</f>
        <v>0</v>
      </c>
      <c r="AJ417" s="5">
        <f>+$AC417*BI417</f>
        <v>0</v>
      </c>
      <c r="AK417" s="5">
        <f>+$AC417*BJ417</f>
        <v>0</v>
      </c>
      <c r="AL417" s="5">
        <f>+$AC417*BK417</f>
        <v>0</v>
      </c>
      <c r="AM417" s="5">
        <f>+$AC417*BL417</f>
        <v>0</v>
      </c>
      <c r="AN417" s="5">
        <f>+$AC417*BM417</f>
        <v>0</v>
      </c>
      <c r="AO417" s="5">
        <f>+$AC417*BN417</f>
        <v>0</v>
      </c>
      <c r="AP417" s="5">
        <f>+AC417+P417+C417</f>
        <v>1700</v>
      </c>
      <c r="AQ417" s="1">
        <v>75.399446747023632</v>
      </c>
      <c r="AR417" s="1">
        <v>90.170658393375788</v>
      </c>
      <c r="AS417" s="1">
        <v>79.801693472813099</v>
      </c>
      <c r="AT417" s="1">
        <v>60.446712137864708</v>
      </c>
      <c r="AU417" s="1">
        <v>87.662127229364131</v>
      </c>
      <c r="AV417" s="1">
        <v>71.839016007138397</v>
      </c>
      <c r="AW417" s="1">
        <v>71.520740835570535</v>
      </c>
      <c r="AX417" s="1">
        <v>48.569229784561955</v>
      </c>
      <c r="AY417" s="1">
        <v>71.99417600407503</v>
      </c>
      <c r="AZ417" s="1">
        <v>62.697672488614728</v>
      </c>
      <c r="BA417" s="1">
        <v>64.016700234358936</v>
      </c>
      <c r="BB417" s="1">
        <v>62.526467221304117</v>
      </c>
      <c r="BC417" s="2">
        <v>8.9181565948742242E-2</v>
      </c>
      <c r="BD417" s="2">
        <v>0.10665277883445198</v>
      </c>
      <c r="BE417" s="2">
        <v>9.438849084854764E-2</v>
      </c>
      <c r="BF417" s="2">
        <v>7.149564986855049E-2</v>
      </c>
      <c r="BG417" s="2">
        <v>0.10368571810536763</v>
      </c>
      <c r="BH417" s="2">
        <v>8.4970330952544637E-2</v>
      </c>
      <c r="BI417" s="2">
        <v>8.4593878877262704E-2</v>
      </c>
      <c r="BJ417" s="2">
        <v>5.7447105462779965E-2</v>
      </c>
      <c r="BK417" s="2">
        <v>8.5153852345557474E-2</v>
      </c>
      <c r="BL417" s="2">
        <v>7.4158058913035174E-2</v>
      </c>
      <c r="BM417" s="2">
        <v>7.5718189192107169E-2</v>
      </c>
      <c r="BN417" s="2">
        <v>7.3955559365675619E-2</v>
      </c>
    </row>
    <row r="418" spans="1:66" x14ac:dyDescent="0.25">
      <c r="A418" s="8">
        <v>2930</v>
      </c>
      <c r="B418" s="8" t="s">
        <v>578</v>
      </c>
      <c r="C418" s="5">
        <v>840.19100000000014</v>
      </c>
      <c r="D418" s="5">
        <f>+$C418*BC418</f>
        <v>74.929549076039706</v>
      </c>
      <c r="E418" s="5">
        <f>+$C418*BD418</f>
        <v>89.608704901697067</v>
      </c>
      <c r="F418" s="5">
        <f>+$C418*BE418</f>
        <v>79.304360514532107</v>
      </c>
      <c r="G418" s="5">
        <f>+$C418*BF418</f>
        <v>60.070001558707318</v>
      </c>
      <c r="H418" s="5">
        <f>+$C418*BG418</f>
        <v>87.115807180666948</v>
      </c>
      <c r="I418" s="5">
        <f>+$C418*BH418</f>
        <v>71.391307333349445</v>
      </c>
      <c r="J418" s="5">
        <f>+$C418*BI418</f>
        <v>71.075015687766239</v>
      </c>
      <c r="K418" s="5">
        <f>+$C418*BJ418</f>
        <v>48.266540985878571</v>
      </c>
      <c r="L418" s="5">
        <f>+$C418*BK418</f>
        <v>71.545500356066285</v>
      </c>
      <c r="M418" s="5">
        <f>+$C418*BL418</f>
        <v>62.306933676201943</v>
      </c>
      <c r="N418" s="5">
        <f>+$C418*BM418</f>
        <v>63.617741095505728</v>
      </c>
      <c r="O418" s="5">
        <f>+$C418*BN418</f>
        <v>62.136795379006372</v>
      </c>
      <c r="P418" s="5">
        <v>0</v>
      </c>
      <c r="Q418" s="5">
        <f>+$P418*BC418</f>
        <v>0</v>
      </c>
      <c r="R418" s="5">
        <f>+$P418*BD418</f>
        <v>0</v>
      </c>
      <c r="S418" s="5">
        <f>+$P418*BE418</f>
        <v>0</v>
      </c>
      <c r="T418" s="5">
        <f>+$P418*BF418</f>
        <v>0</v>
      </c>
      <c r="U418" s="5">
        <f>+$P418*BG418</f>
        <v>0</v>
      </c>
      <c r="V418" s="5">
        <f>+$P418*BH418</f>
        <v>0</v>
      </c>
      <c r="W418" s="5">
        <f>+$P418*BI418</f>
        <v>0</v>
      </c>
      <c r="X418" s="5">
        <f>+$P418*BJ418</f>
        <v>0</v>
      </c>
      <c r="Y418" s="5">
        <f>+$P418*BK418</f>
        <v>0</v>
      </c>
      <c r="Z418" s="5">
        <f>+$P418*BL418</f>
        <v>0</v>
      </c>
      <c r="AA418" s="5">
        <f>+$P418*BM418</f>
        <v>0</v>
      </c>
      <c r="AB418" s="5">
        <f>+$P418*BN418</f>
        <v>0</v>
      </c>
      <c r="AC418" s="5">
        <v>0</v>
      </c>
      <c r="AD418" s="5">
        <f>+$AC418*BC418</f>
        <v>0</v>
      </c>
      <c r="AE418" s="5">
        <f>+$AC418*BD418</f>
        <v>0</v>
      </c>
      <c r="AF418" s="5">
        <f>+$AC418*BE418</f>
        <v>0</v>
      </c>
      <c r="AG418" s="5">
        <f>+$AC418*BF418</f>
        <v>0</v>
      </c>
      <c r="AH418" s="5">
        <f>+$AC418*BG418</f>
        <v>0</v>
      </c>
      <c r="AI418" s="5">
        <f>+$AC418*BH418</f>
        <v>0</v>
      </c>
      <c r="AJ418" s="5">
        <f>+$AC418*BI418</f>
        <v>0</v>
      </c>
      <c r="AK418" s="5">
        <f>+$AC418*BJ418</f>
        <v>0</v>
      </c>
      <c r="AL418" s="5">
        <f>+$AC418*BK418</f>
        <v>0</v>
      </c>
      <c r="AM418" s="5">
        <f>+$AC418*BL418</f>
        <v>0</v>
      </c>
      <c r="AN418" s="5">
        <f>+$AC418*BM418</f>
        <v>0</v>
      </c>
      <c r="AO418" s="5">
        <f>+$AC418*BN418</f>
        <v>0</v>
      </c>
      <c r="AP418" s="5">
        <f>+AC418+P418+C418</f>
        <v>840.19100000000014</v>
      </c>
      <c r="AQ418" s="1">
        <v>81.973109154671349</v>
      </c>
      <c r="AR418" s="1">
        <v>98.032141374042055</v>
      </c>
      <c r="AS418" s="1">
        <v>86.759163521750381</v>
      </c>
      <c r="AT418" s="1">
        <v>65.71672798532542</v>
      </c>
      <c r="AU418" s="1">
        <v>95.304905196628866</v>
      </c>
      <c r="AV418" s="1">
        <v>78.102264071981395</v>
      </c>
      <c r="AW418" s="1">
        <v>77.756240241492435</v>
      </c>
      <c r="AX418" s="1">
        <v>52.803713375328918</v>
      </c>
      <c r="AY418" s="1">
        <v>78.270951614318406</v>
      </c>
      <c r="AZ418" s="1">
        <v>68.163937169153456</v>
      </c>
      <c r="BA418" s="1">
        <v>69.597963677898335</v>
      </c>
      <c r="BB418" s="1">
        <v>67.977805457707419</v>
      </c>
      <c r="BC418" s="2">
        <v>8.9181565948742242E-2</v>
      </c>
      <c r="BD418" s="2">
        <v>0.10665277883445198</v>
      </c>
      <c r="BE418" s="2">
        <v>9.438849084854764E-2</v>
      </c>
      <c r="BF418" s="2">
        <v>7.149564986855049E-2</v>
      </c>
      <c r="BG418" s="2">
        <v>0.10368571810536763</v>
      </c>
      <c r="BH418" s="2">
        <v>8.4970330952544637E-2</v>
      </c>
      <c r="BI418" s="2">
        <v>8.4593878877262704E-2</v>
      </c>
      <c r="BJ418" s="2">
        <v>5.7447105462779965E-2</v>
      </c>
      <c r="BK418" s="2">
        <v>8.5153852345557474E-2</v>
      </c>
      <c r="BL418" s="2">
        <v>7.4158058913035174E-2</v>
      </c>
      <c r="BM418" s="2">
        <v>7.5718189192107169E-2</v>
      </c>
      <c r="BN418" s="2">
        <v>7.3955559365675619E-2</v>
      </c>
    </row>
    <row r="419" spans="1:66" x14ac:dyDescent="0.25">
      <c r="A419" s="8">
        <v>3374</v>
      </c>
      <c r="B419" s="8" t="s">
        <v>577</v>
      </c>
      <c r="C419" s="5">
        <v>815.38600000000008</v>
      </c>
      <c r="D419" s="5">
        <f>+$C419*BC419</f>
        <v>72.717400332681152</v>
      </c>
      <c r="E419" s="5">
        <f>+$C419*BD419</f>
        <v>86.963182722708467</v>
      </c>
      <c r="F419" s="5">
        <f>+$C419*BE419</f>
        <v>76.963053999033875</v>
      </c>
      <c r="G419" s="5">
        <f>+$C419*BF419</f>
        <v>58.296551963717917</v>
      </c>
      <c r="H419" s="5">
        <f>+$C419*BG419</f>
        <v>84.543882943063295</v>
      </c>
      <c r="I419" s="5">
        <f>+$C419*BH419</f>
        <v>69.283618274071571</v>
      </c>
      <c r="J419" s="5">
        <f>+$C419*BI419</f>
        <v>68.976664522215728</v>
      </c>
      <c r="K419" s="5">
        <f>+$C419*BJ419</f>
        <v>46.841565534874313</v>
      </c>
      <c r="L419" s="5">
        <f>+$C419*BK419</f>
        <v>69.433259048634739</v>
      </c>
      <c r="M419" s="5">
        <f>+$C419*BL419</f>
        <v>60.467443024864103</v>
      </c>
      <c r="N419" s="5">
        <f>+$C419*BM419</f>
        <v>61.739551412595503</v>
      </c>
      <c r="O419" s="5">
        <f>+$C419*BN419</f>
        <v>60.302327728940789</v>
      </c>
      <c r="P419" s="5">
        <v>0</v>
      </c>
      <c r="Q419" s="5">
        <f>+$P419*BC419</f>
        <v>0</v>
      </c>
      <c r="R419" s="5">
        <f>+$P419*BD419</f>
        <v>0</v>
      </c>
      <c r="S419" s="5">
        <f>+$P419*BE419</f>
        <v>0</v>
      </c>
      <c r="T419" s="5">
        <f>+$P419*BF419</f>
        <v>0</v>
      </c>
      <c r="U419" s="5">
        <f>+$P419*BG419</f>
        <v>0</v>
      </c>
      <c r="V419" s="5">
        <f>+$P419*BH419</f>
        <v>0</v>
      </c>
      <c r="W419" s="5">
        <f>+$P419*BI419</f>
        <v>0</v>
      </c>
      <c r="X419" s="5">
        <f>+$P419*BJ419</f>
        <v>0</v>
      </c>
      <c r="Y419" s="5">
        <f>+$P419*BK419</f>
        <v>0</v>
      </c>
      <c r="Z419" s="5">
        <f>+$P419*BL419</f>
        <v>0</v>
      </c>
      <c r="AA419" s="5">
        <f>+$P419*BM419</f>
        <v>0</v>
      </c>
      <c r="AB419" s="5">
        <f>+$P419*BN419</f>
        <v>0</v>
      </c>
      <c r="AC419" s="5">
        <v>0</v>
      </c>
      <c r="AD419" s="5">
        <f>+$AC419*BC419</f>
        <v>0</v>
      </c>
      <c r="AE419" s="5">
        <f>+$AC419*BD419</f>
        <v>0</v>
      </c>
      <c r="AF419" s="5">
        <f>+$AC419*BE419</f>
        <v>0</v>
      </c>
      <c r="AG419" s="5">
        <f>+$AC419*BF419</f>
        <v>0</v>
      </c>
      <c r="AH419" s="5">
        <f>+$AC419*BG419</f>
        <v>0</v>
      </c>
      <c r="AI419" s="5">
        <f>+$AC419*BH419</f>
        <v>0</v>
      </c>
      <c r="AJ419" s="5">
        <f>+$AC419*BI419</f>
        <v>0</v>
      </c>
      <c r="AK419" s="5">
        <f>+$AC419*BJ419</f>
        <v>0</v>
      </c>
      <c r="AL419" s="5">
        <f>+$AC419*BK419</f>
        <v>0</v>
      </c>
      <c r="AM419" s="5">
        <f>+$AC419*BL419</f>
        <v>0</v>
      </c>
      <c r="AN419" s="5">
        <f>+$AC419*BM419</f>
        <v>0</v>
      </c>
      <c r="AO419" s="5">
        <f>+$AC419*BN419</f>
        <v>0</v>
      </c>
      <c r="AP419" s="5">
        <f>+AC419+P419+C419</f>
        <v>815.38600000000008</v>
      </c>
      <c r="AQ419" s="1">
        <v>92.543354258746035</v>
      </c>
      <c r="AR419" s="1">
        <v>110.6731619853955</v>
      </c>
      <c r="AS419" s="1">
        <v>97.946559399574511</v>
      </c>
      <c r="AT419" s="1">
        <v>74.190749885995373</v>
      </c>
      <c r="AU419" s="1">
        <v>107.59425493506758</v>
      </c>
      <c r="AV419" s="1">
        <v>88.173372548131766</v>
      </c>
      <c r="AW419" s="1">
        <v>87.782729735420006</v>
      </c>
      <c r="AX419" s="1">
        <v>59.612631550304926</v>
      </c>
      <c r="AY419" s="1">
        <v>88.363811963575614</v>
      </c>
      <c r="AZ419" s="1">
        <v>76.953521101820954</v>
      </c>
      <c r="BA419" s="1">
        <v>78.572462051892856</v>
      </c>
      <c r="BB419" s="1">
        <v>76.743388131524142</v>
      </c>
      <c r="BC419" s="2">
        <v>8.9181565948742242E-2</v>
      </c>
      <c r="BD419" s="2">
        <v>0.10665277883445198</v>
      </c>
      <c r="BE419" s="2">
        <v>9.438849084854764E-2</v>
      </c>
      <c r="BF419" s="2">
        <v>7.149564986855049E-2</v>
      </c>
      <c r="BG419" s="2">
        <v>0.10368571810536763</v>
      </c>
      <c r="BH419" s="2">
        <v>8.4970330952544637E-2</v>
      </c>
      <c r="BI419" s="2">
        <v>8.4593878877262704E-2</v>
      </c>
      <c r="BJ419" s="2">
        <v>5.7447105462779965E-2</v>
      </c>
      <c r="BK419" s="2">
        <v>8.5153852345557474E-2</v>
      </c>
      <c r="BL419" s="2">
        <v>7.4158058913035174E-2</v>
      </c>
      <c r="BM419" s="2">
        <v>7.5718189192107169E-2</v>
      </c>
      <c r="BN419" s="2">
        <v>7.3955559365675619E-2</v>
      </c>
    </row>
    <row r="420" spans="1:66" x14ac:dyDescent="0.25">
      <c r="A420" s="8">
        <v>5004</v>
      </c>
      <c r="B420" s="8" t="s">
        <v>576</v>
      </c>
      <c r="C420" s="5">
        <v>1000</v>
      </c>
      <c r="D420" s="5">
        <f>+$C420*BC420</f>
        <v>89.181565948742247</v>
      </c>
      <c r="E420" s="5">
        <f>+$C420*BD420</f>
        <v>106.65277883445198</v>
      </c>
      <c r="F420" s="5">
        <f>+$C420*BE420</f>
        <v>94.388490848547647</v>
      </c>
      <c r="G420" s="5">
        <f>+$C420*BF420</f>
        <v>71.495649868550487</v>
      </c>
      <c r="H420" s="5">
        <f>+$C420*BG420</f>
        <v>103.68571810536763</v>
      </c>
      <c r="I420" s="5">
        <f>+$C420*BH420</f>
        <v>84.970330952544643</v>
      </c>
      <c r="J420" s="5">
        <f>+$C420*BI420</f>
        <v>84.593878877262711</v>
      </c>
      <c r="K420" s="5">
        <f>+$C420*BJ420</f>
        <v>57.447105462779966</v>
      </c>
      <c r="L420" s="5">
        <f>+$C420*BK420</f>
        <v>85.153852345557468</v>
      </c>
      <c r="M420" s="5">
        <f>+$C420*BL420</f>
        <v>74.158058913035177</v>
      </c>
      <c r="N420" s="5">
        <f>+$C420*BM420</f>
        <v>75.718189192107175</v>
      </c>
      <c r="O420" s="5">
        <f>+$C420*BN420</f>
        <v>73.955559365675626</v>
      </c>
      <c r="P420" s="5">
        <v>0</v>
      </c>
      <c r="Q420" s="5">
        <f>+$P420*BC420</f>
        <v>0</v>
      </c>
      <c r="R420" s="5">
        <f>+$P420*BD420</f>
        <v>0</v>
      </c>
      <c r="S420" s="5">
        <f>+$P420*BE420</f>
        <v>0</v>
      </c>
      <c r="T420" s="5">
        <f>+$P420*BF420</f>
        <v>0</v>
      </c>
      <c r="U420" s="5">
        <f>+$P420*BG420</f>
        <v>0</v>
      </c>
      <c r="V420" s="5">
        <f>+$P420*BH420</f>
        <v>0</v>
      </c>
      <c r="W420" s="5">
        <f>+$P420*BI420</f>
        <v>0</v>
      </c>
      <c r="X420" s="5">
        <f>+$P420*BJ420</f>
        <v>0</v>
      </c>
      <c r="Y420" s="5">
        <f>+$P420*BK420</f>
        <v>0</v>
      </c>
      <c r="Z420" s="5">
        <f>+$P420*BL420</f>
        <v>0</v>
      </c>
      <c r="AA420" s="5">
        <f>+$P420*BM420</f>
        <v>0</v>
      </c>
      <c r="AB420" s="5">
        <f>+$P420*BN420</f>
        <v>0</v>
      </c>
      <c r="AC420" s="5">
        <v>2500</v>
      </c>
      <c r="AD420" s="5">
        <f>+$AC420*BC420</f>
        <v>222.9539148718556</v>
      </c>
      <c r="AE420" s="5">
        <f>+$AC420*BD420</f>
        <v>266.63194708612997</v>
      </c>
      <c r="AF420" s="5">
        <f>+$AC420*BE420</f>
        <v>235.97122712136911</v>
      </c>
      <c r="AG420" s="5">
        <f>+$AC420*BF420</f>
        <v>178.73912467137623</v>
      </c>
      <c r="AH420" s="5">
        <f>+$AC420*BG420</f>
        <v>259.21429526341905</v>
      </c>
      <c r="AI420" s="5">
        <f>+$AC420*BH420</f>
        <v>212.42582738136159</v>
      </c>
      <c r="AJ420" s="5">
        <f>+$AC420*BI420</f>
        <v>211.48469719315676</v>
      </c>
      <c r="AK420" s="5">
        <f>+$AC420*BJ420</f>
        <v>143.6177636569499</v>
      </c>
      <c r="AL420" s="5">
        <f>+$AC420*BK420</f>
        <v>212.88463086389368</v>
      </c>
      <c r="AM420" s="5">
        <f>+$AC420*BL420</f>
        <v>185.39514728258794</v>
      </c>
      <c r="AN420" s="5">
        <f>+$AC420*BM420</f>
        <v>189.29547298026793</v>
      </c>
      <c r="AO420" s="5">
        <f>+$AC420*BN420</f>
        <v>184.88889841418904</v>
      </c>
      <c r="AP420" s="5">
        <f>+AC420+P420+C420</f>
        <v>3500</v>
      </c>
      <c r="AQ420" s="1">
        <v>72.717400332681152</v>
      </c>
      <c r="AR420" s="1">
        <v>86.963182722708467</v>
      </c>
      <c r="AS420" s="1">
        <v>76.963053999033875</v>
      </c>
      <c r="AT420" s="1">
        <v>58.296551963717917</v>
      </c>
      <c r="AU420" s="1">
        <v>84.543882943063295</v>
      </c>
      <c r="AV420" s="1">
        <v>69.283618274071571</v>
      </c>
      <c r="AW420" s="1">
        <v>68.976664522215728</v>
      </c>
      <c r="AX420" s="1">
        <v>46.841565534874313</v>
      </c>
      <c r="AY420" s="1">
        <v>69.433259048634739</v>
      </c>
      <c r="AZ420" s="1">
        <v>60.467443024864103</v>
      </c>
      <c r="BA420" s="1">
        <v>61.739551412595503</v>
      </c>
      <c r="BB420" s="1">
        <v>60.302327728940789</v>
      </c>
      <c r="BC420" s="2">
        <v>8.9181565948742242E-2</v>
      </c>
      <c r="BD420" s="2">
        <v>0.10665277883445198</v>
      </c>
      <c r="BE420" s="2">
        <v>9.438849084854764E-2</v>
      </c>
      <c r="BF420" s="2">
        <v>7.149564986855049E-2</v>
      </c>
      <c r="BG420" s="2">
        <v>0.10368571810536763</v>
      </c>
      <c r="BH420" s="2">
        <v>8.4970330952544637E-2</v>
      </c>
      <c r="BI420" s="2">
        <v>8.4593878877262704E-2</v>
      </c>
      <c r="BJ420" s="2">
        <v>5.7447105462779965E-2</v>
      </c>
      <c r="BK420" s="2">
        <v>8.5153852345557474E-2</v>
      </c>
      <c r="BL420" s="2">
        <v>7.4158058913035174E-2</v>
      </c>
      <c r="BM420" s="2">
        <v>7.5718189192107169E-2</v>
      </c>
      <c r="BN420" s="2">
        <v>7.3955559365675619E-2</v>
      </c>
    </row>
    <row r="421" spans="1:66" x14ac:dyDescent="0.25">
      <c r="A421" s="8">
        <v>6594</v>
      </c>
      <c r="B421" s="8" t="s">
        <v>575</v>
      </c>
      <c r="C421" s="5">
        <v>0</v>
      </c>
      <c r="D421" s="5">
        <f>+$C421*BC421</f>
        <v>0</v>
      </c>
      <c r="E421" s="5">
        <f>+$C421*BD421</f>
        <v>0</v>
      </c>
      <c r="F421" s="5">
        <f>+$C421*BE421</f>
        <v>0</v>
      </c>
      <c r="G421" s="5">
        <f>+$C421*BF421</f>
        <v>0</v>
      </c>
      <c r="H421" s="5">
        <f>+$C421*BG421</f>
        <v>0</v>
      </c>
      <c r="I421" s="5">
        <f>+$C421*BH421</f>
        <v>0</v>
      </c>
      <c r="J421" s="5">
        <f>+$C421*BI421</f>
        <v>0</v>
      </c>
      <c r="K421" s="5">
        <f>+$C421*BJ421</f>
        <v>0</v>
      </c>
      <c r="L421" s="5">
        <f>+$C421*BK421</f>
        <v>0</v>
      </c>
      <c r="M421" s="5">
        <f>+$C421*BL421</f>
        <v>0</v>
      </c>
      <c r="N421" s="5">
        <f>+$C421*BM421</f>
        <v>0</v>
      </c>
      <c r="O421" s="5">
        <f>+$C421*BN421</f>
        <v>0</v>
      </c>
      <c r="P421" s="5">
        <v>0</v>
      </c>
      <c r="Q421" s="5">
        <f>+$P421*BC421</f>
        <v>0</v>
      </c>
      <c r="R421" s="5">
        <f>+$P421*BD421</f>
        <v>0</v>
      </c>
      <c r="S421" s="5">
        <f>+$P421*BE421</f>
        <v>0</v>
      </c>
      <c r="T421" s="5">
        <f>+$P421*BF421</f>
        <v>0</v>
      </c>
      <c r="U421" s="5">
        <f>+$P421*BG421</f>
        <v>0</v>
      </c>
      <c r="V421" s="5">
        <f>+$P421*BH421</f>
        <v>0</v>
      </c>
      <c r="W421" s="5">
        <f>+$P421*BI421</f>
        <v>0</v>
      </c>
      <c r="X421" s="5">
        <f>+$P421*BJ421</f>
        <v>0</v>
      </c>
      <c r="Y421" s="5">
        <f>+$P421*BK421</f>
        <v>0</v>
      </c>
      <c r="Z421" s="5">
        <f>+$P421*BL421</f>
        <v>0</v>
      </c>
      <c r="AA421" s="5">
        <f>+$P421*BM421</f>
        <v>0</v>
      </c>
      <c r="AB421" s="5">
        <f>+$P421*BN421</f>
        <v>0</v>
      </c>
      <c r="AC421" s="5">
        <v>0</v>
      </c>
      <c r="AD421" s="5">
        <f>+$AC421*BC421</f>
        <v>0</v>
      </c>
      <c r="AE421" s="5">
        <f>+$AC421*BD421</f>
        <v>0</v>
      </c>
      <c r="AF421" s="5">
        <f>+$AC421*BE421</f>
        <v>0</v>
      </c>
      <c r="AG421" s="5">
        <f>+$AC421*BF421</f>
        <v>0</v>
      </c>
      <c r="AH421" s="5">
        <f>+$AC421*BG421</f>
        <v>0</v>
      </c>
      <c r="AI421" s="5">
        <f>+$AC421*BH421</f>
        <v>0</v>
      </c>
      <c r="AJ421" s="5">
        <f>+$AC421*BI421</f>
        <v>0</v>
      </c>
      <c r="AK421" s="5">
        <f>+$AC421*BJ421</f>
        <v>0</v>
      </c>
      <c r="AL421" s="5">
        <f>+$AC421*BK421</f>
        <v>0</v>
      </c>
      <c r="AM421" s="5">
        <f>+$AC421*BL421</f>
        <v>0</v>
      </c>
      <c r="AN421" s="5">
        <f>+$AC421*BM421</f>
        <v>0</v>
      </c>
      <c r="AO421" s="5">
        <f>+$AC421*BN421</f>
        <v>0</v>
      </c>
      <c r="AP421" s="5">
        <f>+AC421+P421+C421</f>
        <v>0</v>
      </c>
      <c r="AQ421" s="1">
        <v>88.204046804378081</v>
      </c>
      <c r="AR421" s="1">
        <v>105.48375772564755</v>
      </c>
      <c r="AS421" s="1">
        <v>93.353898600356715</v>
      </c>
      <c r="AT421" s="1">
        <v>70.711986050341309</v>
      </c>
      <c r="AU421" s="1">
        <v>102.54921894921469</v>
      </c>
      <c r="AV421" s="1">
        <v>84.038971154973794</v>
      </c>
      <c r="AW421" s="1">
        <v>83.666645370889029</v>
      </c>
      <c r="AX421" s="1">
        <v>56.817427739802433</v>
      </c>
      <c r="AY421" s="1">
        <v>84.220480969997823</v>
      </c>
      <c r="AZ421" s="1">
        <v>73.34521242928939</v>
      </c>
      <c r="BA421" s="1">
        <v>74.888242120372482</v>
      </c>
      <c r="BB421" s="1">
        <v>73.144932479468451</v>
      </c>
      <c r="BC421" s="2">
        <v>8.9181565948742242E-2</v>
      </c>
      <c r="BD421" s="2">
        <v>0.10665277883445198</v>
      </c>
      <c r="BE421" s="2">
        <v>9.438849084854764E-2</v>
      </c>
      <c r="BF421" s="2">
        <v>7.149564986855049E-2</v>
      </c>
      <c r="BG421" s="2">
        <v>0.10368571810536763</v>
      </c>
      <c r="BH421" s="2">
        <v>8.4970330952544637E-2</v>
      </c>
      <c r="BI421" s="2">
        <v>8.4593878877262704E-2</v>
      </c>
      <c r="BJ421" s="2">
        <v>5.7447105462779965E-2</v>
      </c>
      <c r="BK421" s="2">
        <v>8.5153852345557474E-2</v>
      </c>
      <c r="BL421" s="2">
        <v>7.4158058913035174E-2</v>
      </c>
      <c r="BM421" s="2">
        <v>7.5718189192107169E-2</v>
      </c>
      <c r="BN421" s="2">
        <v>7.3955559365675619E-2</v>
      </c>
    </row>
    <row r="422" spans="1:66" x14ac:dyDescent="0.25">
      <c r="A422" s="8">
        <v>34207</v>
      </c>
      <c r="B422" s="8" t="s">
        <v>574</v>
      </c>
      <c r="C422" s="5">
        <v>0</v>
      </c>
      <c r="D422" s="5">
        <f>+$C422*BC422</f>
        <v>0</v>
      </c>
      <c r="E422" s="5">
        <f>+$C422*BD422</f>
        <v>0</v>
      </c>
      <c r="F422" s="5">
        <f>+$C422*BE422</f>
        <v>0</v>
      </c>
      <c r="G422" s="5">
        <f>+$C422*BF422</f>
        <v>0</v>
      </c>
      <c r="H422" s="5">
        <f>+$C422*BG422</f>
        <v>0</v>
      </c>
      <c r="I422" s="5">
        <f>+$C422*BH422</f>
        <v>0</v>
      </c>
      <c r="J422" s="5">
        <f>+$C422*BI422</f>
        <v>0</v>
      </c>
      <c r="K422" s="5">
        <f>+$C422*BJ422</f>
        <v>0</v>
      </c>
      <c r="L422" s="5">
        <f>+$C422*BK422</f>
        <v>0</v>
      </c>
      <c r="M422" s="5">
        <f>+$C422*BL422</f>
        <v>0</v>
      </c>
      <c r="N422" s="5">
        <f>+$C422*BM422</f>
        <v>0</v>
      </c>
      <c r="O422" s="5">
        <f>+$C422*BN422</f>
        <v>0</v>
      </c>
      <c r="P422" s="5">
        <v>0</v>
      </c>
      <c r="Q422" s="5">
        <f>+$P422*BC422</f>
        <v>0</v>
      </c>
      <c r="R422" s="5">
        <f>+$P422*BD422</f>
        <v>0</v>
      </c>
      <c r="S422" s="5">
        <f>+$P422*BE422</f>
        <v>0</v>
      </c>
      <c r="T422" s="5">
        <f>+$P422*BF422</f>
        <v>0</v>
      </c>
      <c r="U422" s="5">
        <f>+$P422*BG422</f>
        <v>0</v>
      </c>
      <c r="V422" s="5">
        <f>+$P422*BH422</f>
        <v>0</v>
      </c>
      <c r="W422" s="5">
        <f>+$P422*BI422</f>
        <v>0</v>
      </c>
      <c r="X422" s="5">
        <f>+$P422*BJ422</f>
        <v>0</v>
      </c>
      <c r="Y422" s="5">
        <f>+$P422*BK422</f>
        <v>0</v>
      </c>
      <c r="Z422" s="5">
        <f>+$P422*BL422</f>
        <v>0</v>
      </c>
      <c r="AA422" s="5">
        <f>+$P422*BM422</f>
        <v>0</v>
      </c>
      <c r="AB422" s="5">
        <f>+$P422*BN422</f>
        <v>0</v>
      </c>
      <c r="AC422" s="5">
        <v>1500</v>
      </c>
      <c r="AD422" s="5">
        <f>+$AC422*BC422</f>
        <v>133.77234892311336</v>
      </c>
      <c r="AE422" s="5">
        <f>+$AC422*BD422</f>
        <v>159.97916825167798</v>
      </c>
      <c r="AF422" s="5">
        <f>+$AC422*BE422</f>
        <v>141.58273627282145</v>
      </c>
      <c r="AG422" s="5">
        <f>+$AC422*BF422</f>
        <v>107.24347480282573</v>
      </c>
      <c r="AH422" s="5">
        <f>+$AC422*BG422</f>
        <v>155.52857715805143</v>
      </c>
      <c r="AI422" s="5">
        <f>+$AC422*BH422</f>
        <v>127.45549642881696</v>
      </c>
      <c r="AJ422" s="5">
        <f>+$AC422*BI422</f>
        <v>126.89081831589405</v>
      </c>
      <c r="AK422" s="5">
        <f>+$AC422*BJ422</f>
        <v>86.170658194169945</v>
      </c>
      <c r="AL422" s="5">
        <f>+$AC422*BK422</f>
        <v>127.73077851833621</v>
      </c>
      <c r="AM422" s="5">
        <f>+$AC422*BL422</f>
        <v>111.23708836955277</v>
      </c>
      <c r="AN422" s="5">
        <f>+$AC422*BM422</f>
        <v>113.57728378816076</v>
      </c>
      <c r="AO422" s="5">
        <f>+$AC422*BN422</f>
        <v>110.93333904851343</v>
      </c>
      <c r="AP422" s="5">
        <f>+AC422+P422+C422</f>
        <v>1500</v>
      </c>
      <c r="AQ422" s="1">
        <v>71.345252758993794</v>
      </c>
      <c r="AR422" s="1">
        <v>85.32222306756158</v>
      </c>
      <c r="AS422" s="1">
        <v>75.510792678838115</v>
      </c>
      <c r="AT422" s="1">
        <v>57.196519894840392</v>
      </c>
      <c r="AU422" s="1">
        <v>82.948574484294099</v>
      </c>
      <c r="AV422" s="1">
        <v>67.976264762035711</v>
      </c>
      <c r="AW422" s="1">
        <v>67.675103101810166</v>
      </c>
      <c r="AX422" s="1">
        <v>45.957684370223973</v>
      </c>
      <c r="AY422" s="1">
        <v>68.12308187644598</v>
      </c>
      <c r="AZ422" s="1">
        <v>59.326447130428136</v>
      </c>
      <c r="BA422" s="1">
        <v>60.574551353685735</v>
      </c>
      <c r="BB422" s="1">
        <v>59.164447492540496</v>
      </c>
      <c r="BC422" s="2">
        <v>8.9181565948742242E-2</v>
      </c>
      <c r="BD422" s="2">
        <v>0.10665277883445198</v>
      </c>
      <c r="BE422" s="2">
        <v>9.438849084854764E-2</v>
      </c>
      <c r="BF422" s="2">
        <v>7.149564986855049E-2</v>
      </c>
      <c r="BG422" s="2">
        <v>0.10368571810536763</v>
      </c>
      <c r="BH422" s="2">
        <v>8.4970330952544637E-2</v>
      </c>
      <c r="BI422" s="2">
        <v>8.4593878877262704E-2</v>
      </c>
      <c r="BJ422" s="2">
        <v>5.7447105462779965E-2</v>
      </c>
      <c r="BK422" s="2">
        <v>8.5153852345557474E-2</v>
      </c>
      <c r="BL422" s="2">
        <v>7.4158058913035174E-2</v>
      </c>
      <c r="BM422" s="2">
        <v>7.5718189192107169E-2</v>
      </c>
      <c r="BN422" s="2">
        <v>7.3955559365675619E-2</v>
      </c>
    </row>
    <row r="423" spans="1:66" x14ac:dyDescent="0.25">
      <c r="A423" s="8">
        <v>1298</v>
      </c>
      <c r="B423" s="8" t="s">
        <v>573</v>
      </c>
      <c r="C423" s="5">
        <v>777.48</v>
      </c>
      <c r="D423" s="5">
        <f>+$C423*BC423</f>
        <v>69.336883893828116</v>
      </c>
      <c r="E423" s="5">
        <f>+$C423*BD423</f>
        <v>82.920402488209731</v>
      </c>
      <c r="F423" s="5">
        <f>+$C423*BE423</f>
        <v>73.385163864928828</v>
      </c>
      <c r="G423" s="5">
        <f>+$C423*BF423</f>
        <v>55.58643785980064</v>
      </c>
      <c r="H423" s="5">
        <f>+$C423*BG423</f>
        <v>80.613572112561229</v>
      </c>
      <c r="I423" s="5">
        <f>+$C423*BH423</f>
        <v>66.062732908984401</v>
      </c>
      <c r="J423" s="5">
        <f>+$C423*BI423</f>
        <v>65.77004894949421</v>
      </c>
      <c r="K423" s="5">
        <f>+$C423*BJ423</f>
        <v>44.663975555202171</v>
      </c>
      <c r="L423" s="5">
        <f>+$C423*BK423</f>
        <v>66.205417121624023</v>
      </c>
      <c r="M423" s="5">
        <f>+$C423*BL423</f>
        <v>57.656407643706586</v>
      </c>
      <c r="N423" s="5">
        <f>+$C423*BM423</f>
        <v>58.869377733079482</v>
      </c>
      <c r="O423" s="5">
        <f>+$C423*BN423</f>
        <v>57.498968295625481</v>
      </c>
      <c r="P423" s="5">
        <v>2000</v>
      </c>
      <c r="Q423" s="5">
        <f>+$P423*BC423</f>
        <v>178.36313189748449</v>
      </c>
      <c r="R423" s="5">
        <f>+$P423*BD423</f>
        <v>213.30555766890396</v>
      </c>
      <c r="S423" s="5">
        <f>+$P423*BE423</f>
        <v>188.77698169709529</v>
      </c>
      <c r="T423" s="5">
        <f>+$P423*BF423</f>
        <v>142.99129973710097</v>
      </c>
      <c r="U423" s="5">
        <f>+$P423*BG423</f>
        <v>207.37143621073525</v>
      </c>
      <c r="V423" s="5">
        <f>+$P423*BH423</f>
        <v>169.94066190508929</v>
      </c>
      <c r="W423" s="5">
        <f>+$P423*BI423</f>
        <v>169.18775775452542</v>
      </c>
      <c r="X423" s="5">
        <f>+$P423*BJ423</f>
        <v>114.89421092555993</v>
      </c>
      <c r="Y423" s="5">
        <f>+$P423*BK423</f>
        <v>170.30770469111494</v>
      </c>
      <c r="Z423" s="5">
        <f>+$P423*BL423</f>
        <v>148.31611782607035</v>
      </c>
      <c r="AA423" s="5">
        <f>+$P423*BM423</f>
        <v>151.43637838421435</v>
      </c>
      <c r="AB423" s="5">
        <f>+$P423*BN423</f>
        <v>147.91111873135125</v>
      </c>
      <c r="AC423" s="5">
        <v>0</v>
      </c>
      <c r="AD423" s="5">
        <f>+$AC423*BC423</f>
        <v>0</v>
      </c>
      <c r="AE423" s="5">
        <f>+$AC423*BD423</f>
        <v>0</v>
      </c>
      <c r="AF423" s="5">
        <f>+$AC423*BE423</f>
        <v>0</v>
      </c>
      <c r="AG423" s="5">
        <f>+$AC423*BF423</f>
        <v>0</v>
      </c>
      <c r="AH423" s="5">
        <f>+$AC423*BG423</f>
        <v>0</v>
      </c>
      <c r="AI423" s="5">
        <f>+$AC423*BH423</f>
        <v>0</v>
      </c>
      <c r="AJ423" s="5">
        <f>+$AC423*BI423</f>
        <v>0</v>
      </c>
      <c r="AK423" s="5">
        <f>+$AC423*BJ423</f>
        <v>0</v>
      </c>
      <c r="AL423" s="5">
        <f>+$AC423*BK423</f>
        <v>0</v>
      </c>
      <c r="AM423" s="5">
        <f>+$AC423*BL423</f>
        <v>0</v>
      </c>
      <c r="AN423" s="5">
        <f>+$AC423*BM423</f>
        <v>0</v>
      </c>
      <c r="AO423" s="5">
        <f>+$AC423*BN423</f>
        <v>0</v>
      </c>
      <c r="AP423" s="5">
        <f>+AC423+P423+C423</f>
        <v>2777.48</v>
      </c>
      <c r="AQ423" s="1">
        <v>71.345252758993794</v>
      </c>
      <c r="AR423" s="1">
        <v>85.32222306756158</v>
      </c>
      <c r="AS423" s="1">
        <v>75.510792678838115</v>
      </c>
      <c r="AT423" s="1">
        <v>57.196519894840392</v>
      </c>
      <c r="AU423" s="1">
        <v>82.948574484294099</v>
      </c>
      <c r="AV423" s="1">
        <v>67.976264762035711</v>
      </c>
      <c r="AW423" s="1">
        <v>67.675103101810166</v>
      </c>
      <c r="AX423" s="1">
        <v>45.957684370223973</v>
      </c>
      <c r="AY423" s="1">
        <v>68.12308187644598</v>
      </c>
      <c r="AZ423" s="1">
        <v>59.326447130428136</v>
      </c>
      <c r="BA423" s="1">
        <v>60.574551353685735</v>
      </c>
      <c r="BB423" s="1">
        <v>59.164447492540496</v>
      </c>
      <c r="BC423" s="2">
        <v>8.9181565948742242E-2</v>
      </c>
      <c r="BD423" s="2">
        <v>0.10665277883445198</v>
      </c>
      <c r="BE423" s="2">
        <v>9.438849084854764E-2</v>
      </c>
      <c r="BF423" s="2">
        <v>7.149564986855049E-2</v>
      </c>
      <c r="BG423" s="2">
        <v>0.10368571810536763</v>
      </c>
      <c r="BH423" s="2">
        <v>8.4970330952544637E-2</v>
      </c>
      <c r="BI423" s="2">
        <v>8.4593878877262704E-2</v>
      </c>
      <c r="BJ423" s="2">
        <v>5.7447105462779965E-2</v>
      </c>
      <c r="BK423" s="2">
        <v>8.5153852345557474E-2</v>
      </c>
      <c r="BL423" s="2">
        <v>7.4158058913035174E-2</v>
      </c>
      <c r="BM423" s="2">
        <v>7.5718189192107169E-2</v>
      </c>
      <c r="BN423" s="2">
        <v>7.3955559365675619E-2</v>
      </c>
    </row>
    <row r="424" spans="1:66" x14ac:dyDescent="0.25">
      <c r="A424" s="8">
        <v>6637</v>
      </c>
      <c r="B424" s="8" t="s">
        <v>572</v>
      </c>
      <c r="C424" s="5">
        <v>0</v>
      </c>
      <c r="D424" s="5">
        <f>+$C424*BC424</f>
        <v>0</v>
      </c>
      <c r="E424" s="5">
        <f>+$C424*BD424</f>
        <v>0</v>
      </c>
      <c r="F424" s="5">
        <f>+$C424*BE424</f>
        <v>0</v>
      </c>
      <c r="G424" s="5">
        <f>+$C424*BF424</f>
        <v>0</v>
      </c>
      <c r="H424" s="5">
        <f>+$C424*BG424</f>
        <v>0</v>
      </c>
      <c r="I424" s="5">
        <f>+$C424*BH424</f>
        <v>0</v>
      </c>
      <c r="J424" s="5">
        <f>+$C424*BI424</f>
        <v>0</v>
      </c>
      <c r="K424" s="5">
        <f>+$C424*BJ424</f>
        <v>0</v>
      </c>
      <c r="L424" s="5">
        <f>+$C424*BK424</f>
        <v>0</v>
      </c>
      <c r="M424" s="5">
        <f>+$C424*BL424</f>
        <v>0</v>
      </c>
      <c r="N424" s="5">
        <f>+$C424*BM424</f>
        <v>0</v>
      </c>
      <c r="O424" s="5">
        <f>+$C424*BN424</f>
        <v>0</v>
      </c>
      <c r="P424" s="5">
        <v>0</v>
      </c>
      <c r="Q424" s="5">
        <f>+$P424*BC424</f>
        <v>0</v>
      </c>
      <c r="R424" s="5">
        <f>+$P424*BD424</f>
        <v>0</v>
      </c>
      <c r="S424" s="5">
        <f>+$P424*BE424</f>
        <v>0</v>
      </c>
      <c r="T424" s="5">
        <f>+$P424*BF424</f>
        <v>0</v>
      </c>
      <c r="U424" s="5">
        <f>+$P424*BG424</f>
        <v>0</v>
      </c>
      <c r="V424" s="5">
        <f>+$P424*BH424</f>
        <v>0</v>
      </c>
      <c r="W424" s="5">
        <f>+$P424*BI424</f>
        <v>0</v>
      </c>
      <c r="X424" s="5">
        <f>+$P424*BJ424</f>
        <v>0</v>
      </c>
      <c r="Y424" s="5">
        <f>+$P424*BK424</f>
        <v>0</v>
      </c>
      <c r="Z424" s="5">
        <f>+$P424*BL424</f>
        <v>0</v>
      </c>
      <c r="AA424" s="5">
        <f>+$P424*BM424</f>
        <v>0</v>
      </c>
      <c r="AB424" s="5">
        <f>+$P424*BN424</f>
        <v>0</v>
      </c>
      <c r="AC424" s="5">
        <v>0</v>
      </c>
      <c r="AD424" s="5">
        <f>+$AC424*BC424</f>
        <v>0</v>
      </c>
      <c r="AE424" s="5">
        <f>+$AC424*BD424</f>
        <v>0</v>
      </c>
      <c r="AF424" s="5">
        <f>+$AC424*BE424</f>
        <v>0</v>
      </c>
      <c r="AG424" s="5">
        <f>+$AC424*BF424</f>
        <v>0</v>
      </c>
      <c r="AH424" s="5">
        <f>+$AC424*BG424</f>
        <v>0</v>
      </c>
      <c r="AI424" s="5">
        <f>+$AC424*BH424</f>
        <v>0</v>
      </c>
      <c r="AJ424" s="5">
        <f>+$AC424*BI424</f>
        <v>0</v>
      </c>
      <c r="AK424" s="5">
        <f>+$AC424*BJ424</f>
        <v>0</v>
      </c>
      <c r="AL424" s="5">
        <f>+$AC424*BK424</f>
        <v>0</v>
      </c>
      <c r="AM424" s="5">
        <f>+$AC424*BL424</f>
        <v>0</v>
      </c>
      <c r="AN424" s="5">
        <f>+$AC424*BM424</f>
        <v>0</v>
      </c>
      <c r="AO424" s="5">
        <f>+$AC424*BN424</f>
        <v>0</v>
      </c>
      <c r="AP424" s="5">
        <f>+AC424+P424+C424</f>
        <v>0</v>
      </c>
      <c r="AQ424" s="1">
        <v>239.89796649428695</v>
      </c>
      <c r="AR424" s="1">
        <v>286.89544180078173</v>
      </c>
      <c r="AS424" s="1">
        <v>253.90456844013897</v>
      </c>
      <c r="AT424" s="1">
        <v>192.32294066815155</v>
      </c>
      <c r="AU424" s="1">
        <v>278.9140632748485</v>
      </c>
      <c r="AV424" s="1">
        <v>228.56976541069037</v>
      </c>
      <c r="AW424" s="1">
        <v>227.55711121044234</v>
      </c>
      <c r="AX424" s="1">
        <v>154.53242645935083</v>
      </c>
      <c r="AY424" s="1">
        <v>229.06343704028794</v>
      </c>
      <c r="AZ424" s="1">
        <v>199.48480768577011</v>
      </c>
      <c r="BA424" s="1">
        <v>203.68155033582238</v>
      </c>
      <c r="BB424" s="1">
        <v>198.94008491587064</v>
      </c>
      <c r="BC424" s="2">
        <v>8.9181565948742242E-2</v>
      </c>
      <c r="BD424" s="2">
        <v>0.10665277883445198</v>
      </c>
      <c r="BE424" s="2">
        <v>9.438849084854764E-2</v>
      </c>
      <c r="BF424" s="2">
        <v>7.149564986855049E-2</v>
      </c>
      <c r="BG424" s="2">
        <v>0.10368571810536763</v>
      </c>
      <c r="BH424" s="2">
        <v>8.4970330952544637E-2</v>
      </c>
      <c r="BI424" s="2">
        <v>8.4593878877262704E-2</v>
      </c>
      <c r="BJ424" s="2">
        <v>5.7447105462779965E-2</v>
      </c>
      <c r="BK424" s="2">
        <v>8.5153852345557474E-2</v>
      </c>
      <c r="BL424" s="2">
        <v>7.4158058913035174E-2</v>
      </c>
      <c r="BM424" s="2">
        <v>7.5718189192107169E-2</v>
      </c>
      <c r="BN424" s="2">
        <v>7.3955559365675619E-2</v>
      </c>
    </row>
    <row r="425" spans="1:66" x14ac:dyDescent="0.25">
      <c r="A425" s="8">
        <v>948</v>
      </c>
      <c r="B425" s="8" t="s">
        <v>571</v>
      </c>
      <c r="C425" s="5">
        <v>0</v>
      </c>
      <c r="D425" s="5">
        <f>+$C425*BC425</f>
        <v>0</v>
      </c>
      <c r="E425" s="5">
        <f>+$C425*BD425</f>
        <v>0</v>
      </c>
      <c r="F425" s="5">
        <f>+$C425*BE425</f>
        <v>0</v>
      </c>
      <c r="G425" s="5">
        <f>+$C425*BF425</f>
        <v>0</v>
      </c>
      <c r="H425" s="5">
        <f>+$C425*BG425</f>
        <v>0</v>
      </c>
      <c r="I425" s="5">
        <f>+$C425*BH425</f>
        <v>0</v>
      </c>
      <c r="J425" s="5">
        <f>+$C425*BI425</f>
        <v>0</v>
      </c>
      <c r="K425" s="5">
        <f>+$C425*BJ425</f>
        <v>0</v>
      </c>
      <c r="L425" s="5">
        <f>+$C425*BK425</f>
        <v>0</v>
      </c>
      <c r="M425" s="5">
        <f>+$C425*BL425</f>
        <v>0</v>
      </c>
      <c r="N425" s="5">
        <f>+$C425*BM425</f>
        <v>0</v>
      </c>
      <c r="O425" s="5">
        <f>+$C425*BN425</f>
        <v>0</v>
      </c>
      <c r="P425" s="5">
        <v>0</v>
      </c>
      <c r="Q425" s="5">
        <f>+$P425*BC425</f>
        <v>0</v>
      </c>
      <c r="R425" s="5">
        <f>+$P425*BD425</f>
        <v>0</v>
      </c>
      <c r="S425" s="5">
        <f>+$P425*BE425</f>
        <v>0</v>
      </c>
      <c r="T425" s="5">
        <f>+$P425*BF425</f>
        <v>0</v>
      </c>
      <c r="U425" s="5">
        <f>+$P425*BG425</f>
        <v>0</v>
      </c>
      <c r="V425" s="5">
        <f>+$P425*BH425</f>
        <v>0</v>
      </c>
      <c r="W425" s="5">
        <f>+$P425*BI425</f>
        <v>0</v>
      </c>
      <c r="X425" s="5">
        <f>+$P425*BJ425</f>
        <v>0</v>
      </c>
      <c r="Y425" s="5">
        <f>+$P425*BK425</f>
        <v>0</v>
      </c>
      <c r="Z425" s="5">
        <f>+$P425*BL425</f>
        <v>0</v>
      </c>
      <c r="AA425" s="5">
        <f>+$P425*BM425</f>
        <v>0</v>
      </c>
      <c r="AB425" s="5">
        <f>+$P425*BN425</f>
        <v>0</v>
      </c>
      <c r="AC425" s="5">
        <v>0</v>
      </c>
      <c r="AD425" s="5">
        <f>+$AC425*BC425</f>
        <v>0</v>
      </c>
      <c r="AE425" s="5">
        <f>+$AC425*BD425</f>
        <v>0</v>
      </c>
      <c r="AF425" s="5">
        <f>+$AC425*BE425</f>
        <v>0</v>
      </c>
      <c r="AG425" s="5">
        <f>+$AC425*BF425</f>
        <v>0</v>
      </c>
      <c r="AH425" s="5">
        <f>+$AC425*BG425</f>
        <v>0</v>
      </c>
      <c r="AI425" s="5">
        <f>+$AC425*BH425</f>
        <v>0</v>
      </c>
      <c r="AJ425" s="5">
        <f>+$AC425*BI425</f>
        <v>0</v>
      </c>
      <c r="AK425" s="5">
        <f>+$AC425*BJ425</f>
        <v>0</v>
      </c>
      <c r="AL425" s="5">
        <f>+$AC425*BK425</f>
        <v>0</v>
      </c>
      <c r="AM425" s="5">
        <f>+$AC425*BL425</f>
        <v>0</v>
      </c>
      <c r="AN425" s="5">
        <f>+$AC425*BM425</f>
        <v>0</v>
      </c>
      <c r="AO425" s="5">
        <f>+$AC425*BN425</f>
        <v>0</v>
      </c>
      <c r="AP425" s="5">
        <f>+AC425+P425+C425</f>
        <v>0</v>
      </c>
      <c r="AQ425" s="1">
        <v>68.640019137504666</v>
      </c>
      <c r="AR425" s="1">
        <v>82.087017674397345</v>
      </c>
      <c r="AS425" s="1">
        <v>72.647612197438278</v>
      </c>
      <c r="AT425" s="1">
        <v>55.027770851727794</v>
      </c>
      <c r="AU425" s="1">
        <v>79.803371911285893</v>
      </c>
      <c r="AV425" s="1">
        <v>65.398774742921233</v>
      </c>
      <c r="AW425" s="1">
        <v>65.109032379947294</v>
      </c>
      <c r="AX425" s="1">
        <v>44.215083873116015</v>
      </c>
      <c r="AY425" s="1">
        <v>65.540024919395847</v>
      </c>
      <c r="AZ425" s="1">
        <v>57.076936571360143</v>
      </c>
      <c r="BA425" s="1">
        <v>58.277715802732367</v>
      </c>
      <c r="BB425" s="1">
        <v>56.9210795547421</v>
      </c>
      <c r="BC425" s="2">
        <v>8.9181565948742242E-2</v>
      </c>
      <c r="BD425" s="2">
        <v>0.10665277883445198</v>
      </c>
      <c r="BE425" s="2">
        <v>9.438849084854764E-2</v>
      </c>
      <c r="BF425" s="2">
        <v>7.149564986855049E-2</v>
      </c>
      <c r="BG425" s="2">
        <v>0.10368571810536763</v>
      </c>
      <c r="BH425" s="2">
        <v>8.4970330952544637E-2</v>
      </c>
      <c r="BI425" s="2">
        <v>8.4593878877262704E-2</v>
      </c>
      <c r="BJ425" s="2">
        <v>5.7447105462779965E-2</v>
      </c>
      <c r="BK425" s="2">
        <v>8.5153852345557474E-2</v>
      </c>
      <c r="BL425" s="2">
        <v>7.4158058913035174E-2</v>
      </c>
      <c r="BM425" s="2">
        <v>7.5718189192107169E-2</v>
      </c>
      <c r="BN425" s="2">
        <v>7.3955559365675619E-2</v>
      </c>
    </row>
    <row r="426" spans="1:66" x14ac:dyDescent="0.25">
      <c r="A426" s="8">
        <v>6586</v>
      </c>
      <c r="B426" s="8" t="s">
        <v>570</v>
      </c>
      <c r="C426" s="5">
        <v>0</v>
      </c>
      <c r="D426" s="5">
        <f>+$C426*BC426</f>
        <v>0</v>
      </c>
      <c r="E426" s="5">
        <f>+$C426*BD426</f>
        <v>0</v>
      </c>
      <c r="F426" s="5">
        <f>+$C426*BE426</f>
        <v>0</v>
      </c>
      <c r="G426" s="5">
        <f>+$C426*BF426</f>
        <v>0</v>
      </c>
      <c r="H426" s="5">
        <f>+$C426*BG426</f>
        <v>0</v>
      </c>
      <c r="I426" s="5">
        <f>+$C426*BH426</f>
        <v>0</v>
      </c>
      <c r="J426" s="5">
        <f>+$C426*BI426</f>
        <v>0</v>
      </c>
      <c r="K426" s="5">
        <f>+$C426*BJ426</f>
        <v>0</v>
      </c>
      <c r="L426" s="5">
        <f>+$C426*BK426</f>
        <v>0</v>
      </c>
      <c r="M426" s="5">
        <f>+$C426*BL426</f>
        <v>0</v>
      </c>
      <c r="N426" s="5">
        <f>+$C426*BM426</f>
        <v>0</v>
      </c>
      <c r="O426" s="5">
        <f>+$C426*BN426</f>
        <v>0</v>
      </c>
      <c r="P426" s="5">
        <v>0</v>
      </c>
      <c r="Q426" s="5">
        <f>+$P426*BC426</f>
        <v>0</v>
      </c>
      <c r="R426" s="5">
        <f>+$P426*BD426</f>
        <v>0</v>
      </c>
      <c r="S426" s="5">
        <f>+$P426*BE426</f>
        <v>0</v>
      </c>
      <c r="T426" s="5">
        <f>+$P426*BF426</f>
        <v>0</v>
      </c>
      <c r="U426" s="5">
        <f>+$P426*BG426</f>
        <v>0</v>
      </c>
      <c r="V426" s="5">
        <f>+$P426*BH426</f>
        <v>0</v>
      </c>
      <c r="W426" s="5">
        <f>+$P426*BI426</f>
        <v>0</v>
      </c>
      <c r="X426" s="5">
        <f>+$P426*BJ426</f>
        <v>0</v>
      </c>
      <c r="Y426" s="5">
        <f>+$P426*BK426</f>
        <v>0</v>
      </c>
      <c r="Z426" s="5">
        <f>+$P426*BL426</f>
        <v>0</v>
      </c>
      <c r="AA426" s="5">
        <f>+$P426*BM426</f>
        <v>0</v>
      </c>
      <c r="AB426" s="5">
        <f>+$P426*BN426</f>
        <v>0</v>
      </c>
      <c r="AC426" s="5">
        <v>1500</v>
      </c>
      <c r="AD426" s="5">
        <f>+$AC426*BC426</f>
        <v>133.77234892311336</v>
      </c>
      <c r="AE426" s="5">
        <f>+$AC426*BD426</f>
        <v>159.97916825167798</v>
      </c>
      <c r="AF426" s="5">
        <f>+$AC426*BE426</f>
        <v>141.58273627282145</v>
      </c>
      <c r="AG426" s="5">
        <f>+$AC426*BF426</f>
        <v>107.24347480282573</v>
      </c>
      <c r="AH426" s="5">
        <f>+$AC426*BG426</f>
        <v>155.52857715805143</v>
      </c>
      <c r="AI426" s="5">
        <f>+$AC426*BH426</f>
        <v>127.45549642881696</v>
      </c>
      <c r="AJ426" s="5">
        <f>+$AC426*BI426</f>
        <v>126.89081831589405</v>
      </c>
      <c r="AK426" s="5">
        <f>+$AC426*BJ426</f>
        <v>86.170658194169945</v>
      </c>
      <c r="AL426" s="5">
        <f>+$AC426*BK426</f>
        <v>127.73077851833621</v>
      </c>
      <c r="AM426" s="5">
        <f>+$AC426*BL426</f>
        <v>111.23708836955277</v>
      </c>
      <c r="AN426" s="5">
        <f>+$AC426*BM426</f>
        <v>113.57728378816076</v>
      </c>
      <c r="AO426" s="5">
        <f>+$AC426*BN426</f>
        <v>110.93333904851343</v>
      </c>
      <c r="AP426" s="5">
        <f>+AC426+P426+C426</f>
        <v>1500</v>
      </c>
      <c r="AQ426" s="1">
        <v>73.041486143338872</v>
      </c>
      <c r="AR426" s="1">
        <v>87.35075892099286</v>
      </c>
      <c r="AS426" s="1">
        <v>77.30606177477749</v>
      </c>
      <c r="AT426" s="1">
        <v>58.556367155340219</v>
      </c>
      <c r="AU426" s="1">
        <v>84.920676842658196</v>
      </c>
      <c r="AV426" s="1">
        <v>69.592400456753111</v>
      </c>
      <c r="AW426" s="1">
        <v>69.284078678055693</v>
      </c>
      <c r="AX426" s="1">
        <v>47.050328316126048</v>
      </c>
      <c r="AY426" s="1">
        <v>69.742708148058483</v>
      </c>
      <c r="AZ426" s="1">
        <v>60.736933410954066</v>
      </c>
      <c r="BA426" s="1">
        <v>62.014711312119609</v>
      </c>
      <c r="BB426" s="1">
        <v>60.571082231675646</v>
      </c>
      <c r="BC426" s="2">
        <v>8.9181565948742242E-2</v>
      </c>
      <c r="BD426" s="2">
        <v>0.10665277883445198</v>
      </c>
      <c r="BE426" s="2">
        <v>9.438849084854764E-2</v>
      </c>
      <c r="BF426" s="2">
        <v>7.149564986855049E-2</v>
      </c>
      <c r="BG426" s="2">
        <v>0.10368571810536763</v>
      </c>
      <c r="BH426" s="2">
        <v>8.4970330952544637E-2</v>
      </c>
      <c r="BI426" s="2">
        <v>8.4593878877262704E-2</v>
      </c>
      <c r="BJ426" s="2">
        <v>5.7447105462779965E-2</v>
      </c>
      <c r="BK426" s="2">
        <v>8.5153852345557474E-2</v>
      </c>
      <c r="BL426" s="2">
        <v>7.4158058913035174E-2</v>
      </c>
      <c r="BM426" s="2">
        <v>7.5718189192107169E-2</v>
      </c>
      <c r="BN426" s="2">
        <v>7.3955559365675619E-2</v>
      </c>
    </row>
    <row r="427" spans="1:66" x14ac:dyDescent="0.25">
      <c r="A427" s="8">
        <v>6552</v>
      </c>
      <c r="B427" s="8" t="s">
        <v>569</v>
      </c>
      <c r="C427" s="5">
        <v>0</v>
      </c>
      <c r="D427" s="5">
        <f>+$C427*BC427</f>
        <v>0</v>
      </c>
      <c r="E427" s="5">
        <f>+$C427*BD427</f>
        <v>0</v>
      </c>
      <c r="F427" s="5">
        <f>+$C427*BE427</f>
        <v>0</v>
      </c>
      <c r="G427" s="5">
        <f>+$C427*BF427</f>
        <v>0</v>
      </c>
      <c r="H427" s="5">
        <f>+$C427*BG427</f>
        <v>0</v>
      </c>
      <c r="I427" s="5">
        <f>+$C427*BH427</f>
        <v>0</v>
      </c>
      <c r="J427" s="5">
        <f>+$C427*BI427</f>
        <v>0</v>
      </c>
      <c r="K427" s="5">
        <f>+$C427*BJ427</f>
        <v>0</v>
      </c>
      <c r="L427" s="5">
        <f>+$C427*BK427</f>
        <v>0</v>
      </c>
      <c r="M427" s="5">
        <f>+$C427*BL427</f>
        <v>0</v>
      </c>
      <c r="N427" s="5">
        <f>+$C427*BM427</f>
        <v>0</v>
      </c>
      <c r="O427" s="5">
        <f>+$C427*BN427</f>
        <v>0</v>
      </c>
      <c r="P427" s="5">
        <v>0</v>
      </c>
      <c r="Q427" s="5">
        <f>+$P427*BC427</f>
        <v>0</v>
      </c>
      <c r="R427" s="5">
        <f>+$P427*BD427</f>
        <v>0</v>
      </c>
      <c r="S427" s="5">
        <f>+$P427*BE427</f>
        <v>0</v>
      </c>
      <c r="T427" s="5">
        <f>+$P427*BF427</f>
        <v>0</v>
      </c>
      <c r="U427" s="5">
        <f>+$P427*BG427</f>
        <v>0</v>
      </c>
      <c r="V427" s="5">
        <f>+$P427*BH427</f>
        <v>0</v>
      </c>
      <c r="W427" s="5">
        <f>+$P427*BI427</f>
        <v>0</v>
      </c>
      <c r="X427" s="5">
        <f>+$P427*BJ427</f>
        <v>0</v>
      </c>
      <c r="Y427" s="5">
        <f>+$P427*BK427</f>
        <v>0</v>
      </c>
      <c r="Z427" s="5">
        <f>+$P427*BL427</f>
        <v>0</v>
      </c>
      <c r="AA427" s="5">
        <f>+$P427*BM427</f>
        <v>0</v>
      </c>
      <c r="AB427" s="5">
        <f>+$P427*BN427</f>
        <v>0</v>
      </c>
      <c r="AC427" s="5">
        <v>0</v>
      </c>
      <c r="AD427" s="5">
        <f>+$AC427*BC427</f>
        <v>0</v>
      </c>
      <c r="AE427" s="5">
        <f>+$AC427*BD427</f>
        <v>0</v>
      </c>
      <c r="AF427" s="5">
        <f>+$AC427*BE427</f>
        <v>0</v>
      </c>
      <c r="AG427" s="5">
        <f>+$AC427*BF427</f>
        <v>0</v>
      </c>
      <c r="AH427" s="5">
        <f>+$AC427*BG427</f>
        <v>0</v>
      </c>
      <c r="AI427" s="5">
        <f>+$AC427*BH427</f>
        <v>0</v>
      </c>
      <c r="AJ427" s="5">
        <f>+$AC427*BI427</f>
        <v>0</v>
      </c>
      <c r="AK427" s="5">
        <f>+$AC427*BJ427</f>
        <v>0</v>
      </c>
      <c r="AL427" s="5">
        <f>+$AC427*BK427</f>
        <v>0</v>
      </c>
      <c r="AM427" s="5">
        <f>+$AC427*BL427</f>
        <v>0</v>
      </c>
      <c r="AN427" s="5">
        <f>+$AC427*BM427</f>
        <v>0</v>
      </c>
      <c r="AO427" s="5">
        <f>+$AC427*BN427</f>
        <v>0</v>
      </c>
      <c r="AP427" s="5">
        <f>+AC427+P427+C427</f>
        <v>0</v>
      </c>
      <c r="AQ427" s="1">
        <v>62.427096164119568</v>
      </c>
      <c r="AR427" s="1">
        <v>74.656945184116395</v>
      </c>
      <c r="AS427" s="1">
        <v>66.071943593983349</v>
      </c>
      <c r="AT427" s="1">
        <v>50.046954907985345</v>
      </c>
      <c r="AU427" s="1">
        <v>72.580002673757335</v>
      </c>
      <c r="AV427" s="1">
        <v>59.479231666781246</v>
      </c>
      <c r="AW427" s="1">
        <v>59.215715214083893</v>
      </c>
      <c r="AX427" s="1">
        <v>40.212973823945973</v>
      </c>
      <c r="AY427" s="1">
        <v>59.607696641890229</v>
      </c>
      <c r="AZ427" s="1">
        <v>51.910641239124622</v>
      </c>
      <c r="BA427" s="1">
        <v>53.002732434475021</v>
      </c>
      <c r="BB427" s="1">
        <v>51.768891555972935</v>
      </c>
      <c r="BC427" s="2">
        <v>8.9181565948742242E-2</v>
      </c>
      <c r="BD427" s="2">
        <v>0.10665277883445198</v>
      </c>
      <c r="BE427" s="2">
        <v>9.438849084854764E-2</v>
      </c>
      <c r="BF427" s="2">
        <v>7.149564986855049E-2</v>
      </c>
      <c r="BG427" s="2">
        <v>0.10368571810536763</v>
      </c>
      <c r="BH427" s="2">
        <v>8.4970330952544637E-2</v>
      </c>
      <c r="BI427" s="2">
        <v>8.4593878877262704E-2</v>
      </c>
      <c r="BJ427" s="2">
        <v>5.7447105462779965E-2</v>
      </c>
      <c r="BK427" s="2">
        <v>8.5153852345557474E-2</v>
      </c>
      <c r="BL427" s="2">
        <v>7.4158058913035174E-2</v>
      </c>
      <c r="BM427" s="2">
        <v>7.5718189192107169E-2</v>
      </c>
      <c r="BN427" s="2">
        <v>7.3955559365675619E-2</v>
      </c>
    </row>
    <row r="428" spans="1:66" x14ac:dyDescent="0.25">
      <c r="A428" s="8">
        <v>2562</v>
      </c>
      <c r="B428" s="8" t="s">
        <v>568</v>
      </c>
      <c r="C428" s="5">
        <v>630.80599999999993</v>
      </c>
      <c r="D428" s="5">
        <f>+$C428*BC428</f>
        <v>56.256266889862289</v>
      </c>
      <c r="E428" s="5">
        <f>+$C428*BD428</f>
        <v>67.277212805445316</v>
      </c>
      <c r="F428" s="5">
        <f>+$C428*BE428</f>
        <v>59.540826358208939</v>
      </c>
      <c r="G428" s="5">
        <f>+$C428*BF428</f>
        <v>45.099884910980855</v>
      </c>
      <c r="H428" s="5">
        <f>+$C428*BG428</f>
        <v>65.405573095174518</v>
      </c>
      <c r="I428" s="5">
        <f>+$C428*BH428</f>
        <v>53.599794586850869</v>
      </c>
      <c r="J428" s="5">
        <f>+$C428*BI428</f>
        <v>53.36232635905057</v>
      </c>
      <c r="K428" s="5">
        <f>+$C428*BJ428</f>
        <v>36.237978808554374</v>
      </c>
      <c r="L428" s="5">
        <f>+$C428*BK428</f>
        <v>53.71556098269172</v>
      </c>
      <c r="M428" s="5">
        <f>+$C428*BL428</f>
        <v>46.77934851069606</v>
      </c>
      <c r="N428" s="5">
        <f>+$C428*BM428</f>
        <v>47.763488051516347</v>
      </c>
      <c r="O428" s="5">
        <f>+$C428*BN428</f>
        <v>46.651610581224368</v>
      </c>
      <c r="P428" s="5">
        <v>0</v>
      </c>
      <c r="Q428" s="5">
        <f>+$P428*BC428</f>
        <v>0</v>
      </c>
      <c r="R428" s="5">
        <f>+$P428*BD428</f>
        <v>0</v>
      </c>
      <c r="S428" s="5">
        <f>+$P428*BE428</f>
        <v>0</v>
      </c>
      <c r="T428" s="5">
        <f>+$P428*BF428</f>
        <v>0</v>
      </c>
      <c r="U428" s="5">
        <f>+$P428*BG428</f>
        <v>0</v>
      </c>
      <c r="V428" s="5">
        <f>+$P428*BH428</f>
        <v>0</v>
      </c>
      <c r="W428" s="5">
        <f>+$P428*BI428</f>
        <v>0</v>
      </c>
      <c r="X428" s="5">
        <f>+$P428*BJ428</f>
        <v>0</v>
      </c>
      <c r="Y428" s="5">
        <f>+$P428*BK428</f>
        <v>0</v>
      </c>
      <c r="Z428" s="5">
        <f>+$P428*BL428</f>
        <v>0</v>
      </c>
      <c r="AA428" s="5">
        <f>+$P428*BM428</f>
        <v>0</v>
      </c>
      <c r="AB428" s="5">
        <f>+$P428*BN428</f>
        <v>0</v>
      </c>
      <c r="AC428" s="5">
        <v>0</v>
      </c>
      <c r="AD428" s="5">
        <f>+$AC428*BC428</f>
        <v>0</v>
      </c>
      <c r="AE428" s="5">
        <f>+$AC428*BD428</f>
        <v>0</v>
      </c>
      <c r="AF428" s="5">
        <f>+$AC428*BE428</f>
        <v>0</v>
      </c>
      <c r="AG428" s="5">
        <f>+$AC428*BF428</f>
        <v>0</v>
      </c>
      <c r="AH428" s="5">
        <f>+$AC428*BG428</f>
        <v>0</v>
      </c>
      <c r="AI428" s="5">
        <f>+$AC428*BH428</f>
        <v>0</v>
      </c>
      <c r="AJ428" s="5">
        <f>+$AC428*BI428</f>
        <v>0</v>
      </c>
      <c r="AK428" s="5">
        <f>+$AC428*BJ428</f>
        <v>0</v>
      </c>
      <c r="AL428" s="5">
        <f>+$AC428*BK428</f>
        <v>0</v>
      </c>
      <c r="AM428" s="5">
        <f>+$AC428*BL428</f>
        <v>0</v>
      </c>
      <c r="AN428" s="5">
        <f>+$AC428*BM428</f>
        <v>0</v>
      </c>
      <c r="AO428" s="5">
        <f>+$AC428*BN428</f>
        <v>0</v>
      </c>
      <c r="AP428" s="5">
        <f>+AC428+P428+C428</f>
        <v>630.80599999999993</v>
      </c>
      <c r="AQ428" s="1">
        <v>62.308038773577998</v>
      </c>
      <c r="AR428" s="1">
        <v>74.514563724372394</v>
      </c>
      <c r="AS428" s="1">
        <v>65.945934958700533</v>
      </c>
      <c r="AT428" s="1">
        <v>49.951508215410826</v>
      </c>
      <c r="AU428" s="1">
        <v>72.441582240086674</v>
      </c>
      <c r="AV428" s="1">
        <v>59.365796274959592</v>
      </c>
      <c r="AW428" s="1">
        <v>59.102782385782746</v>
      </c>
      <c r="AX428" s="1">
        <v>40.136281938153161</v>
      </c>
      <c r="AY428" s="1">
        <v>59.494016249008908</v>
      </c>
      <c r="AZ428" s="1">
        <v>51.811640230475717</v>
      </c>
      <c r="BA428" s="1">
        <v>52.90164865190355</v>
      </c>
      <c r="BB428" s="1">
        <v>51.670160884219754</v>
      </c>
      <c r="BC428" s="2">
        <v>8.9181565948742242E-2</v>
      </c>
      <c r="BD428" s="2">
        <v>0.10665277883445198</v>
      </c>
      <c r="BE428" s="2">
        <v>9.438849084854764E-2</v>
      </c>
      <c r="BF428" s="2">
        <v>7.149564986855049E-2</v>
      </c>
      <c r="BG428" s="2">
        <v>0.10368571810536763</v>
      </c>
      <c r="BH428" s="2">
        <v>8.4970330952544637E-2</v>
      </c>
      <c r="BI428" s="2">
        <v>8.4593878877262704E-2</v>
      </c>
      <c r="BJ428" s="2">
        <v>5.7447105462779965E-2</v>
      </c>
      <c r="BK428" s="2">
        <v>8.5153852345557474E-2</v>
      </c>
      <c r="BL428" s="2">
        <v>7.4158058913035174E-2</v>
      </c>
      <c r="BM428" s="2">
        <v>7.5718189192107169E-2</v>
      </c>
      <c r="BN428" s="2">
        <v>7.3955559365675619E-2</v>
      </c>
    </row>
    <row r="429" spans="1:66" x14ac:dyDescent="0.25">
      <c r="A429" s="8">
        <v>1882</v>
      </c>
      <c r="B429" s="8" t="s">
        <v>567</v>
      </c>
      <c r="C429" s="5">
        <v>0</v>
      </c>
      <c r="D429" s="5">
        <f>+$C429*BC429</f>
        <v>0</v>
      </c>
      <c r="E429" s="5">
        <f>+$C429*BD429</f>
        <v>0</v>
      </c>
      <c r="F429" s="5">
        <f>+$C429*BE429</f>
        <v>0</v>
      </c>
      <c r="G429" s="5">
        <f>+$C429*BF429</f>
        <v>0</v>
      </c>
      <c r="H429" s="5">
        <f>+$C429*BG429</f>
        <v>0</v>
      </c>
      <c r="I429" s="5">
        <f>+$C429*BH429</f>
        <v>0</v>
      </c>
      <c r="J429" s="5">
        <f>+$C429*BI429</f>
        <v>0</v>
      </c>
      <c r="K429" s="5">
        <f>+$C429*BJ429</f>
        <v>0</v>
      </c>
      <c r="L429" s="5">
        <f>+$C429*BK429</f>
        <v>0</v>
      </c>
      <c r="M429" s="5">
        <f>+$C429*BL429</f>
        <v>0</v>
      </c>
      <c r="N429" s="5">
        <f>+$C429*BM429</f>
        <v>0</v>
      </c>
      <c r="O429" s="5">
        <f>+$C429*BN429</f>
        <v>0</v>
      </c>
      <c r="P429" s="5">
        <v>10000</v>
      </c>
      <c r="Q429" s="5">
        <f>+$P429*BC429</f>
        <v>891.81565948742241</v>
      </c>
      <c r="R429" s="5">
        <f>+$P429*BD429</f>
        <v>1066.5277883445199</v>
      </c>
      <c r="S429" s="5">
        <f>+$P429*BE429</f>
        <v>943.88490848547644</v>
      </c>
      <c r="T429" s="5">
        <f>+$P429*BF429</f>
        <v>714.95649868550493</v>
      </c>
      <c r="U429" s="5">
        <f>+$P429*BG429</f>
        <v>1036.8571810536762</v>
      </c>
      <c r="V429" s="5">
        <f>+$P429*BH429</f>
        <v>849.70330952544634</v>
      </c>
      <c r="W429" s="5">
        <f>+$P429*BI429</f>
        <v>845.93878877262705</v>
      </c>
      <c r="X429" s="5">
        <f>+$P429*BJ429</f>
        <v>574.47105462779962</v>
      </c>
      <c r="Y429" s="5">
        <f>+$P429*BK429</f>
        <v>851.5385234555747</v>
      </c>
      <c r="Z429" s="5">
        <f>+$P429*BL429</f>
        <v>741.58058913035177</v>
      </c>
      <c r="AA429" s="5">
        <f>+$P429*BM429</f>
        <v>757.18189192107172</v>
      </c>
      <c r="AB429" s="5">
        <f>+$P429*BN429</f>
        <v>739.55559365675617</v>
      </c>
      <c r="AC429" s="5">
        <v>0</v>
      </c>
      <c r="AD429" s="5">
        <f>+$AC429*BC429</f>
        <v>0</v>
      </c>
      <c r="AE429" s="5">
        <f>+$AC429*BD429</f>
        <v>0</v>
      </c>
      <c r="AF429" s="5">
        <f>+$AC429*BE429</f>
        <v>0</v>
      </c>
      <c r="AG429" s="5">
        <f>+$AC429*BF429</f>
        <v>0</v>
      </c>
      <c r="AH429" s="5">
        <f>+$AC429*BG429</f>
        <v>0</v>
      </c>
      <c r="AI429" s="5">
        <f>+$AC429*BH429</f>
        <v>0</v>
      </c>
      <c r="AJ429" s="5">
        <f>+$AC429*BI429</f>
        <v>0</v>
      </c>
      <c r="AK429" s="5">
        <f>+$AC429*BJ429</f>
        <v>0</v>
      </c>
      <c r="AL429" s="5">
        <f>+$AC429*BK429</f>
        <v>0</v>
      </c>
      <c r="AM429" s="5">
        <f>+$AC429*BL429</f>
        <v>0</v>
      </c>
      <c r="AN429" s="5">
        <f>+$AC429*BM429</f>
        <v>0</v>
      </c>
      <c r="AO429" s="5">
        <f>+$AC429*BN429</f>
        <v>0</v>
      </c>
      <c r="AP429" s="5">
        <f>+AC429+P429+C429</f>
        <v>10000</v>
      </c>
      <c r="AQ429" s="1">
        <v>56.256266889862289</v>
      </c>
      <c r="AR429" s="1">
        <v>67.277212805445316</v>
      </c>
      <c r="AS429" s="1">
        <v>59.540826358208939</v>
      </c>
      <c r="AT429" s="1">
        <v>45.099884910980855</v>
      </c>
      <c r="AU429" s="1">
        <v>65.405573095174518</v>
      </c>
      <c r="AV429" s="1">
        <v>53.599794586850869</v>
      </c>
      <c r="AW429" s="1">
        <v>53.36232635905057</v>
      </c>
      <c r="AX429" s="1">
        <v>36.237978808554374</v>
      </c>
      <c r="AY429" s="1">
        <v>53.71556098269172</v>
      </c>
      <c r="AZ429" s="1">
        <v>46.77934851069606</v>
      </c>
      <c r="BA429" s="1">
        <v>47.763488051516347</v>
      </c>
      <c r="BB429" s="1">
        <v>46.651610581224368</v>
      </c>
      <c r="BC429" s="2">
        <v>8.9181565948742242E-2</v>
      </c>
      <c r="BD429" s="2">
        <v>0.10665277883445198</v>
      </c>
      <c r="BE429" s="2">
        <v>9.438849084854764E-2</v>
      </c>
      <c r="BF429" s="2">
        <v>7.149564986855049E-2</v>
      </c>
      <c r="BG429" s="2">
        <v>0.10368571810536763</v>
      </c>
      <c r="BH429" s="2">
        <v>8.4970330952544637E-2</v>
      </c>
      <c r="BI429" s="2">
        <v>8.4593878877262704E-2</v>
      </c>
      <c r="BJ429" s="2">
        <v>5.7447105462779965E-2</v>
      </c>
      <c r="BK429" s="2">
        <v>8.5153852345557474E-2</v>
      </c>
      <c r="BL429" s="2">
        <v>7.4158058913035174E-2</v>
      </c>
      <c r="BM429" s="2">
        <v>7.5718189192107169E-2</v>
      </c>
      <c r="BN429" s="2">
        <v>7.3955559365675619E-2</v>
      </c>
    </row>
    <row r="430" spans="1:66" x14ac:dyDescent="0.25">
      <c r="A430" s="8">
        <v>4977</v>
      </c>
      <c r="B430" s="8" t="s">
        <v>566</v>
      </c>
      <c r="C430" s="5">
        <v>0</v>
      </c>
      <c r="D430" s="5">
        <f>+$C430*BC430</f>
        <v>0</v>
      </c>
      <c r="E430" s="5">
        <f>+$C430*BD430</f>
        <v>0</v>
      </c>
      <c r="F430" s="5">
        <f>+$C430*BE430</f>
        <v>0</v>
      </c>
      <c r="G430" s="5">
        <f>+$C430*BF430</f>
        <v>0</v>
      </c>
      <c r="H430" s="5">
        <f>+$C430*BG430</f>
        <v>0</v>
      </c>
      <c r="I430" s="5">
        <f>+$C430*BH430</f>
        <v>0</v>
      </c>
      <c r="J430" s="5">
        <f>+$C430*BI430</f>
        <v>0</v>
      </c>
      <c r="K430" s="5">
        <f>+$C430*BJ430</f>
        <v>0</v>
      </c>
      <c r="L430" s="5">
        <f>+$C430*BK430</f>
        <v>0</v>
      </c>
      <c r="M430" s="5">
        <f>+$C430*BL430</f>
        <v>0</v>
      </c>
      <c r="N430" s="5">
        <f>+$C430*BM430</f>
        <v>0</v>
      </c>
      <c r="O430" s="5">
        <f>+$C430*BN430</f>
        <v>0</v>
      </c>
      <c r="P430" s="5">
        <v>0</v>
      </c>
      <c r="Q430" s="5">
        <f>+$P430*BC430</f>
        <v>0</v>
      </c>
      <c r="R430" s="5">
        <f>+$P430*BD430</f>
        <v>0</v>
      </c>
      <c r="S430" s="5">
        <f>+$P430*BE430</f>
        <v>0</v>
      </c>
      <c r="T430" s="5">
        <f>+$P430*BF430</f>
        <v>0</v>
      </c>
      <c r="U430" s="5">
        <f>+$P430*BG430</f>
        <v>0</v>
      </c>
      <c r="V430" s="5">
        <f>+$P430*BH430</f>
        <v>0</v>
      </c>
      <c r="W430" s="5">
        <f>+$P430*BI430</f>
        <v>0</v>
      </c>
      <c r="X430" s="5">
        <f>+$P430*BJ430</f>
        <v>0</v>
      </c>
      <c r="Y430" s="5">
        <f>+$P430*BK430</f>
        <v>0</v>
      </c>
      <c r="Z430" s="5">
        <f>+$P430*BL430</f>
        <v>0</v>
      </c>
      <c r="AA430" s="5">
        <f>+$P430*BM430</f>
        <v>0</v>
      </c>
      <c r="AB430" s="5">
        <f>+$P430*BN430</f>
        <v>0</v>
      </c>
      <c r="AC430" s="5">
        <v>400</v>
      </c>
      <c r="AD430" s="5">
        <f>+$AC430*BC430</f>
        <v>35.672626379496897</v>
      </c>
      <c r="AE430" s="5">
        <f>+$AC430*BD430</f>
        <v>42.66111153378079</v>
      </c>
      <c r="AF430" s="5">
        <f>+$AC430*BE430</f>
        <v>37.755396339419057</v>
      </c>
      <c r="AG430" s="5">
        <f>+$AC430*BF430</f>
        <v>28.598259947420196</v>
      </c>
      <c r="AH430" s="5">
        <f>+$AC430*BG430</f>
        <v>41.474287242147049</v>
      </c>
      <c r="AI430" s="5">
        <f>+$AC430*BH430</f>
        <v>33.988132381017856</v>
      </c>
      <c r="AJ430" s="5">
        <f>+$AC430*BI430</f>
        <v>33.837551550905083</v>
      </c>
      <c r="AK430" s="5">
        <f>+$AC430*BJ430</f>
        <v>22.978842185111986</v>
      </c>
      <c r="AL430" s="5">
        <f>+$AC430*BK430</f>
        <v>34.06154093822299</v>
      </c>
      <c r="AM430" s="5">
        <f>+$AC430*BL430</f>
        <v>29.663223565214068</v>
      </c>
      <c r="AN430" s="5">
        <f>+$AC430*BM430</f>
        <v>30.287275676842867</v>
      </c>
      <c r="AO430" s="5">
        <f>+$AC430*BN430</f>
        <v>29.582223746270248</v>
      </c>
      <c r="AP430" s="5">
        <f>+AC430+P430+C430</f>
        <v>400</v>
      </c>
      <c r="AQ430" s="1">
        <v>53.508939569245342</v>
      </c>
      <c r="AR430" s="1">
        <v>63.991667300671189</v>
      </c>
      <c r="AS430" s="1">
        <v>56.633094509128583</v>
      </c>
      <c r="AT430" s="1">
        <v>42.897389921130291</v>
      </c>
      <c r="AU430" s="1">
        <v>62.211430863220578</v>
      </c>
      <c r="AV430" s="1">
        <v>50.98219857152678</v>
      </c>
      <c r="AW430" s="1">
        <v>50.756327326357621</v>
      </c>
      <c r="AX430" s="1">
        <v>34.46826327766798</v>
      </c>
      <c r="AY430" s="1">
        <v>51.092311407334485</v>
      </c>
      <c r="AZ430" s="1">
        <v>44.494835347821102</v>
      </c>
      <c r="BA430" s="1">
        <v>45.430913515264301</v>
      </c>
      <c r="BB430" s="1">
        <v>44.373335619405374</v>
      </c>
      <c r="BC430" s="2">
        <v>8.9181565948742242E-2</v>
      </c>
      <c r="BD430" s="2">
        <v>0.10665277883445198</v>
      </c>
      <c r="BE430" s="2">
        <v>9.438849084854764E-2</v>
      </c>
      <c r="BF430" s="2">
        <v>7.149564986855049E-2</v>
      </c>
      <c r="BG430" s="2">
        <v>0.10368571810536763</v>
      </c>
      <c r="BH430" s="2">
        <v>8.4970330952544637E-2</v>
      </c>
      <c r="BI430" s="2">
        <v>8.4593878877262704E-2</v>
      </c>
      <c r="BJ430" s="2">
        <v>5.7447105462779965E-2</v>
      </c>
      <c r="BK430" s="2">
        <v>8.5153852345557474E-2</v>
      </c>
      <c r="BL430" s="2">
        <v>7.4158058913035174E-2</v>
      </c>
      <c r="BM430" s="2">
        <v>7.5718189192107169E-2</v>
      </c>
      <c r="BN430" s="2">
        <v>7.3955559365675619E-2</v>
      </c>
    </row>
    <row r="431" spans="1:66" x14ac:dyDescent="0.25">
      <c r="A431" s="8">
        <v>5019</v>
      </c>
      <c r="B431" s="8" t="s">
        <v>565</v>
      </c>
      <c r="C431" s="5">
        <v>500</v>
      </c>
      <c r="D431" s="5">
        <f>+$C431*BC431</f>
        <v>44.590782974371123</v>
      </c>
      <c r="E431" s="5">
        <f>+$C431*BD431</f>
        <v>53.32638941722599</v>
      </c>
      <c r="F431" s="5">
        <f>+$C431*BE431</f>
        <v>47.194245424273824</v>
      </c>
      <c r="G431" s="5">
        <f>+$C431*BF431</f>
        <v>35.747824934275243</v>
      </c>
      <c r="H431" s="5">
        <f>+$C431*BG431</f>
        <v>51.842859052683814</v>
      </c>
      <c r="I431" s="5">
        <f>+$C431*BH431</f>
        <v>42.485165476272321</v>
      </c>
      <c r="J431" s="5">
        <f>+$C431*BI431</f>
        <v>42.296939438631355</v>
      </c>
      <c r="K431" s="5">
        <f>+$C431*BJ431</f>
        <v>28.723552731389983</v>
      </c>
      <c r="L431" s="5">
        <f>+$C431*BK431</f>
        <v>42.576926172778734</v>
      </c>
      <c r="M431" s="5">
        <f>+$C431*BL431</f>
        <v>37.079029456517588</v>
      </c>
      <c r="N431" s="5">
        <f>+$C431*BM431</f>
        <v>37.859094596053588</v>
      </c>
      <c r="O431" s="5">
        <f>+$C431*BN431</f>
        <v>36.977779682837813</v>
      </c>
      <c r="P431" s="5">
        <v>0</v>
      </c>
      <c r="Q431" s="5">
        <f>+$P431*BC431</f>
        <v>0</v>
      </c>
      <c r="R431" s="5">
        <f>+$P431*BD431</f>
        <v>0</v>
      </c>
      <c r="S431" s="5">
        <f>+$P431*BE431</f>
        <v>0</v>
      </c>
      <c r="T431" s="5">
        <f>+$P431*BF431</f>
        <v>0</v>
      </c>
      <c r="U431" s="5">
        <f>+$P431*BG431</f>
        <v>0</v>
      </c>
      <c r="V431" s="5">
        <f>+$P431*BH431</f>
        <v>0</v>
      </c>
      <c r="W431" s="5">
        <f>+$P431*BI431</f>
        <v>0</v>
      </c>
      <c r="X431" s="5">
        <f>+$P431*BJ431</f>
        <v>0</v>
      </c>
      <c r="Y431" s="5">
        <f>+$P431*BK431</f>
        <v>0</v>
      </c>
      <c r="Z431" s="5">
        <f>+$P431*BL431</f>
        <v>0</v>
      </c>
      <c r="AA431" s="5">
        <f>+$P431*BM431</f>
        <v>0</v>
      </c>
      <c r="AB431" s="5">
        <f>+$P431*BN431</f>
        <v>0</v>
      </c>
      <c r="AC431" s="5">
        <v>0</v>
      </c>
      <c r="AD431" s="5">
        <f>+$AC431*BC431</f>
        <v>0</v>
      </c>
      <c r="AE431" s="5">
        <f>+$AC431*BD431</f>
        <v>0</v>
      </c>
      <c r="AF431" s="5">
        <f>+$AC431*BE431</f>
        <v>0</v>
      </c>
      <c r="AG431" s="5">
        <f>+$AC431*BF431</f>
        <v>0</v>
      </c>
      <c r="AH431" s="5">
        <f>+$AC431*BG431</f>
        <v>0</v>
      </c>
      <c r="AI431" s="5">
        <f>+$AC431*BH431</f>
        <v>0</v>
      </c>
      <c r="AJ431" s="5">
        <f>+$AC431*BI431</f>
        <v>0</v>
      </c>
      <c r="AK431" s="5">
        <f>+$AC431*BJ431</f>
        <v>0</v>
      </c>
      <c r="AL431" s="5">
        <f>+$AC431*BK431</f>
        <v>0</v>
      </c>
      <c r="AM431" s="5">
        <f>+$AC431*BL431</f>
        <v>0</v>
      </c>
      <c r="AN431" s="5">
        <f>+$AC431*BM431</f>
        <v>0</v>
      </c>
      <c r="AO431" s="5">
        <f>+$AC431*BN431</f>
        <v>0</v>
      </c>
      <c r="AP431" s="5">
        <f>+AC431+P431+C431</f>
        <v>500</v>
      </c>
      <c r="AQ431" s="1">
        <v>53.508939569245342</v>
      </c>
      <c r="AR431" s="1">
        <v>63.991667300671189</v>
      </c>
      <c r="AS431" s="1">
        <v>56.633094509128583</v>
      </c>
      <c r="AT431" s="1">
        <v>42.897389921130291</v>
      </c>
      <c r="AU431" s="1">
        <v>62.211430863220578</v>
      </c>
      <c r="AV431" s="1">
        <v>50.98219857152678</v>
      </c>
      <c r="AW431" s="1">
        <v>50.756327326357621</v>
      </c>
      <c r="AX431" s="1">
        <v>34.46826327766798</v>
      </c>
      <c r="AY431" s="1">
        <v>51.092311407334485</v>
      </c>
      <c r="AZ431" s="1">
        <v>44.494835347821102</v>
      </c>
      <c r="BA431" s="1">
        <v>45.430913515264301</v>
      </c>
      <c r="BB431" s="1">
        <v>44.373335619405374</v>
      </c>
      <c r="BC431" s="2">
        <v>8.9181565948742242E-2</v>
      </c>
      <c r="BD431" s="2">
        <v>0.10665277883445198</v>
      </c>
      <c r="BE431" s="2">
        <v>9.438849084854764E-2</v>
      </c>
      <c r="BF431" s="2">
        <v>7.149564986855049E-2</v>
      </c>
      <c r="BG431" s="2">
        <v>0.10368571810536763</v>
      </c>
      <c r="BH431" s="2">
        <v>8.4970330952544637E-2</v>
      </c>
      <c r="BI431" s="2">
        <v>8.4593878877262704E-2</v>
      </c>
      <c r="BJ431" s="2">
        <v>5.7447105462779965E-2</v>
      </c>
      <c r="BK431" s="2">
        <v>8.5153852345557474E-2</v>
      </c>
      <c r="BL431" s="2">
        <v>7.4158058913035174E-2</v>
      </c>
      <c r="BM431" s="2">
        <v>7.5718189192107169E-2</v>
      </c>
      <c r="BN431" s="2">
        <v>7.3955559365675619E-2</v>
      </c>
    </row>
    <row r="432" spans="1:66" x14ac:dyDescent="0.25">
      <c r="A432" s="8">
        <v>6631</v>
      </c>
      <c r="B432" s="8" t="s">
        <v>564</v>
      </c>
      <c r="C432" s="5">
        <v>0</v>
      </c>
      <c r="D432" s="5">
        <f>+$C432*BC432</f>
        <v>0</v>
      </c>
      <c r="E432" s="5">
        <f>+$C432*BD432</f>
        <v>0</v>
      </c>
      <c r="F432" s="5">
        <f>+$C432*BE432</f>
        <v>0</v>
      </c>
      <c r="G432" s="5">
        <f>+$C432*BF432</f>
        <v>0</v>
      </c>
      <c r="H432" s="5">
        <f>+$C432*BG432</f>
        <v>0</v>
      </c>
      <c r="I432" s="5">
        <f>+$C432*BH432</f>
        <v>0</v>
      </c>
      <c r="J432" s="5">
        <f>+$C432*BI432</f>
        <v>0</v>
      </c>
      <c r="K432" s="5">
        <f>+$C432*BJ432</f>
        <v>0</v>
      </c>
      <c r="L432" s="5">
        <f>+$C432*BK432</f>
        <v>0</v>
      </c>
      <c r="M432" s="5">
        <f>+$C432*BL432</f>
        <v>0</v>
      </c>
      <c r="N432" s="5">
        <f>+$C432*BM432</f>
        <v>0</v>
      </c>
      <c r="O432" s="5">
        <f>+$C432*BN432</f>
        <v>0</v>
      </c>
      <c r="P432" s="5">
        <v>0</v>
      </c>
      <c r="Q432" s="5">
        <f>+$P432*BC432</f>
        <v>0</v>
      </c>
      <c r="R432" s="5">
        <f>+$P432*BD432</f>
        <v>0</v>
      </c>
      <c r="S432" s="5">
        <f>+$P432*BE432</f>
        <v>0</v>
      </c>
      <c r="T432" s="5">
        <f>+$P432*BF432</f>
        <v>0</v>
      </c>
      <c r="U432" s="5">
        <f>+$P432*BG432</f>
        <v>0</v>
      </c>
      <c r="V432" s="5">
        <f>+$P432*BH432</f>
        <v>0</v>
      </c>
      <c r="W432" s="5">
        <f>+$P432*BI432</f>
        <v>0</v>
      </c>
      <c r="X432" s="5">
        <f>+$P432*BJ432</f>
        <v>0</v>
      </c>
      <c r="Y432" s="5">
        <f>+$P432*BK432</f>
        <v>0</v>
      </c>
      <c r="Z432" s="5">
        <f>+$P432*BL432</f>
        <v>0</v>
      </c>
      <c r="AA432" s="5">
        <f>+$P432*BM432</f>
        <v>0</v>
      </c>
      <c r="AB432" s="5">
        <f>+$P432*BN432</f>
        <v>0</v>
      </c>
      <c r="AC432" s="5">
        <v>0</v>
      </c>
      <c r="AD432" s="5">
        <f>+$AC432*BC432</f>
        <v>0</v>
      </c>
      <c r="AE432" s="5">
        <f>+$AC432*BD432</f>
        <v>0</v>
      </c>
      <c r="AF432" s="5">
        <f>+$AC432*BE432</f>
        <v>0</v>
      </c>
      <c r="AG432" s="5">
        <f>+$AC432*BF432</f>
        <v>0</v>
      </c>
      <c r="AH432" s="5">
        <f>+$AC432*BG432</f>
        <v>0</v>
      </c>
      <c r="AI432" s="5">
        <f>+$AC432*BH432</f>
        <v>0</v>
      </c>
      <c r="AJ432" s="5">
        <f>+$AC432*BI432</f>
        <v>0</v>
      </c>
      <c r="AK432" s="5">
        <f>+$AC432*BJ432</f>
        <v>0</v>
      </c>
      <c r="AL432" s="5">
        <f>+$AC432*BK432</f>
        <v>0</v>
      </c>
      <c r="AM432" s="5">
        <f>+$AC432*BL432</f>
        <v>0</v>
      </c>
      <c r="AN432" s="5">
        <f>+$AC432*BM432</f>
        <v>0</v>
      </c>
      <c r="AO432" s="5">
        <f>+$AC432*BN432</f>
        <v>0</v>
      </c>
      <c r="AP432" s="5">
        <f>+AC432+P432+C432</f>
        <v>0</v>
      </c>
      <c r="AQ432" s="1">
        <v>53.508939569245342</v>
      </c>
      <c r="AR432" s="1">
        <v>63.991667300671189</v>
      </c>
      <c r="AS432" s="1">
        <v>56.633094509128583</v>
      </c>
      <c r="AT432" s="1">
        <v>42.897389921130291</v>
      </c>
      <c r="AU432" s="1">
        <v>62.211430863220578</v>
      </c>
      <c r="AV432" s="1">
        <v>50.98219857152678</v>
      </c>
      <c r="AW432" s="1">
        <v>50.756327326357621</v>
      </c>
      <c r="AX432" s="1">
        <v>34.46826327766798</v>
      </c>
      <c r="AY432" s="1">
        <v>51.092311407334485</v>
      </c>
      <c r="AZ432" s="1">
        <v>44.494835347821102</v>
      </c>
      <c r="BA432" s="1">
        <v>45.430913515264301</v>
      </c>
      <c r="BB432" s="1">
        <v>44.373335619405374</v>
      </c>
      <c r="BC432" s="2">
        <v>8.9181565948742242E-2</v>
      </c>
      <c r="BD432" s="2">
        <v>0.10665277883445198</v>
      </c>
      <c r="BE432" s="2">
        <v>9.438849084854764E-2</v>
      </c>
      <c r="BF432" s="2">
        <v>7.149564986855049E-2</v>
      </c>
      <c r="BG432" s="2">
        <v>0.10368571810536763</v>
      </c>
      <c r="BH432" s="2">
        <v>8.4970330952544637E-2</v>
      </c>
      <c r="BI432" s="2">
        <v>8.4593878877262704E-2</v>
      </c>
      <c r="BJ432" s="2">
        <v>5.7447105462779965E-2</v>
      </c>
      <c r="BK432" s="2">
        <v>8.5153852345557474E-2</v>
      </c>
      <c r="BL432" s="2">
        <v>7.4158058913035174E-2</v>
      </c>
      <c r="BM432" s="2">
        <v>7.5718189192107169E-2</v>
      </c>
      <c r="BN432" s="2">
        <v>7.3955559365675619E-2</v>
      </c>
    </row>
    <row r="433" spans="1:66" x14ac:dyDescent="0.25">
      <c r="A433" s="8">
        <v>3932</v>
      </c>
      <c r="B433" s="8" t="s">
        <v>563</v>
      </c>
      <c r="C433" s="5">
        <v>0</v>
      </c>
      <c r="D433" s="5">
        <f>+$C433*BC433</f>
        <v>0</v>
      </c>
      <c r="E433" s="5">
        <f>+$C433*BD433</f>
        <v>0</v>
      </c>
      <c r="F433" s="5">
        <f>+$C433*BE433</f>
        <v>0</v>
      </c>
      <c r="G433" s="5">
        <f>+$C433*BF433</f>
        <v>0</v>
      </c>
      <c r="H433" s="5">
        <f>+$C433*BG433</f>
        <v>0</v>
      </c>
      <c r="I433" s="5">
        <f>+$C433*BH433</f>
        <v>0</v>
      </c>
      <c r="J433" s="5">
        <f>+$C433*BI433</f>
        <v>0</v>
      </c>
      <c r="K433" s="5">
        <f>+$C433*BJ433</f>
        <v>0</v>
      </c>
      <c r="L433" s="5">
        <f>+$C433*BK433</f>
        <v>0</v>
      </c>
      <c r="M433" s="5">
        <f>+$C433*BL433</f>
        <v>0</v>
      </c>
      <c r="N433" s="5">
        <f>+$C433*BM433</f>
        <v>0</v>
      </c>
      <c r="O433" s="5">
        <f>+$C433*BN433</f>
        <v>0</v>
      </c>
      <c r="P433" s="5">
        <v>0</v>
      </c>
      <c r="Q433" s="5">
        <f>+$P433*BC433</f>
        <v>0</v>
      </c>
      <c r="R433" s="5">
        <f>+$P433*BD433</f>
        <v>0</v>
      </c>
      <c r="S433" s="5">
        <f>+$P433*BE433</f>
        <v>0</v>
      </c>
      <c r="T433" s="5">
        <f>+$P433*BF433</f>
        <v>0</v>
      </c>
      <c r="U433" s="5">
        <f>+$P433*BG433</f>
        <v>0</v>
      </c>
      <c r="V433" s="5">
        <f>+$P433*BH433</f>
        <v>0</v>
      </c>
      <c r="W433" s="5">
        <f>+$P433*BI433</f>
        <v>0</v>
      </c>
      <c r="X433" s="5">
        <f>+$P433*BJ433</f>
        <v>0</v>
      </c>
      <c r="Y433" s="5">
        <f>+$P433*BK433</f>
        <v>0</v>
      </c>
      <c r="Z433" s="5">
        <f>+$P433*BL433</f>
        <v>0</v>
      </c>
      <c r="AA433" s="5">
        <f>+$P433*BM433</f>
        <v>0</v>
      </c>
      <c r="AB433" s="5">
        <f>+$P433*BN433</f>
        <v>0</v>
      </c>
      <c r="AC433" s="5">
        <v>0</v>
      </c>
      <c r="AD433" s="5">
        <f>+$AC433*BC433</f>
        <v>0</v>
      </c>
      <c r="AE433" s="5">
        <f>+$AC433*BD433</f>
        <v>0</v>
      </c>
      <c r="AF433" s="5">
        <f>+$AC433*BE433</f>
        <v>0</v>
      </c>
      <c r="AG433" s="5">
        <f>+$AC433*BF433</f>
        <v>0</v>
      </c>
      <c r="AH433" s="5">
        <f>+$AC433*BG433</f>
        <v>0</v>
      </c>
      <c r="AI433" s="5">
        <f>+$AC433*BH433</f>
        <v>0</v>
      </c>
      <c r="AJ433" s="5">
        <f>+$AC433*BI433</f>
        <v>0</v>
      </c>
      <c r="AK433" s="5">
        <f>+$AC433*BJ433</f>
        <v>0</v>
      </c>
      <c r="AL433" s="5">
        <f>+$AC433*BK433</f>
        <v>0</v>
      </c>
      <c r="AM433" s="5">
        <f>+$AC433*BL433</f>
        <v>0</v>
      </c>
      <c r="AN433" s="5">
        <f>+$AC433*BM433</f>
        <v>0</v>
      </c>
      <c r="AO433" s="5">
        <f>+$AC433*BN433</f>
        <v>0</v>
      </c>
      <c r="AP433" s="5">
        <f>+AC433+P433+C433</f>
        <v>0</v>
      </c>
      <c r="AQ433" s="1">
        <v>52.897332389968874</v>
      </c>
      <c r="AR433" s="1">
        <v>63.260242543424525</v>
      </c>
      <c r="AS433" s="1">
        <v>55.985778238889246</v>
      </c>
      <c r="AT433" s="1">
        <v>42.407072754331779</v>
      </c>
      <c r="AU433" s="1">
        <v>61.50035420845397</v>
      </c>
      <c r="AV433" s="1">
        <v>50.399472041854239</v>
      </c>
      <c r="AW433" s="1">
        <v>50.176182505017358</v>
      </c>
      <c r="AX433" s="1">
        <v>34.07429102840424</v>
      </c>
      <c r="AY433" s="1">
        <v>50.508326287948655</v>
      </c>
      <c r="AZ433" s="1">
        <v>43.986259379795513</v>
      </c>
      <c r="BA433" s="1">
        <v>44.911638173784837</v>
      </c>
      <c r="BB433" s="1">
        <v>43.866148393275573</v>
      </c>
      <c r="BC433" s="2">
        <v>8.9181565948742242E-2</v>
      </c>
      <c r="BD433" s="2">
        <v>0.10665277883445198</v>
      </c>
      <c r="BE433" s="2">
        <v>9.438849084854764E-2</v>
      </c>
      <c r="BF433" s="2">
        <v>7.149564986855049E-2</v>
      </c>
      <c r="BG433" s="2">
        <v>0.10368571810536763</v>
      </c>
      <c r="BH433" s="2">
        <v>8.4970330952544637E-2</v>
      </c>
      <c r="BI433" s="2">
        <v>8.4593878877262704E-2</v>
      </c>
      <c r="BJ433" s="2">
        <v>5.7447105462779965E-2</v>
      </c>
      <c r="BK433" s="2">
        <v>8.5153852345557474E-2</v>
      </c>
      <c r="BL433" s="2">
        <v>7.4158058913035174E-2</v>
      </c>
      <c r="BM433" s="2">
        <v>7.5718189192107169E-2</v>
      </c>
      <c r="BN433" s="2">
        <v>7.3955559365675619E-2</v>
      </c>
    </row>
    <row r="434" spans="1:66" x14ac:dyDescent="0.25">
      <c r="A434" s="8">
        <v>5170</v>
      </c>
      <c r="B434" s="8" t="s">
        <v>562</v>
      </c>
      <c r="C434" s="5">
        <v>1500</v>
      </c>
      <c r="D434" s="5">
        <f>+$C434*BC434</f>
        <v>133.77234892311336</v>
      </c>
      <c r="E434" s="5">
        <f>+$C434*BD434</f>
        <v>159.97916825167798</v>
      </c>
      <c r="F434" s="5">
        <f>+$C434*BE434</f>
        <v>141.58273627282145</v>
      </c>
      <c r="G434" s="5">
        <f>+$C434*BF434</f>
        <v>107.24347480282573</v>
      </c>
      <c r="H434" s="5">
        <f>+$C434*BG434</f>
        <v>155.52857715805143</v>
      </c>
      <c r="I434" s="5">
        <f>+$C434*BH434</f>
        <v>127.45549642881696</v>
      </c>
      <c r="J434" s="5">
        <f>+$C434*BI434</f>
        <v>126.89081831589405</v>
      </c>
      <c r="K434" s="5">
        <f>+$C434*BJ434</f>
        <v>86.170658194169945</v>
      </c>
      <c r="L434" s="5">
        <f>+$C434*BK434</f>
        <v>127.73077851833621</v>
      </c>
      <c r="M434" s="5">
        <f>+$C434*BL434</f>
        <v>111.23708836955277</v>
      </c>
      <c r="N434" s="5">
        <f>+$C434*BM434</f>
        <v>113.57728378816076</v>
      </c>
      <c r="O434" s="5">
        <f>+$C434*BN434</f>
        <v>110.93333904851343</v>
      </c>
      <c r="P434" s="5">
        <v>0</v>
      </c>
      <c r="Q434" s="5">
        <f>+$P434*BC434</f>
        <v>0</v>
      </c>
      <c r="R434" s="5">
        <f>+$P434*BD434</f>
        <v>0</v>
      </c>
      <c r="S434" s="5">
        <f>+$P434*BE434</f>
        <v>0</v>
      </c>
      <c r="T434" s="5">
        <f>+$P434*BF434</f>
        <v>0</v>
      </c>
      <c r="U434" s="5">
        <f>+$P434*BG434</f>
        <v>0</v>
      </c>
      <c r="V434" s="5">
        <f>+$P434*BH434</f>
        <v>0</v>
      </c>
      <c r="W434" s="5">
        <f>+$P434*BI434</f>
        <v>0</v>
      </c>
      <c r="X434" s="5">
        <f>+$P434*BJ434</f>
        <v>0</v>
      </c>
      <c r="Y434" s="5">
        <f>+$P434*BK434</f>
        <v>0</v>
      </c>
      <c r="Z434" s="5">
        <f>+$P434*BL434</f>
        <v>0</v>
      </c>
      <c r="AA434" s="5">
        <f>+$P434*BM434</f>
        <v>0</v>
      </c>
      <c r="AB434" s="5">
        <f>+$P434*BN434</f>
        <v>0</v>
      </c>
      <c r="AC434" s="5">
        <v>0</v>
      </c>
      <c r="AD434" s="5">
        <f>+$AC434*BC434</f>
        <v>0</v>
      </c>
      <c r="AE434" s="5">
        <f>+$AC434*BD434</f>
        <v>0</v>
      </c>
      <c r="AF434" s="5">
        <f>+$AC434*BE434</f>
        <v>0</v>
      </c>
      <c r="AG434" s="5">
        <f>+$AC434*BF434</f>
        <v>0</v>
      </c>
      <c r="AH434" s="5">
        <f>+$AC434*BG434</f>
        <v>0</v>
      </c>
      <c r="AI434" s="5">
        <f>+$AC434*BH434</f>
        <v>0</v>
      </c>
      <c r="AJ434" s="5">
        <f>+$AC434*BI434</f>
        <v>0</v>
      </c>
      <c r="AK434" s="5">
        <f>+$AC434*BJ434</f>
        <v>0</v>
      </c>
      <c r="AL434" s="5">
        <f>+$AC434*BK434</f>
        <v>0</v>
      </c>
      <c r="AM434" s="5">
        <f>+$AC434*BL434</f>
        <v>0</v>
      </c>
      <c r="AN434" s="5">
        <f>+$AC434*BM434</f>
        <v>0</v>
      </c>
      <c r="AO434" s="5">
        <f>+$AC434*BN434</f>
        <v>0</v>
      </c>
      <c r="AP434" s="5">
        <f>+AC434+P434+C434</f>
        <v>1500</v>
      </c>
      <c r="AQ434" s="1">
        <v>72.839757441162817</v>
      </c>
      <c r="AR434" s="1">
        <v>87.109510335269334</v>
      </c>
      <c r="AS434" s="1">
        <v>77.092555008478072</v>
      </c>
      <c r="AT434" s="1">
        <v>58.39464399533756</v>
      </c>
      <c r="AU434" s="1">
        <v>84.686139748303859</v>
      </c>
      <c r="AV434" s="1">
        <v>69.400197568138452</v>
      </c>
      <c r="AW434" s="1">
        <v>69.092727324035337</v>
      </c>
      <c r="AX434" s="1">
        <v>46.920382963569239</v>
      </c>
      <c r="AY434" s="1">
        <v>69.550090134052837</v>
      </c>
      <c r="AZ434" s="1">
        <v>60.569187881692784</v>
      </c>
      <c r="BA434" s="1">
        <v>61.843436768167066</v>
      </c>
      <c r="BB434" s="1">
        <v>60.403794756390489</v>
      </c>
      <c r="BC434" s="2">
        <v>8.9181565948742242E-2</v>
      </c>
      <c r="BD434" s="2">
        <v>0.10665277883445198</v>
      </c>
      <c r="BE434" s="2">
        <v>9.438849084854764E-2</v>
      </c>
      <c r="BF434" s="2">
        <v>7.149564986855049E-2</v>
      </c>
      <c r="BG434" s="2">
        <v>0.10368571810536763</v>
      </c>
      <c r="BH434" s="2">
        <v>8.4970330952544637E-2</v>
      </c>
      <c r="BI434" s="2">
        <v>8.4593878877262704E-2</v>
      </c>
      <c r="BJ434" s="2">
        <v>5.7447105462779965E-2</v>
      </c>
      <c r="BK434" s="2">
        <v>8.5153852345557474E-2</v>
      </c>
      <c r="BL434" s="2">
        <v>7.4158058913035174E-2</v>
      </c>
      <c r="BM434" s="2">
        <v>7.5718189192107169E-2</v>
      </c>
      <c r="BN434" s="2">
        <v>7.3955559365675619E-2</v>
      </c>
    </row>
    <row r="435" spans="1:66" x14ac:dyDescent="0.25">
      <c r="A435" s="8">
        <v>4351</v>
      </c>
      <c r="B435" s="8" t="s">
        <v>561</v>
      </c>
      <c r="C435" s="5">
        <v>525.69000000000005</v>
      </c>
      <c r="D435" s="5">
        <f>+$C435*BC435</f>
        <v>46.881857403594317</v>
      </c>
      <c r="E435" s="5">
        <f>+$C435*BD435</f>
        <v>56.066299305483071</v>
      </c>
      <c r="F435" s="5">
        <f>+$C435*BE435</f>
        <v>49.619085754173014</v>
      </c>
      <c r="G435" s="5">
        <f>+$C435*BF435</f>
        <v>37.584548179398311</v>
      </c>
      <c r="H435" s="5">
        <f>+$C435*BG435</f>
        <v>54.506545150810716</v>
      </c>
      <c r="I435" s="5">
        <f>+$C435*BH435</f>
        <v>44.668053278443196</v>
      </c>
      <c r="J435" s="5">
        <f>+$C435*BI435</f>
        <v>44.470156186988234</v>
      </c>
      <c r="K435" s="5">
        <f>+$C435*BJ435</f>
        <v>30.199368870728804</v>
      </c>
      <c r="L435" s="5">
        <f>+$C435*BK435</f>
        <v>44.76452863953611</v>
      </c>
      <c r="M435" s="5">
        <f>+$C435*BL435</f>
        <v>38.984149989993462</v>
      </c>
      <c r="N435" s="5">
        <f>+$C435*BM435</f>
        <v>39.804294876398821</v>
      </c>
      <c r="O435" s="5">
        <f>+$C435*BN435</f>
        <v>38.877698002942019</v>
      </c>
      <c r="P435" s="5">
        <v>0</v>
      </c>
      <c r="Q435" s="5">
        <f>+$P435*BC435</f>
        <v>0</v>
      </c>
      <c r="R435" s="5">
        <f>+$P435*BD435</f>
        <v>0</v>
      </c>
      <c r="S435" s="5">
        <f>+$P435*BE435</f>
        <v>0</v>
      </c>
      <c r="T435" s="5">
        <f>+$P435*BF435</f>
        <v>0</v>
      </c>
      <c r="U435" s="5">
        <f>+$P435*BG435</f>
        <v>0</v>
      </c>
      <c r="V435" s="5">
        <f>+$P435*BH435</f>
        <v>0</v>
      </c>
      <c r="W435" s="5">
        <f>+$P435*BI435</f>
        <v>0</v>
      </c>
      <c r="X435" s="5">
        <f>+$P435*BJ435</f>
        <v>0</v>
      </c>
      <c r="Y435" s="5">
        <f>+$P435*BK435</f>
        <v>0</v>
      </c>
      <c r="Z435" s="5">
        <f>+$P435*BL435</f>
        <v>0</v>
      </c>
      <c r="AA435" s="5">
        <f>+$P435*BM435</f>
        <v>0</v>
      </c>
      <c r="AB435" s="5">
        <f>+$P435*BN435</f>
        <v>0</v>
      </c>
      <c r="AC435" s="5">
        <v>0</v>
      </c>
      <c r="AD435" s="5">
        <f>+$AC435*BC435</f>
        <v>0</v>
      </c>
      <c r="AE435" s="5">
        <f>+$AC435*BD435</f>
        <v>0</v>
      </c>
      <c r="AF435" s="5">
        <f>+$AC435*BE435</f>
        <v>0</v>
      </c>
      <c r="AG435" s="5">
        <f>+$AC435*BF435</f>
        <v>0</v>
      </c>
      <c r="AH435" s="5">
        <f>+$AC435*BG435</f>
        <v>0</v>
      </c>
      <c r="AI435" s="5">
        <f>+$AC435*BH435</f>
        <v>0</v>
      </c>
      <c r="AJ435" s="5">
        <f>+$AC435*BI435</f>
        <v>0</v>
      </c>
      <c r="AK435" s="5">
        <f>+$AC435*BJ435</f>
        <v>0</v>
      </c>
      <c r="AL435" s="5">
        <f>+$AC435*BK435</f>
        <v>0</v>
      </c>
      <c r="AM435" s="5">
        <f>+$AC435*BL435</f>
        <v>0</v>
      </c>
      <c r="AN435" s="5">
        <f>+$AC435*BM435</f>
        <v>0</v>
      </c>
      <c r="AO435" s="5">
        <f>+$AC435*BN435</f>
        <v>0</v>
      </c>
      <c r="AP435" s="5">
        <f>+AC435+P435+C435</f>
        <v>525.69000000000005</v>
      </c>
      <c r="AQ435" s="1">
        <v>53.904370632662072</v>
      </c>
      <c r="AR435" s="1">
        <v>64.464565722023153</v>
      </c>
      <c r="AS435" s="1">
        <v>57.051613077551053</v>
      </c>
      <c r="AT435" s="1">
        <v>43.214401632647451</v>
      </c>
      <c r="AU435" s="1">
        <v>62.671173337299784</v>
      </c>
      <c r="AV435" s="1">
        <v>51.358957018970372</v>
      </c>
      <c r="AW435" s="1">
        <v>51.131416585299412</v>
      </c>
      <c r="AX435" s="1">
        <v>34.722983743289952</v>
      </c>
      <c r="AY435" s="1">
        <v>51.469883588634694</v>
      </c>
      <c r="AZ435" s="1">
        <v>44.82365218104151</v>
      </c>
      <c r="BA435" s="1">
        <v>45.766647966142109</v>
      </c>
      <c r="BB435" s="1">
        <v>44.701254569632781</v>
      </c>
      <c r="BC435" s="2">
        <v>8.9181565948742242E-2</v>
      </c>
      <c r="BD435" s="2">
        <v>0.10665277883445198</v>
      </c>
      <c r="BE435" s="2">
        <v>9.438849084854764E-2</v>
      </c>
      <c r="BF435" s="2">
        <v>7.149564986855049E-2</v>
      </c>
      <c r="BG435" s="2">
        <v>0.10368571810536763</v>
      </c>
      <c r="BH435" s="2">
        <v>8.4970330952544637E-2</v>
      </c>
      <c r="BI435" s="2">
        <v>8.4593878877262704E-2</v>
      </c>
      <c r="BJ435" s="2">
        <v>5.7447105462779965E-2</v>
      </c>
      <c r="BK435" s="2">
        <v>8.5153852345557474E-2</v>
      </c>
      <c r="BL435" s="2">
        <v>7.4158058913035174E-2</v>
      </c>
      <c r="BM435" s="2">
        <v>7.5718189192107169E-2</v>
      </c>
      <c r="BN435" s="2">
        <v>7.3955559365675619E-2</v>
      </c>
    </row>
    <row r="436" spans="1:66" x14ac:dyDescent="0.25">
      <c r="A436" s="8">
        <v>3885</v>
      </c>
      <c r="B436" s="8" t="s">
        <v>560</v>
      </c>
      <c r="C436" s="5">
        <v>500</v>
      </c>
      <c r="D436" s="5">
        <f>+$C436*BC436</f>
        <v>44.590782974371123</v>
      </c>
      <c r="E436" s="5">
        <f>+$C436*BD436</f>
        <v>53.32638941722599</v>
      </c>
      <c r="F436" s="5">
        <f>+$C436*BE436</f>
        <v>47.194245424273824</v>
      </c>
      <c r="G436" s="5">
        <f>+$C436*BF436</f>
        <v>35.747824934275243</v>
      </c>
      <c r="H436" s="5">
        <f>+$C436*BG436</f>
        <v>51.842859052683814</v>
      </c>
      <c r="I436" s="5">
        <f>+$C436*BH436</f>
        <v>42.485165476272321</v>
      </c>
      <c r="J436" s="5">
        <f>+$C436*BI436</f>
        <v>42.296939438631355</v>
      </c>
      <c r="K436" s="5">
        <f>+$C436*BJ436</f>
        <v>28.723552731389983</v>
      </c>
      <c r="L436" s="5">
        <f>+$C436*BK436</f>
        <v>42.576926172778734</v>
      </c>
      <c r="M436" s="5">
        <f>+$C436*BL436</f>
        <v>37.079029456517588</v>
      </c>
      <c r="N436" s="5">
        <f>+$C436*BM436</f>
        <v>37.859094596053588</v>
      </c>
      <c r="O436" s="5">
        <f>+$C436*BN436</f>
        <v>36.977779682837813</v>
      </c>
      <c r="P436" s="5">
        <v>0</v>
      </c>
      <c r="Q436" s="5">
        <f>+$P436*BC436</f>
        <v>0</v>
      </c>
      <c r="R436" s="5">
        <f>+$P436*BD436</f>
        <v>0</v>
      </c>
      <c r="S436" s="5">
        <f>+$P436*BE436</f>
        <v>0</v>
      </c>
      <c r="T436" s="5">
        <f>+$P436*BF436</f>
        <v>0</v>
      </c>
      <c r="U436" s="5">
        <f>+$P436*BG436</f>
        <v>0</v>
      </c>
      <c r="V436" s="5">
        <f>+$P436*BH436</f>
        <v>0</v>
      </c>
      <c r="W436" s="5">
        <f>+$P436*BI436</f>
        <v>0</v>
      </c>
      <c r="X436" s="5">
        <f>+$P436*BJ436</f>
        <v>0</v>
      </c>
      <c r="Y436" s="5">
        <f>+$P436*BK436</f>
        <v>0</v>
      </c>
      <c r="Z436" s="5">
        <f>+$P436*BL436</f>
        <v>0</v>
      </c>
      <c r="AA436" s="5">
        <f>+$P436*BM436</f>
        <v>0</v>
      </c>
      <c r="AB436" s="5">
        <f>+$P436*BN436</f>
        <v>0</v>
      </c>
      <c r="AC436" s="5">
        <v>0</v>
      </c>
      <c r="AD436" s="5">
        <f>+$AC436*BC436</f>
        <v>0</v>
      </c>
      <c r="AE436" s="5">
        <f>+$AC436*BD436</f>
        <v>0</v>
      </c>
      <c r="AF436" s="5">
        <f>+$AC436*BE436</f>
        <v>0</v>
      </c>
      <c r="AG436" s="5">
        <f>+$AC436*BF436</f>
        <v>0</v>
      </c>
      <c r="AH436" s="5">
        <f>+$AC436*BG436</f>
        <v>0</v>
      </c>
      <c r="AI436" s="5">
        <f>+$AC436*BH436</f>
        <v>0</v>
      </c>
      <c r="AJ436" s="5">
        <f>+$AC436*BI436</f>
        <v>0</v>
      </c>
      <c r="AK436" s="5">
        <f>+$AC436*BJ436</f>
        <v>0</v>
      </c>
      <c r="AL436" s="5">
        <f>+$AC436*BK436</f>
        <v>0</v>
      </c>
      <c r="AM436" s="5">
        <f>+$AC436*BL436</f>
        <v>0</v>
      </c>
      <c r="AN436" s="5">
        <f>+$AC436*BM436</f>
        <v>0</v>
      </c>
      <c r="AO436" s="5">
        <f>+$AC436*BN436</f>
        <v>0</v>
      </c>
      <c r="AP436" s="5">
        <f>+AC436+P436+C436</f>
        <v>500</v>
      </c>
      <c r="AQ436" s="1">
        <v>46.881857403594317</v>
      </c>
      <c r="AR436" s="1">
        <v>56.066299305483071</v>
      </c>
      <c r="AS436" s="1">
        <v>49.619085754173014</v>
      </c>
      <c r="AT436" s="1">
        <v>37.584548179398311</v>
      </c>
      <c r="AU436" s="1">
        <v>54.506545150810716</v>
      </c>
      <c r="AV436" s="1">
        <v>44.668053278443196</v>
      </c>
      <c r="AW436" s="1">
        <v>44.470156186988234</v>
      </c>
      <c r="AX436" s="1">
        <v>30.199368870728804</v>
      </c>
      <c r="AY436" s="1">
        <v>44.76452863953611</v>
      </c>
      <c r="AZ436" s="1">
        <v>38.984149989993462</v>
      </c>
      <c r="BA436" s="1">
        <v>39.804294876398821</v>
      </c>
      <c r="BB436" s="1">
        <v>38.877698002942019</v>
      </c>
      <c r="BC436" s="2">
        <v>8.9181565948742242E-2</v>
      </c>
      <c r="BD436" s="2">
        <v>0.10665277883445198</v>
      </c>
      <c r="BE436" s="2">
        <v>9.438849084854764E-2</v>
      </c>
      <c r="BF436" s="2">
        <v>7.149564986855049E-2</v>
      </c>
      <c r="BG436" s="2">
        <v>0.10368571810536763</v>
      </c>
      <c r="BH436" s="2">
        <v>8.4970330952544637E-2</v>
      </c>
      <c r="BI436" s="2">
        <v>8.4593878877262704E-2</v>
      </c>
      <c r="BJ436" s="2">
        <v>5.7447105462779965E-2</v>
      </c>
      <c r="BK436" s="2">
        <v>8.5153852345557474E-2</v>
      </c>
      <c r="BL436" s="2">
        <v>7.4158058913035174E-2</v>
      </c>
      <c r="BM436" s="2">
        <v>7.5718189192107169E-2</v>
      </c>
      <c r="BN436" s="2">
        <v>7.3955559365675619E-2</v>
      </c>
    </row>
    <row r="437" spans="1:66" x14ac:dyDescent="0.25">
      <c r="A437" s="8">
        <v>4203</v>
      </c>
      <c r="B437" s="8" t="s">
        <v>559</v>
      </c>
      <c r="C437" s="5">
        <v>500</v>
      </c>
      <c r="D437" s="5">
        <f>+$C437*BC437</f>
        <v>44.590782974371123</v>
      </c>
      <c r="E437" s="5">
        <f>+$C437*BD437</f>
        <v>53.32638941722599</v>
      </c>
      <c r="F437" s="5">
        <f>+$C437*BE437</f>
        <v>47.194245424273824</v>
      </c>
      <c r="G437" s="5">
        <f>+$C437*BF437</f>
        <v>35.747824934275243</v>
      </c>
      <c r="H437" s="5">
        <f>+$C437*BG437</f>
        <v>51.842859052683814</v>
      </c>
      <c r="I437" s="5">
        <f>+$C437*BH437</f>
        <v>42.485165476272321</v>
      </c>
      <c r="J437" s="5">
        <f>+$C437*BI437</f>
        <v>42.296939438631355</v>
      </c>
      <c r="K437" s="5">
        <f>+$C437*BJ437</f>
        <v>28.723552731389983</v>
      </c>
      <c r="L437" s="5">
        <f>+$C437*BK437</f>
        <v>42.576926172778734</v>
      </c>
      <c r="M437" s="5">
        <f>+$C437*BL437</f>
        <v>37.079029456517588</v>
      </c>
      <c r="N437" s="5">
        <f>+$C437*BM437</f>
        <v>37.859094596053588</v>
      </c>
      <c r="O437" s="5">
        <f>+$C437*BN437</f>
        <v>36.977779682837813</v>
      </c>
      <c r="P437" s="5">
        <v>0</v>
      </c>
      <c r="Q437" s="5">
        <f>+$P437*BC437</f>
        <v>0</v>
      </c>
      <c r="R437" s="5">
        <f>+$P437*BD437</f>
        <v>0</v>
      </c>
      <c r="S437" s="5">
        <f>+$P437*BE437</f>
        <v>0</v>
      </c>
      <c r="T437" s="5">
        <f>+$P437*BF437</f>
        <v>0</v>
      </c>
      <c r="U437" s="5">
        <f>+$P437*BG437</f>
        <v>0</v>
      </c>
      <c r="V437" s="5">
        <f>+$P437*BH437</f>
        <v>0</v>
      </c>
      <c r="W437" s="5">
        <f>+$P437*BI437</f>
        <v>0</v>
      </c>
      <c r="X437" s="5">
        <f>+$P437*BJ437</f>
        <v>0</v>
      </c>
      <c r="Y437" s="5">
        <f>+$P437*BK437</f>
        <v>0</v>
      </c>
      <c r="Z437" s="5">
        <f>+$P437*BL437</f>
        <v>0</v>
      </c>
      <c r="AA437" s="5">
        <f>+$P437*BM437</f>
        <v>0</v>
      </c>
      <c r="AB437" s="5">
        <f>+$P437*BN437</f>
        <v>0</v>
      </c>
      <c r="AC437" s="5">
        <v>0</v>
      </c>
      <c r="AD437" s="5">
        <f>+$AC437*BC437</f>
        <v>0</v>
      </c>
      <c r="AE437" s="5">
        <f>+$AC437*BD437</f>
        <v>0</v>
      </c>
      <c r="AF437" s="5">
        <f>+$AC437*BE437</f>
        <v>0</v>
      </c>
      <c r="AG437" s="5">
        <f>+$AC437*BF437</f>
        <v>0</v>
      </c>
      <c r="AH437" s="5">
        <f>+$AC437*BG437</f>
        <v>0</v>
      </c>
      <c r="AI437" s="5">
        <f>+$AC437*BH437</f>
        <v>0</v>
      </c>
      <c r="AJ437" s="5">
        <f>+$AC437*BI437</f>
        <v>0</v>
      </c>
      <c r="AK437" s="5">
        <f>+$AC437*BJ437</f>
        <v>0</v>
      </c>
      <c r="AL437" s="5">
        <f>+$AC437*BK437</f>
        <v>0</v>
      </c>
      <c r="AM437" s="5">
        <f>+$AC437*BL437</f>
        <v>0</v>
      </c>
      <c r="AN437" s="5">
        <f>+$AC437*BM437</f>
        <v>0</v>
      </c>
      <c r="AO437" s="5">
        <f>+$AC437*BN437</f>
        <v>0</v>
      </c>
      <c r="AP437" s="5">
        <f>+AC437+P437+C437</f>
        <v>500</v>
      </c>
      <c r="AQ437" s="1">
        <v>45.523889698892809</v>
      </c>
      <c r="AR437" s="1">
        <v>54.442297442170862</v>
      </c>
      <c r="AS437" s="1">
        <v>48.181832204022172</v>
      </c>
      <c r="AT437" s="1">
        <v>36.495883918849884</v>
      </c>
      <c r="AU437" s="1">
        <v>52.92772272122027</v>
      </c>
      <c r="AV437" s="1">
        <v>43.37421004902879</v>
      </c>
      <c r="AW437" s="1">
        <v>43.18204519332415</v>
      </c>
      <c r="AX437" s="1">
        <v>29.324621795847047</v>
      </c>
      <c r="AY437" s="1">
        <v>43.4678909298703</v>
      </c>
      <c r="AZ437" s="1">
        <v>37.85494522692467</v>
      </c>
      <c r="BA437" s="1">
        <v>38.651334009570597</v>
      </c>
      <c r="BB437" s="1">
        <v>37.751576700480868</v>
      </c>
      <c r="BC437" s="2">
        <v>8.9181565948742242E-2</v>
      </c>
      <c r="BD437" s="2">
        <v>0.10665277883445198</v>
      </c>
      <c r="BE437" s="2">
        <v>9.438849084854764E-2</v>
      </c>
      <c r="BF437" s="2">
        <v>7.149564986855049E-2</v>
      </c>
      <c r="BG437" s="2">
        <v>0.10368571810536763</v>
      </c>
      <c r="BH437" s="2">
        <v>8.4970330952544637E-2</v>
      </c>
      <c r="BI437" s="2">
        <v>8.4593878877262704E-2</v>
      </c>
      <c r="BJ437" s="2">
        <v>5.7447105462779965E-2</v>
      </c>
      <c r="BK437" s="2">
        <v>8.5153852345557474E-2</v>
      </c>
      <c r="BL437" s="2">
        <v>7.4158058913035174E-2</v>
      </c>
      <c r="BM437" s="2">
        <v>7.5718189192107169E-2</v>
      </c>
      <c r="BN437" s="2">
        <v>7.3955559365675619E-2</v>
      </c>
    </row>
    <row r="438" spans="1:66" x14ac:dyDescent="0.25">
      <c r="A438" s="8">
        <v>2293</v>
      </c>
      <c r="B438" s="8" t="s">
        <v>558</v>
      </c>
      <c r="C438" s="5">
        <v>0</v>
      </c>
      <c r="D438" s="5">
        <f>+$C438*BC438</f>
        <v>0</v>
      </c>
      <c r="E438" s="5">
        <f>+$C438*BD438</f>
        <v>0</v>
      </c>
      <c r="F438" s="5">
        <f>+$C438*BE438</f>
        <v>0</v>
      </c>
      <c r="G438" s="5">
        <f>+$C438*BF438</f>
        <v>0</v>
      </c>
      <c r="H438" s="5">
        <f>+$C438*BG438</f>
        <v>0</v>
      </c>
      <c r="I438" s="5">
        <f>+$C438*BH438</f>
        <v>0</v>
      </c>
      <c r="J438" s="5">
        <f>+$C438*BI438</f>
        <v>0</v>
      </c>
      <c r="K438" s="5">
        <f>+$C438*BJ438</f>
        <v>0</v>
      </c>
      <c r="L438" s="5">
        <f>+$C438*BK438</f>
        <v>0</v>
      </c>
      <c r="M438" s="5">
        <f>+$C438*BL438</f>
        <v>0</v>
      </c>
      <c r="N438" s="5">
        <f>+$C438*BM438</f>
        <v>0</v>
      </c>
      <c r="O438" s="5">
        <f>+$C438*BN438</f>
        <v>0</v>
      </c>
      <c r="P438" s="5">
        <v>0</v>
      </c>
      <c r="Q438" s="5">
        <f>+$P438*BC438</f>
        <v>0</v>
      </c>
      <c r="R438" s="5">
        <f>+$P438*BD438</f>
        <v>0</v>
      </c>
      <c r="S438" s="5">
        <f>+$P438*BE438</f>
        <v>0</v>
      </c>
      <c r="T438" s="5">
        <f>+$P438*BF438</f>
        <v>0</v>
      </c>
      <c r="U438" s="5">
        <f>+$P438*BG438</f>
        <v>0</v>
      </c>
      <c r="V438" s="5">
        <f>+$P438*BH438</f>
        <v>0</v>
      </c>
      <c r="W438" s="5">
        <f>+$P438*BI438</f>
        <v>0</v>
      </c>
      <c r="X438" s="5">
        <f>+$P438*BJ438</f>
        <v>0</v>
      </c>
      <c r="Y438" s="5">
        <f>+$P438*BK438</f>
        <v>0</v>
      </c>
      <c r="Z438" s="5">
        <f>+$P438*BL438</f>
        <v>0</v>
      </c>
      <c r="AA438" s="5">
        <f>+$P438*BM438</f>
        <v>0</v>
      </c>
      <c r="AB438" s="5">
        <f>+$P438*BN438</f>
        <v>0</v>
      </c>
      <c r="AC438" s="5">
        <v>0</v>
      </c>
      <c r="AD438" s="5">
        <f>+$AC438*BC438</f>
        <v>0</v>
      </c>
      <c r="AE438" s="5">
        <f>+$AC438*BD438</f>
        <v>0</v>
      </c>
      <c r="AF438" s="5">
        <f>+$AC438*BE438</f>
        <v>0</v>
      </c>
      <c r="AG438" s="5">
        <f>+$AC438*BF438</f>
        <v>0</v>
      </c>
      <c r="AH438" s="5">
        <f>+$AC438*BG438</f>
        <v>0</v>
      </c>
      <c r="AI438" s="5">
        <f>+$AC438*BH438</f>
        <v>0</v>
      </c>
      <c r="AJ438" s="5">
        <f>+$AC438*BI438</f>
        <v>0</v>
      </c>
      <c r="AK438" s="5">
        <f>+$AC438*BJ438</f>
        <v>0</v>
      </c>
      <c r="AL438" s="5">
        <f>+$AC438*BK438</f>
        <v>0</v>
      </c>
      <c r="AM438" s="5">
        <f>+$AC438*BL438</f>
        <v>0</v>
      </c>
      <c r="AN438" s="5">
        <f>+$AC438*BM438</f>
        <v>0</v>
      </c>
      <c r="AO438" s="5">
        <f>+$AC438*BN438</f>
        <v>0</v>
      </c>
      <c r="AP438" s="5">
        <f>+AC438+P438+C438</f>
        <v>0</v>
      </c>
      <c r="AQ438" s="1">
        <v>45.208989589527803</v>
      </c>
      <c r="AR438" s="1">
        <v>54.065706480106414</v>
      </c>
      <c r="AS438" s="1">
        <v>47.848546442835953</v>
      </c>
      <c r="AT438" s="1">
        <v>36.243432779164038</v>
      </c>
      <c r="AU438" s="1">
        <v>52.561608450590221</v>
      </c>
      <c r="AV438" s="1">
        <v>43.074179810435361</v>
      </c>
      <c r="AW438" s="1">
        <v>42.883344207008541</v>
      </c>
      <c r="AX438" s="1">
        <v>29.121776066457976</v>
      </c>
      <c r="AY438" s="1">
        <v>43.16721267723814</v>
      </c>
      <c r="AZ438" s="1">
        <v>37.593093120902751</v>
      </c>
      <c r="BA438" s="1">
        <v>38.38397308353327</v>
      </c>
      <c r="BB438" s="1">
        <v>37.490439620360675</v>
      </c>
      <c r="BC438" s="2">
        <v>8.9181565948742242E-2</v>
      </c>
      <c r="BD438" s="2">
        <v>0.10665277883445198</v>
      </c>
      <c r="BE438" s="2">
        <v>9.438849084854764E-2</v>
      </c>
      <c r="BF438" s="2">
        <v>7.149564986855049E-2</v>
      </c>
      <c r="BG438" s="2">
        <v>0.10368571810536763</v>
      </c>
      <c r="BH438" s="2">
        <v>8.4970330952544637E-2</v>
      </c>
      <c r="BI438" s="2">
        <v>8.4593878877262704E-2</v>
      </c>
      <c r="BJ438" s="2">
        <v>5.7447105462779965E-2</v>
      </c>
      <c r="BK438" s="2">
        <v>8.5153852345557474E-2</v>
      </c>
      <c r="BL438" s="2">
        <v>7.4158058913035174E-2</v>
      </c>
      <c r="BM438" s="2">
        <v>7.5718189192107169E-2</v>
      </c>
      <c r="BN438" s="2">
        <v>7.3955559365675619E-2</v>
      </c>
    </row>
    <row r="439" spans="1:66" x14ac:dyDescent="0.25">
      <c r="A439" s="8">
        <v>5336</v>
      </c>
      <c r="B439" s="8" t="s">
        <v>557</v>
      </c>
      <c r="C439" s="5">
        <v>0</v>
      </c>
      <c r="D439" s="5">
        <f>+$C439*BC439</f>
        <v>0</v>
      </c>
      <c r="E439" s="5">
        <f>+$C439*BD439</f>
        <v>0</v>
      </c>
      <c r="F439" s="5">
        <f>+$C439*BE439</f>
        <v>0</v>
      </c>
      <c r="G439" s="5">
        <f>+$C439*BF439</f>
        <v>0</v>
      </c>
      <c r="H439" s="5">
        <f>+$C439*BG439</f>
        <v>0</v>
      </c>
      <c r="I439" s="5">
        <f>+$C439*BH439</f>
        <v>0</v>
      </c>
      <c r="J439" s="5">
        <f>+$C439*BI439</f>
        <v>0</v>
      </c>
      <c r="K439" s="5">
        <f>+$C439*BJ439</f>
        <v>0</v>
      </c>
      <c r="L439" s="5">
        <f>+$C439*BK439</f>
        <v>0</v>
      </c>
      <c r="M439" s="5">
        <f>+$C439*BL439</f>
        <v>0</v>
      </c>
      <c r="N439" s="5">
        <f>+$C439*BM439</f>
        <v>0</v>
      </c>
      <c r="O439" s="5">
        <f>+$C439*BN439</f>
        <v>0</v>
      </c>
      <c r="P439" s="5">
        <v>0</v>
      </c>
      <c r="Q439" s="5">
        <f>+$P439*BC439</f>
        <v>0</v>
      </c>
      <c r="R439" s="5">
        <f>+$P439*BD439</f>
        <v>0</v>
      </c>
      <c r="S439" s="5">
        <f>+$P439*BE439</f>
        <v>0</v>
      </c>
      <c r="T439" s="5">
        <f>+$P439*BF439</f>
        <v>0</v>
      </c>
      <c r="U439" s="5">
        <f>+$P439*BG439</f>
        <v>0</v>
      </c>
      <c r="V439" s="5">
        <f>+$P439*BH439</f>
        <v>0</v>
      </c>
      <c r="W439" s="5">
        <f>+$P439*BI439</f>
        <v>0</v>
      </c>
      <c r="X439" s="5">
        <f>+$P439*BJ439</f>
        <v>0</v>
      </c>
      <c r="Y439" s="5">
        <f>+$P439*BK439</f>
        <v>0</v>
      </c>
      <c r="Z439" s="5">
        <f>+$P439*BL439</f>
        <v>0</v>
      </c>
      <c r="AA439" s="5">
        <f>+$P439*BM439</f>
        <v>0</v>
      </c>
      <c r="AB439" s="5">
        <f>+$P439*BN439</f>
        <v>0</v>
      </c>
      <c r="AC439" s="5">
        <v>0</v>
      </c>
      <c r="AD439" s="5">
        <f>+$AC439*BC439</f>
        <v>0</v>
      </c>
      <c r="AE439" s="5">
        <f>+$AC439*BD439</f>
        <v>0</v>
      </c>
      <c r="AF439" s="5">
        <f>+$AC439*BE439</f>
        <v>0</v>
      </c>
      <c r="AG439" s="5">
        <f>+$AC439*BF439</f>
        <v>0</v>
      </c>
      <c r="AH439" s="5">
        <f>+$AC439*BG439</f>
        <v>0</v>
      </c>
      <c r="AI439" s="5">
        <f>+$AC439*BH439</f>
        <v>0</v>
      </c>
      <c r="AJ439" s="5">
        <f>+$AC439*BI439</f>
        <v>0</v>
      </c>
      <c r="AK439" s="5">
        <f>+$AC439*BJ439</f>
        <v>0</v>
      </c>
      <c r="AL439" s="5">
        <f>+$AC439*BK439</f>
        <v>0</v>
      </c>
      <c r="AM439" s="5">
        <f>+$AC439*BL439</f>
        <v>0</v>
      </c>
      <c r="AN439" s="5">
        <f>+$AC439*BM439</f>
        <v>0</v>
      </c>
      <c r="AO439" s="5">
        <f>+$AC439*BN439</f>
        <v>0</v>
      </c>
      <c r="AP439" s="5">
        <f>+AC439+P439+C439</f>
        <v>0</v>
      </c>
      <c r="AQ439" s="1">
        <v>44.590782974371123</v>
      </c>
      <c r="AR439" s="1">
        <v>53.32638941722599</v>
      </c>
      <c r="AS439" s="1">
        <v>47.194245424273824</v>
      </c>
      <c r="AT439" s="1">
        <v>35.747824934275243</v>
      </c>
      <c r="AU439" s="1">
        <v>51.842859052683814</v>
      </c>
      <c r="AV439" s="1">
        <v>42.485165476272321</v>
      </c>
      <c r="AW439" s="1">
        <v>42.296939438631355</v>
      </c>
      <c r="AX439" s="1">
        <v>28.723552731389983</v>
      </c>
      <c r="AY439" s="1">
        <v>42.576926172778734</v>
      </c>
      <c r="AZ439" s="1">
        <v>37.079029456517588</v>
      </c>
      <c r="BA439" s="1">
        <v>37.859094596053588</v>
      </c>
      <c r="BB439" s="1">
        <v>36.977779682837813</v>
      </c>
      <c r="BC439" s="2">
        <v>8.9181565948742242E-2</v>
      </c>
      <c r="BD439" s="2">
        <v>0.10665277883445198</v>
      </c>
      <c r="BE439" s="2">
        <v>9.438849084854764E-2</v>
      </c>
      <c r="BF439" s="2">
        <v>7.149564986855049E-2</v>
      </c>
      <c r="BG439" s="2">
        <v>0.10368571810536763</v>
      </c>
      <c r="BH439" s="2">
        <v>8.4970330952544637E-2</v>
      </c>
      <c r="BI439" s="2">
        <v>8.4593878877262704E-2</v>
      </c>
      <c r="BJ439" s="2">
        <v>5.7447105462779965E-2</v>
      </c>
      <c r="BK439" s="2">
        <v>8.5153852345557474E-2</v>
      </c>
      <c r="BL439" s="2">
        <v>7.4158058913035174E-2</v>
      </c>
      <c r="BM439" s="2">
        <v>7.5718189192107169E-2</v>
      </c>
      <c r="BN439" s="2">
        <v>7.3955559365675619E-2</v>
      </c>
    </row>
    <row r="440" spans="1:66" x14ac:dyDescent="0.25">
      <c r="A440" s="8">
        <v>5378</v>
      </c>
      <c r="B440" s="8" t="s">
        <v>556</v>
      </c>
      <c r="C440" s="5">
        <v>0</v>
      </c>
      <c r="D440" s="5">
        <f>+$C440*BC440</f>
        <v>0</v>
      </c>
      <c r="E440" s="5">
        <f>+$C440*BD440</f>
        <v>0</v>
      </c>
      <c r="F440" s="5">
        <f>+$C440*BE440</f>
        <v>0</v>
      </c>
      <c r="G440" s="5">
        <f>+$C440*BF440</f>
        <v>0</v>
      </c>
      <c r="H440" s="5">
        <f>+$C440*BG440</f>
        <v>0</v>
      </c>
      <c r="I440" s="5">
        <f>+$C440*BH440</f>
        <v>0</v>
      </c>
      <c r="J440" s="5">
        <f>+$C440*BI440</f>
        <v>0</v>
      </c>
      <c r="K440" s="5">
        <f>+$C440*BJ440</f>
        <v>0</v>
      </c>
      <c r="L440" s="5">
        <f>+$C440*BK440</f>
        <v>0</v>
      </c>
      <c r="M440" s="5">
        <f>+$C440*BL440</f>
        <v>0</v>
      </c>
      <c r="N440" s="5">
        <f>+$C440*BM440</f>
        <v>0</v>
      </c>
      <c r="O440" s="5">
        <f>+$C440*BN440</f>
        <v>0</v>
      </c>
      <c r="P440" s="5">
        <v>0</v>
      </c>
      <c r="Q440" s="5">
        <f>+$P440*BC440</f>
        <v>0</v>
      </c>
      <c r="R440" s="5">
        <f>+$P440*BD440</f>
        <v>0</v>
      </c>
      <c r="S440" s="5">
        <f>+$P440*BE440</f>
        <v>0</v>
      </c>
      <c r="T440" s="5">
        <f>+$P440*BF440</f>
        <v>0</v>
      </c>
      <c r="U440" s="5">
        <f>+$P440*BG440</f>
        <v>0</v>
      </c>
      <c r="V440" s="5">
        <f>+$P440*BH440</f>
        <v>0</v>
      </c>
      <c r="W440" s="5">
        <f>+$P440*BI440</f>
        <v>0</v>
      </c>
      <c r="X440" s="5">
        <f>+$P440*BJ440</f>
        <v>0</v>
      </c>
      <c r="Y440" s="5">
        <f>+$P440*BK440</f>
        <v>0</v>
      </c>
      <c r="Z440" s="5">
        <f>+$P440*BL440</f>
        <v>0</v>
      </c>
      <c r="AA440" s="5">
        <f>+$P440*BM440</f>
        <v>0</v>
      </c>
      <c r="AB440" s="5">
        <f>+$P440*BN440</f>
        <v>0</v>
      </c>
      <c r="AC440" s="5">
        <v>500</v>
      </c>
      <c r="AD440" s="5">
        <f>+$AC440*BC440</f>
        <v>44.590782974371123</v>
      </c>
      <c r="AE440" s="5">
        <f>+$AC440*BD440</f>
        <v>53.32638941722599</v>
      </c>
      <c r="AF440" s="5">
        <f>+$AC440*BE440</f>
        <v>47.194245424273824</v>
      </c>
      <c r="AG440" s="5">
        <f>+$AC440*BF440</f>
        <v>35.747824934275243</v>
      </c>
      <c r="AH440" s="5">
        <f>+$AC440*BG440</f>
        <v>51.842859052683814</v>
      </c>
      <c r="AI440" s="5">
        <f>+$AC440*BH440</f>
        <v>42.485165476272321</v>
      </c>
      <c r="AJ440" s="5">
        <f>+$AC440*BI440</f>
        <v>42.296939438631355</v>
      </c>
      <c r="AK440" s="5">
        <f>+$AC440*BJ440</f>
        <v>28.723552731389983</v>
      </c>
      <c r="AL440" s="5">
        <f>+$AC440*BK440</f>
        <v>42.576926172778734</v>
      </c>
      <c r="AM440" s="5">
        <f>+$AC440*BL440</f>
        <v>37.079029456517588</v>
      </c>
      <c r="AN440" s="5">
        <f>+$AC440*BM440</f>
        <v>37.859094596053588</v>
      </c>
      <c r="AO440" s="5">
        <f>+$AC440*BN440</f>
        <v>36.977779682837813</v>
      </c>
      <c r="AP440" s="5">
        <f>+AC440+P440+C440</f>
        <v>500</v>
      </c>
      <c r="AQ440" s="1">
        <v>44.590782974371123</v>
      </c>
      <c r="AR440" s="1">
        <v>53.32638941722599</v>
      </c>
      <c r="AS440" s="1">
        <v>47.194245424273824</v>
      </c>
      <c r="AT440" s="1">
        <v>35.747824934275243</v>
      </c>
      <c r="AU440" s="1">
        <v>51.842859052683814</v>
      </c>
      <c r="AV440" s="1">
        <v>42.485165476272321</v>
      </c>
      <c r="AW440" s="1">
        <v>42.296939438631355</v>
      </c>
      <c r="AX440" s="1">
        <v>28.723552731389983</v>
      </c>
      <c r="AY440" s="1">
        <v>42.576926172778734</v>
      </c>
      <c r="AZ440" s="1">
        <v>37.079029456517588</v>
      </c>
      <c r="BA440" s="1">
        <v>37.859094596053588</v>
      </c>
      <c r="BB440" s="1">
        <v>36.977779682837813</v>
      </c>
      <c r="BC440" s="2">
        <v>8.9181565948742242E-2</v>
      </c>
      <c r="BD440" s="2">
        <v>0.10665277883445198</v>
      </c>
      <c r="BE440" s="2">
        <v>9.438849084854764E-2</v>
      </c>
      <c r="BF440" s="2">
        <v>7.149564986855049E-2</v>
      </c>
      <c r="BG440" s="2">
        <v>0.10368571810536763</v>
      </c>
      <c r="BH440" s="2">
        <v>8.4970330952544637E-2</v>
      </c>
      <c r="BI440" s="2">
        <v>8.4593878877262704E-2</v>
      </c>
      <c r="BJ440" s="2">
        <v>5.7447105462779965E-2</v>
      </c>
      <c r="BK440" s="2">
        <v>8.5153852345557474E-2</v>
      </c>
      <c r="BL440" s="2">
        <v>7.4158058913035174E-2</v>
      </c>
      <c r="BM440" s="2">
        <v>7.5718189192107169E-2</v>
      </c>
      <c r="BN440" s="2">
        <v>7.3955559365675619E-2</v>
      </c>
    </row>
    <row r="441" spans="1:66" x14ac:dyDescent="0.25">
      <c r="A441" s="8">
        <v>33607</v>
      </c>
      <c r="B441" s="8" t="s">
        <v>555</v>
      </c>
      <c r="C441" s="5">
        <v>0</v>
      </c>
      <c r="D441" s="5">
        <f>+$C441*BC441</f>
        <v>0</v>
      </c>
      <c r="E441" s="5">
        <f>+$C441*BD441</f>
        <v>0</v>
      </c>
      <c r="F441" s="5">
        <f>+$C441*BE441</f>
        <v>0</v>
      </c>
      <c r="G441" s="5">
        <f>+$C441*BF441</f>
        <v>0</v>
      </c>
      <c r="H441" s="5">
        <f>+$C441*BG441</f>
        <v>0</v>
      </c>
      <c r="I441" s="5">
        <f>+$C441*BH441</f>
        <v>0</v>
      </c>
      <c r="J441" s="5">
        <f>+$C441*BI441</f>
        <v>0</v>
      </c>
      <c r="K441" s="5">
        <f>+$C441*BJ441</f>
        <v>0</v>
      </c>
      <c r="L441" s="5">
        <f>+$C441*BK441</f>
        <v>0</v>
      </c>
      <c r="M441" s="5">
        <f>+$C441*BL441</f>
        <v>0</v>
      </c>
      <c r="N441" s="5">
        <f>+$C441*BM441</f>
        <v>0</v>
      </c>
      <c r="O441" s="5">
        <f>+$C441*BN441</f>
        <v>0</v>
      </c>
      <c r="P441" s="5">
        <v>5000</v>
      </c>
      <c r="Q441" s="5">
        <f>+$P441*BC441</f>
        <v>445.9078297437112</v>
      </c>
      <c r="R441" s="5">
        <f>+$P441*BD441</f>
        <v>533.26389417225994</v>
      </c>
      <c r="S441" s="5">
        <f>+$P441*BE441</f>
        <v>471.94245424273822</v>
      </c>
      <c r="T441" s="5">
        <f>+$P441*BF441</f>
        <v>357.47824934275246</v>
      </c>
      <c r="U441" s="5">
        <f>+$P441*BG441</f>
        <v>518.42859052683809</v>
      </c>
      <c r="V441" s="5">
        <f>+$P441*BH441</f>
        <v>424.85165476272317</v>
      </c>
      <c r="W441" s="5">
        <f>+$P441*BI441</f>
        <v>422.96939438631352</v>
      </c>
      <c r="X441" s="5">
        <f>+$P441*BJ441</f>
        <v>287.23552731389981</v>
      </c>
      <c r="Y441" s="5">
        <f>+$P441*BK441</f>
        <v>425.76926172778735</v>
      </c>
      <c r="Z441" s="5">
        <f>+$P441*BL441</f>
        <v>370.79029456517588</v>
      </c>
      <c r="AA441" s="5">
        <f>+$P441*BM441</f>
        <v>378.59094596053586</v>
      </c>
      <c r="AB441" s="5">
        <f>+$P441*BN441</f>
        <v>369.77779682837809</v>
      </c>
      <c r="AC441" s="5">
        <v>0</v>
      </c>
      <c r="AD441" s="5">
        <f>+$AC441*BC441</f>
        <v>0</v>
      </c>
      <c r="AE441" s="5">
        <f>+$AC441*BD441</f>
        <v>0</v>
      </c>
      <c r="AF441" s="5">
        <f>+$AC441*BE441</f>
        <v>0</v>
      </c>
      <c r="AG441" s="5">
        <f>+$AC441*BF441</f>
        <v>0</v>
      </c>
      <c r="AH441" s="5">
        <f>+$AC441*BG441</f>
        <v>0</v>
      </c>
      <c r="AI441" s="5">
        <f>+$AC441*BH441</f>
        <v>0</v>
      </c>
      <c r="AJ441" s="5">
        <f>+$AC441*BI441</f>
        <v>0</v>
      </c>
      <c r="AK441" s="5">
        <f>+$AC441*BJ441</f>
        <v>0</v>
      </c>
      <c r="AL441" s="5">
        <f>+$AC441*BK441</f>
        <v>0</v>
      </c>
      <c r="AM441" s="5">
        <f>+$AC441*BL441</f>
        <v>0</v>
      </c>
      <c r="AN441" s="5">
        <f>+$AC441*BM441</f>
        <v>0</v>
      </c>
      <c r="AO441" s="5">
        <f>+$AC441*BN441</f>
        <v>0</v>
      </c>
      <c r="AP441" s="5">
        <f>+AC441+P441+C441</f>
        <v>5000</v>
      </c>
      <c r="AQ441" s="1">
        <v>44.590782974371123</v>
      </c>
      <c r="AR441" s="1">
        <v>53.32638941722599</v>
      </c>
      <c r="AS441" s="1">
        <v>47.194245424273824</v>
      </c>
      <c r="AT441" s="1">
        <v>35.747824934275243</v>
      </c>
      <c r="AU441" s="1">
        <v>51.842859052683814</v>
      </c>
      <c r="AV441" s="1">
        <v>42.485165476272321</v>
      </c>
      <c r="AW441" s="1">
        <v>42.296939438631355</v>
      </c>
      <c r="AX441" s="1">
        <v>28.723552731389983</v>
      </c>
      <c r="AY441" s="1">
        <v>42.576926172778734</v>
      </c>
      <c r="AZ441" s="1">
        <v>37.079029456517588</v>
      </c>
      <c r="BA441" s="1">
        <v>37.859094596053588</v>
      </c>
      <c r="BB441" s="1">
        <v>36.977779682837813</v>
      </c>
      <c r="BC441" s="2">
        <v>8.9181565948742242E-2</v>
      </c>
      <c r="BD441" s="2">
        <v>0.10665277883445198</v>
      </c>
      <c r="BE441" s="2">
        <v>9.438849084854764E-2</v>
      </c>
      <c r="BF441" s="2">
        <v>7.149564986855049E-2</v>
      </c>
      <c r="BG441" s="2">
        <v>0.10368571810536763</v>
      </c>
      <c r="BH441" s="2">
        <v>8.4970330952544637E-2</v>
      </c>
      <c r="BI441" s="2">
        <v>8.4593878877262704E-2</v>
      </c>
      <c r="BJ441" s="2">
        <v>5.7447105462779965E-2</v>
      </c>
      <c r="BK441" s="2">
        <v>8.5153852345557474E-2</v>
      </c>
      <c r="BL441" s="2">
        <v>7.4158058913035174E-2</v>
      </c>
      <c r="BM441" s="2">
        <v>7.5718189192107169E-2</v>
      </c>
      <c r="BN441" s="2">
        <v>7.3955559365675619E-2</v>
      </c>
    </row>
    <row r="442" spans="1:66" x14ac:dyDescent="0.25">
      <c r="A442" s="8">
        <v>34003</v>
      </c>
      <c r="B442" s="8" t="s">
        <v>554</v>
      </c>
      <c r="C442" s="5">
        <v>0</v>
      </c>
      <c r="D442" s="5">
        <f>+$C442*BC442</f>
        <v>0</v>
      </c>
      <c r="E442" s="5">
        <f>+$C442*BD442</f>
        <v>0</v>
      </c>
      <c r="F442" s="5">
        <f>+$C442*BE442</f>
        <v>0</v>
      </c>
      <c r="G442" s="5">
        <f>+$C442*BF442</f>
        <v>0</v>
      </c>
      <c r="H442" s="5">
        <f>+$C442*BG442</f>
        <v>0</v>
      </c>
      <c r="I442" s="5">
        <f>+$C442*BH442</f>
        <v>0</v>
      </c>
      <c r="J442" s="5">
        <f>+$C442*BI442</f>
        <v>0</v>
      </c>
      <c r="K442" s="5">
        <f>+$C442*BJ442</f>
        <v>0</v>
      </c>
      <c r="L442" s="5">
        <f>+$C442*BK442</f>
        <v>0</v>
      </c>
      <c r="M442" s="5">
        <f>+$C442*BL442</f>
        <v>0</v>
      </c>
      <c r="N442" s="5">
        <f>+$C442*BM442</f>
        <v>0</v>
      </c>
      <c r="O442" s="5">
        <f>+$C442*BN442</f>
        <v>0</v>
      </c>
      <c r="P442" s="5">
        <v>0</v>
      </c>
      <c r="Q442" s="5">
        <f>+$P442*BC442</f>
        <v>0</v>
      </c>
      <c r="R442" s="5">
        <f>+$P442*BD442</f>
        <v>0</v>
      </c>
      <c r="S442" s="5">
        <f>+$P442*BE442</f>
        <v>0</v>
      </c>
      <c r="T442" s="5">
        <f>+$P442*BF442</f>
        <v>0</v>
      </c>
      <c r="U442" s="5">
        <f>+$P442*BG442</f>
        <v>0</v>
      </c>
      <c r="V442" s="5">
        <f>+$P442*BH442</f>
        <v>0</v>
      </c>
      <c r="W442" s="5">
        <f>+$P442*BI442</f>
        <v>0</v>
      </c>
      <c r="X442" s="5">
        <f>+$P442*BJ442</f>
        <v>0</v>
      </c>
      <c r="Y442" s="5">
        <f>+$P442*BK442</f>
        <v>0</v>
      </c>
      <c r="Z442" s="5">
        <f>+$P442*BL442</f>
        <v>0</v>
      </c>
      <c r="AA442" s="5">
        <f>+$P442*BM442</f>
        <v>0</v>
      </c>
      <c r="AB442" s="5">
        <f>+$P442*BN442</f>
        <v>0</v>
      </c>
      <c r="AC442" s="5">
        <v>0</v>
      </c>
      <c r="AD442" s="5">
        <f>+$AC442*BC442</f>
        <v>0</v>
      </c>
      <c r="AE442" s="5">
        <f>+$AC442*BD442</f>
        <v>0</v>
      </c>
      <c r="AF442" s="5">
        <f>+$AC442*BE442</f>
        <v>0</v>
      </c>
      <c r="AG442" s="5">
        <f>+$AC442*BF442</f>
        <v>0</v>
      </c>
      <c r="AH442" s="5">
        <f>+$AC442*BG442</f>
        <v>0</v>
      </c>
      <c r="AI442" s="5">
        <f>+$AC442*BH442</f>
        <v>0</v>
      </c>
      <c r="AJ442" s="5">
        <f>+$AC442*BI442</f>
        <v>0</v>
      </c>
      <c r="AK442" s="5">
        <f>+$AC442*BJ442</f>
        <v>0</v>
      </c>
      <c r="AL442" s="5">
        <f>+$AC442*BK442</f>
        <v>0</v>
      </c>
      <c r="AM442" s="5">
        <f>+$AC442*BL442</f>
        <v>0</v>
      </c>
      <c r="AN442" s="5">
        <f>+$AC442*BM442</f>
        <v>0</v>
      </c>
      <c r="AO442" s="5">
        <f>+$AC442*BN442</f>
        <v>0</v>
      </c>
      <c r="AP442" s="5">
        <f>+AC442+P442+C442</f>
        <v>0</v>
      </c>
      <c r="AQ442" s="1">
        <v>44.590782974371123</v>
      </c>
      <c r="AR442" s="1">
        <v>53.32638941722599</v>
      </c>
      <c r="AS442" s="1">
        <v>47.194245424273824</v>
      </c>
      <c r="AT442" s="1">
        <v>35.747824934275243</v>
      </c>
      <c r="AU442" s="1">
        <v>51.842859052683814</v>
      </c>
      <c r="AV442" s="1">
        <v>42.485165476272321</v>
      </c>
      <c r="AW442" s="1">
        <v>42.296939438631355</v>
      </c>
      <c r="AX442" s="1">
        <v>28.723552731389983</v>
      </c>
      <c r="AY442" s="1">
        <v>42.576926172778734</v>
      </c>
      <c r="AZ442" s="1">
        <v>37.079029456517588</v>
      </c>
      <c r="BA442" s="1">
        <v>37.859094596053588</v>
      </c>
      <c r="BB442" s="1">
        <v>36.977779682837813</v>
      </c>
      <c r="BC442" s="2">
        <v>8.9181565948742242E-2</v>
      </c>
      <c r="BD442" s="2">
        <v>0.10665277883445198</v>
      </c>
      <c r="BE442" s="2">
        <v>9.438849084854764E-2</v>
      </c>
      <c r="BF442" s="2">
        <v>7.149564986855049E-2</v>
      </c>
      <c r="BG442" s="2">
        <v>0.10368571810536763</v>
      </c>
      <c r="BH442" s="2">
        <v>8.4970330952544637E-2</v>
      </c>
      <c r="BI442" s="2">
        <v>8.4593878877262704E-2</v>
      </c>
      <c r="BJ442" s="2">
        <v>5.7447105462779965E-2</v>
      </c>
      <c r="BK442" s="2">
        <v>8.5153852345557474E-2</v>
      </c>
      <c r="BL442" s="2">
        <v>7.4158058913035174E-2</v>
      </c>
      <c r="BM442" s="2">
        <v>7.5718189192107169E-2</v>
      </c>
      <c r="BN442" s="2">
        <v>7.3955559365675619E-2</v>
      </c>
    </row>
    <row r="443" spans="1:66" x14ac:dyDescent="0.25">
      <c r="A443" s="8">
        <v>5276</v>
      </c>
      <c r="B443" s="8" t="s">
        <v>553</v>
      </c>
      <c r="C443" s="5">
        <v>498.30000000000007</v>
      </c>
      <c r="D443" s="5">
        <f>+$C443*BC443</f>
        <v>44.439174312258267</v>
      </c>
      <c r="E443" s="5">
        <f>+$C443*BD443</f>
        <v>53.145079693207428</v>
      </c>
      <c r="F443" s="5">
        <f>+$C443*BE443</f>
        <v>47.033784989831297</v>
      </c>
      <c r="G443" s="5">
        <f>+$C443*BF443</f>
        <v>35.626282329498714</v>
      </c>
      <c r="H443" s="5">
        <f>+$C443*BG443</f>
        <v>51.666593331904693</v>
      </c>
      <c r="I443" s="5">
        <f>+$C443*BH443</f>
        <v>42.340715913653</v>
      </c>
      <c r="J443" s="5">
        <f>+$C443*BI443</f>
        <v>42.153129844540011</v>
      </c>
      <c r="K443" s="5">
        <f>+$C443*BJ443</f>
        <v>28.625892652103261</v>
      </c>
      <c r="L443" s="5">
        <f>+$C443*BK443</f>
        <v>42.432164623791294</v>
      </c>
      <c r="M443" s="5">
        <f>+$C443*BL443</f>
        <v>36.952960756365435</v>
      </c>
      <c r="N443" s="5">
        <f>+$C443*BM443</f>
        <v>37.730373674427007</v>
      </c>
      <c r="O443" s="5">
        <f>+$C443*BN443</f>
        <v>36.852055231916168</v>
      </c>
      <c r="P443" s="5">
        <v>0</v>
      </c>
      <c r="Q443" s="5">
        <f>+$P443*BC443</f>
        <v>0</v>
      </c>
      <c r="R443" s="5">
        <f>+$P443*BD443</f>
        <v>0</v>
      </c>
      <c r="S443" s="5">
        <f>+$P443*BE443</f>
        <v>0</v>
      </c>
      <c r="T443" s="5">
        <f>+$P443*BF443</f>
        <v>0</v>
      </c>
      <c r="U443" s="5">
        <f>+$P443*BG443</f>
        <v>0</v>
      </c>
      <c r="V443" s="5">
        <f>+$P443*BH443</f>
        <v>0</v>
      </c>
      <c r="W443" s="5">
        <f>+$P443*BI443</f>
        <v>0</v>
      </c>
      <c r="X443" s="5">
        <f>+$P443*BJ443</f>
        <v>0</v>
      </c>
      <c r="Y443" s="5">
        <f>+$P443*BK443</f>
        <v>0</v>
      </c>
      <c r="Z443" s="5">
        <f>+$P443*BL443</f>
        <v>0</v>
      </c>
      <c r="AA443" s="5">
        <f>+$P443*BM443</f>
        <v>0</v>
      </c>
      <c r="AB443" s="5">
        <f>+$P443*BN443</f>
        <v>0</v>
      </c>
      <c r="AC443" s="5">
        <v>0</v>
      </c>
      <c r="AD443" s="5">
        <f>+$AC443*BC443</f>
        <v>0</v>
      </c>
      <c r="AE443" s="5">
        <f>+$AC443*BD443</f>
        <v>0</v>
      </c>
      <c r="AF443" s="5">
        <f>+$AC443*BE443</f>
        <v>0</v>
      </c>
      <c r="AG443" s="5">
        <f>+$AC443*BF443</f>
        <v>0</v>
      </c>
      <c r="AH443" s="5">
        <f>+$AC443*BG443</f>
        <v>0</v>
      </c>
      <c r="AI443" s="5">
        <f>+$AC443*BH443</f>
        <v>0</v>
      </c>
      <c r="AJ443" s="5">
        <f>+$AC443*BI443</f>
        <v>0</v>
      </c>
      <c r="AK443" s="5">
        <f>+$AC443*BJ443</f>
        <v>0</v>
      </c>
      <c r="AL443" s="5">
        <f>+$AC443*BK443</f>
        <v>0</v>
      </c>
      <c r="AM443" s="5">
        <f>+$AC443*BL443</f>
        <v>0</v>
      </c>
      <c r="AN443" s="5">
        <f>+$AC443*BM443</f>
        <v>0</v>
      </c>
      <c r="AO443" s="5">
        <f>+$AC443*BN443</f>
        <v>0</v>
      </c>
      <c r="AP443" s="5">
        <f>+AC443+P443+C443</f>
        <v>498.30000000000007</v>
      </c>
      <c r="AQ443" s="1">
        <v>44.590782974371123</v>
      </c>
      <c r="AR443" s="1">
        <v>53.32638941722599</v>
      </c>
      <c r="AS443" s="1">
        <v>47.194245424273824</v>
      </c>
      <c r="AT443" s="1">
        <v>35.747824934275243</v>
      </c>
      <c r="AU443" s="1">
        <v>51.842859052683814</v>
      </c>
      <c r="AV443" s="1">
        <v>42.485165476272321</v>
      </c>
      <c r="AW443" s="1">
        <v>42.296939438631355</v>
      </c>
      <c r="AX443" s="1">
        <v>28.723552731389983</v>
      </c>
      <c r="AY443" s="1">
        <v>42.576926172778734</v>
      </c>
      <c r="AZ443" s="1">
        <v>37.079029456517588</v>
      </c>
      <c r="BA443" s="1">
        <v>37.859094596053588</v>
      </c>
      <c r="BB443" s="1">
        <v>36.977779682837813</v>
      </c>
      <c r="BC443" s="2">
        <v>8.9181565948742242E-2</v>
      </c>
      <c r="BD443" s="2">
        <v>0.10665277883445198</v>
      </c>
      <c r="BE443" s="2">
        <v>9.438849084854764E-2</v>
      </c>
      <c r="BF443" s="2">
        <v>7.149564986855049E-2</v>
      </c>
      <c r="BG443" s="2">
        <v>0.10368571810536763</v>
      </c>
      <c r="BH443" s="2">
        <v>8.4970330952544637E-2</v>
      </c>
      <c r="BI443" s="2">
        <v>8.4593878877262704E-2</v>
      </c>
      <c r="BJ443" s="2">
        <v>5.7447105462779965E-2</v>
      </c>
      <c r="BK443" s="2">
        <v>8.5153852345557474E-2</v>
      </c>
      <c r="BL443" s="2">
        <v>7.4158058913035174E-2</v>
      </c>
      <c r="BM443" s="2">
        <v>7.5718189192107169E-2</v>
      </c>
      <c r="BN443" s="2">
        <v>7.3955559365675619E-2</v>
      </c>
    </row>
    <row r="444" spans="1:66" x14ac:dyDescent="0.25">
      <c r="A444" s="8">
        <v>6527</v>
      </c>
      <c r="B444" s="8" t="s">
        <v>552</v>
      </c>
      <c r="C444" s="5">
        <v>0</v>
      </c>
      <c r="D444" s="5">
        <f>+$C444*BC444</f>
        <v>0</v>
      </c>
      <c r="E444" s="5">
        <f>+$C444*BD444</f>
        <v>0</v>
      </c>
      <c r="F444" s="5">
        <f>+$C444*BE444</f>
        <v>0</v>
      </c>
      <c r="G444" s="5">
        <f>+$C444*BF444</f>
        <v>0</v>
      </c>
      <c r="H444" s="5">
        <f>+$C444*BG444</f>
        <v>0</v>
      </c>
      <c r="I444" s="5">
        <f>+$C444*BH444</f>
        <v>0</v>
      </c>
      <c r="J444" s="5">
        <f>+$C444*BI444</f>
        <v>0</v>
      </c>
      <c r="K444" s="5">
        <f>+$C444*BJ444</f>
        <v>0</v>
      </c>
      <c r="L444" s="5">
        <f>+$C444*BK444</f>
        <v>0</v>
      </c>
      <c r="M444" s="5">
        <f>+$C444*BL444</f>
        <v>0</v>
      </c>
      <c r="N444" s="5">
        <f>+$C444*BM444</f>
        <v>0</v>
      </c>
      <c r="O444" s="5">
        <f>+$C444*BN444</f>
        <v>0</v>
      </c>
      <c r="P444" s="5">
        <v>0</v>
      </c>
      <c r="Q444" s="5">
        <f>+$P444*BC444</f>
        <v>0</v>
      </c>
      <c r="R444" s="5">
        <f>+$P444*BD444</f>
        <v>0</v>
      </c>
      <c r="S444" s="5">
        <f>+$P444*BE444</f>
        <v>0</v>
      </c>
      <c r="T444" s="5">
        <f>+$P444*BF444</f>
        <v>0</v>
      </c>
      <c r="U444" s="5">
        <f>+$P444*BG444</f>
        <v>0</v>
      </c>
      <c r="V444" s="5">
        <f>+$P444*BH444</f>
        <v>0</v>
      </c>
      <c r="W444" s="5">
        <f>+$P444*BI444</f>
        <v>0</v>
      </c>
      <c r="X444" s="5">
        <f>+$P444*BJ444</f>
        <v>0</v>
      </c>
      <c r="Y444" s="5">
        <f>+$P444*BK444</f>
        <v>0</v>
      </c>
      <c r="Z444" s="5">
        <f>+$P444*BL444</f>
        <v>0</v>
      </c>
      <c r="AA444" s="5">
        <f>+$P444*BM444</f>
        <v>0</v>
      </c>
      <c r="AB444" s="5">
        <f>+$P444*BN444</f>
        <v>0</v>
      </c>
      <c r="AC444" s="5">
        <v>0</v>
      </c>
      <c r="AD444" s="5">
        <f>+$AC444*BC444</f>
        <v>0</v>
      </c>
      <c r="AE444" s="5">
        <f>+$AC444*BD444</f>
        <v>0</v>
      </c>
      <c r="AF444" s="5">
        <f>+$AC444*BE444</f>
        <v>0</v>
      </c>
      <c r="AG444" s="5">
        <f>+$AC444*BF444</f>
        <v>0</v>
      </c>
      <c r="AH444" s="5">
        <f>+$AC444*BG444</f>
        <v>0</v>
      </c>
      <c r="AI444" s="5">
        <f>+$AC444*BH444</f>
        <v>0</v>
      </c>
      <c r="AJ444" s="5">
        <f>+$AC444*BI444</f>
        <v>0</v>
      </c>
      <c r="AK444" s="5">
        <f>+$AC444*BJ444</f>
        <v>0</v>
      </c>
      <c r="AL444" s="5">
        <f>+$AC444*BK444</f>
        <v>0</v>
      </c>
      <c r="AM444" s="5">
        <f>+$AC444*BL444</f>
        <v>0</v>
      </c>
      <c r="AN444" s="5">
        <f>+$AC444*BM444</f>
        <v>0</v>
      </c>
      <c r="AO444" s="5">
        <f>+$AC444*BN444</f>
        <v>0</v>
      </c>
      <c r="AP444" s="5">
        <f>+AC444+P444+C444</f>
        <v>0</v>
      </c>
      <c r="AQ444" s="1">
        <v>44.439174312258267</v>
      </c>
      <c r="AR444" s="1">
        <v>53.145079693207428</v>
      </c>
      <c r="AS444" s="1">
        <v>47.033784989831297</v>
      </c>
      <c r="AT444" s="1">
        <v>35.626282329498714</v>
      </c>
      <c r="AU444" s="1">
        <v>51.666593331904693</v>
      </c>
      <c r="AV444" s="1">
        <v>42.340715913653</v>
      </c>
      <c r="AW444" s="1">
        <v>42.153129844540011</v>
      </c>
      <c r="AX444" s="1">
        <v>28.625892652103261</v>
      </c>
      <c r="AY444" s="1">
        <v>42.432164623791294</v>
      </c>
      <c r="AZ444" s="1">
        <v>36.952960756365435</v>
      </c>
      <c r="BA444" s="1">
        <v>37.730373674427007</v>
      </c>
      <c r="BB444" s="1">
        <v>36.852055231916168</v>
      </c>
      <c r="BC444" s="2">
        <v>8.9181565948742242E-2</v>
      </c>
      <c r="BD444" s="2">
        <v>0.10665277883445198</v>
      </c>
      <c r="BE444" s="2">
        <v>9.438849084854764E-2</v>
      </c>
      <c r="BF444" s="2">
        <v>7.149564986855049E-2</v>
      </c>
      <c r="BG444" s="2">
        <v>0.10368571810536763</v>
      </c>
      <c r="BH444" s="2">
        <v>8.4970330952544637E-2</v>
      </c>
      <c r="BI444" s="2">
        <v>8.4593878877262704E-2</v>
      </c>
      <c r="BJ444" s="2">
        <v>5.7447105462779965E-2</v>
      </c>
      <c r="BK444" s="2">
        <v>8.5153852345557474E-2</v>
      </c>
      <c r="BL444" s="2">
        <v>7.4158058913035174E-2</v>
      </c>
      <c r="BM444" s="2">
        <v>7.5718189192107169E-2</v>
      </c>
      <c r="BN444" s="2">
        <v>7.3955559365675619E-2</v>
      </c>
    </row>
    <row r="445" spans="1:66" x14ac:dyDescent="0.25">
      <c r="A445" s="8">
        <v>2019</v>
      </c>
      <c r="B445" s="8" t="s">
        <v>551</v>
      </c>
      <c r="C445" s="5">
        <v>15000</v>
      </c>
      <c r="D445" s="5">
        <f>+$C445*BC445</f>
        <v>1337.7234892311337</v>
      </c>
      <c r="E445" s="5">
        <f>+$C445*BD445</f>
        <v>1599.7916825167797</v>
      </c>
      <c r="F445" s="5">
        <f>+$C445*BE445</f>
        <v>1415.8273627282147</v>
      </c>
      <c r="G445" s="5">
        <f>+$C445*BF445</f>
        <v>1072.4347480282574</v>
      </c>
      <c r="H445" s="5">
        <f>+$C445*BG445</f>
        <v>1555.2857715805144</v>
      </c>
      <c r="I445" s="5">
        <f>+$C445*BH445</f>
        <v>1274.5549642881695</v>
      </c>
      <c r="J445" s="5">
        <f>+$C445*BI445</f>
        <v>1268.9081831589406</v>
      </c>
      <c r="K445" s="5">
        <f>+$C445*BJ445</f>
        <v>861.70658194169948</v>
      </c>
      <c r="L445" s="5">
        <f>+$C445*BK445</f>
        <v>1277.3077851833621</v>
      </c>
      <c r="M445" s="5">
        <f>+$C445*BL445</f>
        <v>1112.3708836955277</v>
      </c>
      <c r="N445" s="5">
        <f>+$C445*BM445</f>
        <v>1135.7728378816075</v>
      </c>
      <c r="O445" s="5">
        <f>+$C445*BN445</f>
        <v>1109.3333904851343</v>
      </c>
      <c r="P445" s="5">
        <v>0</v>
      </c>
      <c r="Q445" s="5">
        <f>+$P445*BC445</f>
        <v>0</v>
      </c>
      <c r="R445" s="5">
        <f>+$P445*BD445</f>
        <v>0</v>
      </c>
      <c r="S445" s="5">
        <f>+$P445*BE445</f>
        <v>0</v>
      </c>
      <c r="T445" s="5">
        <f>+$P445*BF445</f>
        <v>0</v>
      </c>
      <c r="U445" s="5">
        <f>+$P445*BG445</f>
        <v>0</v>
      </c>
      <c r="V445" s="5">
        <f>+$P445*BH445</f>
        <v>0</v>
      </c>
      <c r="W445" s="5">
        <f>+$P445*BI445</f>
        <v>0</v>
      </c>
      <c r="X445" s="5">
        <f>+$P445*BJ445</f>
        <v>0</v>
      </c>
      <c r="Y445" s="5">
        <f>+$P445*BK445</f>
        <v>0</v>
      </c>
      <c r="Z445" s="5">
        <f>+$P445*BL445</f>
        <v>0</v>
      </c>
      <c r="AA445" s="5">
        <f>+$P445*BM445</f>
        <v>0</v>
      </c>
      <c r="AB445" s="5">
        <f>+$P445*BN445</f>
        <v>0</v>
      </c>
      <c r="AC445" s="5">
        <v>0</v>
      </c>
      <c r="AD445" s="5">
        <f>+$AC445*BC445</f>
        <v>0</v>
      </c>
      <c r="AE445" s="5">
        <f>+$AC445*BD445</f>
        <v>0</v>
      </c>
      <c r="AF445" s="5">
        <f>+$AC445*BE445</f>
        <v>0</v>
      </c>
      <c r="AG445" s="5">
        <f>+$AC445*BF445</f>
        <v>0</v>
      </c>
      <c r="AH445" s="5">
        <f>+$AC445*BG445</f>
        <v>0</v>
      </c>
      <c r="AI445" s="5">
        <f>+$AC445*BH445</f>
        <v>0</v>
      </c>
      <c r="AJ445" s="5">
        <f>+$AC445*BI445</f>
        <v>0</v>
      </c>
      <c r="AK445" s="5">
        <f>+$AC445*BJ445</f>
        <v>0</v>
      </c>
      <c r="AL445" s="5">
        <f>+$AC445*BK445</f>
        <v>0</v>
      </c>
      <c r="AM445" s="5">
        <f>+$AC445*BL445</f>
        <v>0</v>
      </c>
      <c r="AN445" s="5">
        <f>+$AC445*BM445</f>
        <v>0</v>
      </c>
      <c r="AO445" s="5">
        <f>+$AC445*BN445</f>
        <v>0</v>
      </c>
      <c r="AP445" s="5">
        <f>+AC445+P445+C445</f>
        <v>15000</v>
      </c>
      <c r="AQ445" s="1">
        <v>43.156029941387757</v>
      </c>
      <c r="AR445" s="1">
        <v>51.610559511337328</v>
      </c>
      <c r="AS445" s="1">
        <v>45.675723383502387</v>
      </c>
      <c r="AT445" s="1">
        <v>34.59760291919001</v>
      </c>
      <c r="AU445" s="1">
        <v>50.17476321980466</v>
      </c>
      <c r="AV445" s="1">
        <v>41.118162791907785</v>
      </c>
      <c r="AW445" s="1">
        <v>40.93599311525395</v>
      </c>
      <c r="AX445" s="1">
        <v>27.799343698704782</v>
      </c>
      <c r="AY445" s="1">
        <v>41.206970996243413</v>
      </c>
      <c r="AZ445" s="1">
        <v>35.88597460472468</v>
      </c>
      <c r="BA445" s="1">
        <v>36.640940368330966</v>
      </c>
      <c r="BB445" s="1">
        <v>35.787982643762824</v>
      </c>
      <c r="BC445" s="2">
        <v>8.9181565948742242E-2</v>
      </c>
      <c r="BD445" s="2">
        <v>0.10665277883445198</v>
      </c>
      <c r="BE445" s="2">
        <v>9.438849084854764E-2</v>
      </c>
      <c r="BF445" s="2">
        <v>7.149564986855049E-2</v>
      </c>
      <c r="BG445" s="2">
        <v>0.10368571810536763</v>
      </c>
      <c r="BH445" s="2">
        <v>8.4970330952544637E-2</v>
      </c>
      <c r="BI445" s="2">
        <v>8.4593878877262704E-2</v>
      </c>
      <c r="BJ445" s="2">
        <v>5.7447105462779965E-2</v>
      </c>
      <c r="BK445" s="2">
        <v>8.5153852345557474E-2</v>
      </c>
      <c r="BL445" s="2">
        <v>7.4158058913035174E-2</v>
      </c>
      <c r="BM445" s="2">
        <v>7.5718189192107169E-2</v>
      </c>
      <c r="BN445" s="2">
        <v>7.3955559365675619E-2</v>
      </c>
    </row>
    <row r="446" spans="1:66" x14ac:dyDescent="0.25">
      <c r="A446" s="8">
        <v>3221</v>
      </c>
      <c r="B446" s="8" t="s">
        <v>550</v>
      </c>
      <c r="C446" s="5">
        <v>0</v>
      </c>
      <c r="D446" s="5">
        <f>+$C446*BC446</f>
        <v>0</v>
      </c>
      <c r="E446" s="5">
        <f>+$C446*BD446</f>
        <v>0</v>
      </c>
      <c r="F446" s="5">
        <f>+$C446*BE446</f>
        <v>0</v>
      </c>
      <c r="G446" s="5">
        <f>+$C446*BF446</f>
        <v>0</v>
      </c>
      <c r="H446" s="5">
        <f>+$C446*BG446</f>
        <v>0</v>
      </c>
      <c r="I446" s="5">
        <f>+$C446*BH446</f>
        <v>0</v>
      </c>
      <c r="J446" s="5">
        <f>+$C446*BI446</f>
        <v>0</v>
      </c>
      <c r="K446" s="5">
        <f>+$C446*BJ446</f>
        <v>0</v>
      </c>
      <c r="L446" s="5">
        <f>+$C446*BK446</f>
        <v>0</v>
      </c>
      <c r="M446" s="5">
        <f>+$C446*BL446</f>
        <v>0</v>
      </c>
      <c r="N446" s="5">
        <f>+$C446*BM446</f>
        <v>0</v>
      </c>
      <c r="O446" s="5">
        <f>+$C446*BN446</f>
        <v>0</v>
      </c>
      <c r="P446" s="5">
        <v>0</v>
      </c>
      <c r="Q446" s="5">
        <f>+$P446*BC446</f>
        <v>0</v>
      </c>
      <c r="R446" s="5">
        <f>+$P446*BD446</f>
        <v>0</v>
      </c>
      <c r="S446" s="5">
        <f>+$P446*BE446</f>
        <v>0</v>
      </c>
      <c r="T446" s="5">
        <f>+$P446*BF446</f>
        <v>0</v>
      </c>
      <c r="U446" s="5">
        <f>+$P446*BG446</f>
        <v>0</v>
      </c>
      <c r="V446" s="5">
        <f>+$P446*BH446</f>
        <v>0</v>
      </c>
      <c r="W446" s="5">
        <f>+$P446*BI446</f>
        <v>0</v>
      </c>
      <c r="X446" s="5">
        <f>+$P446*BJ446</f>
        <v>0</v>
      </c>
      <c r="Y446" s="5">
        <f>+$P446*BK446</f>
        <v>0</v>
      </c>
      <c r="Z446" s="5">
        <f>+$P446*BL446</f>
        <v>0</v>
      </c>
      <c r="AA446" s="5">
        <f>+$P446*BM446</f>
        <v>0</v>
      </c>
      <c r="AB446" s="5">
        <f>+$P446*BN446</f>
        <v>0</v>
      </c>
      <c r="AC446" s="5">
        <v>0</v>
      </c>
      <c r="AD446" s="5">
        <f>+$AC446*BC446</f>
        <v>0</v>
      </c>
      <c r="AE446" s="5">
        <f>+$AC446*BD446</f>
        <v>0</v>
      </c>
      <c r="AF446" s="5">
        <f>+$AC446*BE446</f>
        <v>0</v>
      </c>
      <c r="AG446" s="5">
        <f>+$AC446*BF446</f>
        <v>0</v>
      </c>
      <c r="AH446" s="5">
        <f>+$AC446*BG446</f>
        <v>0</v>
      </c>
      <c r="AI446" s="5">
        <f>+$AC446*BH446</f>
        <v>0</v>
      </c>
      <c r="AJ446" s="5">
        <f>+$AC446*BI446</f>
        <v>0</v>
      </c>
      <c r="AK446" s="5">
        <f>+$AC446*BJ446</f>
        <v>0</v>
      </c>
      <c r="AL446" s="5">
        <f>+$AC446*BK446</f>
        <v>0</v>
      </c>
      <c r="AM446" s="5">
        <f>+$AC446*BL446</f>
        <v>0</v>
      </c>
      <c r="AN446" s="5">
        <f>+$AC446*BM446</f>
        <v>0</v>
      </c>
      <c r="AO446" s="5">
        <f>+$AC446*BN446</f>
        <v>0</v>
      </c>
      <c r="AP446" s="5">
        <f>+AC446+P446+C446</f>
        <v>0</v>
      </c>
      <c r="AQ446" s="1">
        <v>42.65375936196444</v>
      </c>
      <c r="AR446" s="1">
        <v>51.009891060941698</v>
      </c>
      <c r="AS446" s="1">
        <v>45.14412740304337</v>
      </c>
      <c r="AT446" s="1">
        <v>34.194939419130328</v>
      </c>
      <c r="AU446" s="1">
        <v>49.590805255435235</v>
      </c>
      <c r="AV446" s="1">
        <v>40.639609887983049</v>
      </c>
      <c r="AW446" s="1">
        <v>40.459560389417206</v>
      </c>
      <c r="AX446" s="1">
        <v>27.475801600738404</v>
      </c>
      <c r="AY446" s="1">
        <v>40.727384499833228</v>
      </c>
      <c r="AZ446" s="1">
        <v>35.468316416926463</v>
      </c>
      <c r="BA446" s="1">
        <v>36.214495526801016</v>
      </c>
      <c r="BB446" s="1">
        <v>35.371464933415339</v>
      </c>
      <c r="BC446" s="2">
        <v>8.9181565948742242E-2</v>
      </c>
      <c r="BD446" s="2">
        <v>0.10665277883445198</v>
      </c>
      <c r="BE446" s="2">
        <v>9.438849084854764E-2</v>
      </c>
      <c r="BF446" s="2">
        <v>7.149564986855049E-2</v>
      </c>
      <c r="BG446" s="2">
        <v>0.10368571810536763</v>
      </c>
      <c r="BH446" s="2">
        <v>8.4970330952544637E-2</v>
      </c>
      <c r="BI446" s="2">
        <v>8.4593878877262704E-2</v>
      </c>
      <c r="BJ446" s="2">
        <v>5.7447105462779965E-2</v>
      </c>
      <c r="BK446" s="2">
        <v>8.5153852345557474E-2</v>
      </c>
      <c r="BL446" s="2">
        <v>7.4158058913035174E-2</v>
      </c>
      <c r="BM446" s="2">
        <v>7.5718189192107169E-2</v>
      </c>
      <c r="BN446" s="2">
        <v>7.3955559365675619E-2</v>
      </c>
    </row>
    <row r="447" spans="1:66" x14ac:dyDescent="0.25">
      <c r="A447" s="8">
        <v>2021</v>
      </c>
      <c r="B447" s="8" t="s">
        <v>549</v>
      </c>
      <c r="C447" s="5">
        <v>447.15000000000003</v>
      </c>
      <c r="D447" s="5">
        <f>+$C447*BC447</f>
        <v>39.877537213980098</v>
      </c>
      <c r="E447" s="5">
        <f>+$C447*BD447</f>
        <v>47.689790055825206</v>
      </c>
      <c r="F447" s="5">
        <f>+$C447*BE447</f>
        <v>42.205813682928081</v>
      </c>
      <c r="G447" s="5">
        <f>+$C447*BF447</f>
        <v>31.969279838722354</v>
      </c>
      <c r="H447" s="5">
        <f>+$C447*BG447</f>
        <v>46.363068850815139</v>
      </c>
      <c r="I447" s="5">
        <f>+$C447*BH447</f>
        <v>37.994483485430337</v>
      </c>
      <c r="J447" s="5">
        <f>+$C447*BI447</f>
        <v>37.826152939968019</v>
      </c>
      <c r="K447" s="5">
        <f>+$C447*BJ447</f>
        <v>25.687473207682064</v>
      </c>
      <c r="L447" s="5">
        <f>+$C447*BK447</f>
        <v>38.07654507631603</v>
      </c>
      <c r="M447" s="5">
        <f>+$C447*BL447</f>
        <v>33.159776042963678</v>
      </c>
      <c r="N447" s="5">
        <f>+$C447*BM447</f>
        <v>33.857388297250722</v>
      </c>
      <c r="O447" s="5">
        <f>+$C447*BN447</f>
        <v>33.069228370361856</v>
      </c>
      <c r="P447" s="5">
        <v>0</v>
      </c>
      <c r="Q447" s="5">
        <f>+$P447*BC447</f>
        <v>0</v>
      </c>
      <c r="R447" s="5">
        <f>+$P447*BD447</f>
        <v>0</v>
      </c>
      <c r="S447" s="5">
        <f>+$P447*BE447</f>
        <v>0</v>
      </c>
      <c r="T447" s="5">
        <f>+$P447*BF447</f>
        <v>0</v>
      </c>
      <c r="U447" s="5">
        <f>+$P447*BG447</f>
        <v>0</v>
      </c>
      <c r="V447" s="5">
        <f>+$P447*BH447</f>
        <v>0</v>
      </c>
      <c r="W447" s="5">
        <f>+$P447*BI447</f>
        <v>0</v>
      </c>
      <c r="X447" s="5">
        <f>+$P447*BJ447</f>
        <v>0</v>
      </c>
      <c r="Y447" s="5">
        <f>+$P447*BK447</f>
        <v>0</v>
      </c>
      <c r="Z447" s="5">
        <f>+$P447*BL447</f>
        <v>0</v>
      </c>
      <c r="AA447" s="5">
        <f>+$P447*BM447</f>
        <v>0</v>
      </c>
      <c r="AB447" s="5">
        <f>+$P447*BN447</f>
        <v>0</v>
      </c>
      <c r="AC447" s="5">
        <v>0</v>
      </c>
      <c r="AD447" s="5">
        <f>+$AC447*BC447</f>
        <v>0</v>
      </c>
      <c r="AE447" s="5">
        <f>+$AC447*BD447</f>
        <v>0</v>
      </c>
      <c r="AF447" s="5">
        <f>+$AC447*BE447</f>
        <v>0</v>
      </c>
      <c r="AG447" s="5">
        <f>+$AC447*BF447</f>
        <v>0</v>
      </c>
      <c r="AH447" s="5">
        <f>+$AC447*BG447</f>
        <v>0</v>
      </c>
      <c r="AI447" s="5">
        <f>+$AC447*BH447</f>
        <v>0</v>
      </c>
      <c r="AJ447" s="5">
        <f>+$AC447*BI447</f>
        <v>0</v>
      </c>
      <c r="AK447" s="5">
        <f>+$AC447*BJ447</f>
        <v>0</v>
      </c>
      <c r="AL447" s="5">
        <f>+$AC447*BK447</f>
        <v>0</v>
      </c>
      <c r="AM447" s="5">
        <f>+$AC447*BL447</f>
        <v>0</v>
      </c>
      <c r="AN447" s="5">
        <f>+$AC447*BM447</f>
        <v>0</v>
      </c>
      <c r="AO447" s="5">
        <f>+$AC447*BN447</f>
        <v>0</v>
      </c>
      <c r="AP447" s="5">
        <f>+AC447+P447+C447</f>
        <v>447.15000000000003</v>
      </c>
      <c r="AQ447" s="1">
        <v>42.599804514565449</v>
      </c>
      <c r="AR447" s="1">
        <v>50.945366129746851</v>
      </c>
      <c r="AS447" s="1">
        <v>45.087022366079992</v>
      </c>
      <c r="AT447" s="1">
        <v>34.151684550959857</v>
      </c>
      <c r="AU447" s="1">
        <v>49.528075395981482</v>
      </c>
      <c r="AV447" s="1">
        <v>40.588202837756761</v>
      </c>
      <c r="AW447" s="1">
        <v>40.408381092696466</v>
      </c>
      <c r="AX447" s="1">
        <v>27.44104610193342</v>
      </c>
      <c r="AY447" s="1">
        <v>40.675866419164166</v>
      </c>
      <c r="AZ447" s="1">
        <v>35.423450791284075</v>
      </c>
      <c r="BA447" s="1">
        <v>36.168686022339791</v>
      </c>
      <c r="BB447" s="1">
        <v>35.326721819999101</v>
      </c>
      <c r="BC447" s="2">
        <v>8.9181565948742242E-2</v>
      </c>
      <c r="BD447" s="2">
        <v>0.10665277883445198</v>
      </c>
      <c r="BE447" s="2">
        <v>9.438849084854764E-2</v>
      </c>
      <c r="BF447" s="2">
        <v>7.149564986855049E-2</v>
      </c>
      <c r="BG447" s="2">
        <v>0.10368571810536763</v>
      </c>
      <c r="BH447" s="2">
        <v>8.4970330952544637E-2</v>
      </c>
      <c r="BI447" s="2">
        <v>8.4593878877262704E-2</v>
      </c>
      <c r="BJ447" s="2">
        <v>5.7447105462779965E-2</v>
      </c>
      <c r="BK447" s="2">
        <v>8.5153852345557474E-2</v>
      </c>
      <c r="BL447" s="2">
        <v>7.4158058913035174E-2</v>
      </c>
      <c r="BM447" s="2">
        <v>7.5718189192107169E-2</v>
      </c>
      <c r="BN447" s="2">
        <v>7.3955559365675619E-2</v>
      </c>
    </row>
    <row r="448" spans="1:66" x14ac:dyDescent="0.25">
      <c r="A448" s="8">
        <v>27057</v>
      </c>
      <c r="B448" s="8" t="s">
        <v>548</v>
      </c>
      <c r="C448" s="5">
        <v>443.5200000000001</v>
      </c>
      <c r="D448" s="5">
        <f>+$C448*BC448</f>
        <v>39.553808129586166</v>
      </c>
      <c r="E448" s="5">
        <f>+$C448*BD448</f>
        <v>47.302640468656151</v>
      </c>
      <c r="F448" s="5">
        <f>+$C448*BE448</f>
        <v>41.863183461147855</v>
      </c>
      <c r="G448" s="5">
        <f>+$C448*BF448</f>
        <v>31.709750629699521</v>
      </c>
      <c r="H448" s="5">
        <f>+$C448*BG448</f>
        <v>45.986689694092661</v>
      </c>
      <c r="I448" s="5">
        <f>+$C448*BH448</f>
        <v>37.686041184072607</v>
      </c>
      <c r="J448" s="5">
        <f>+$C448*BI448</f>
        <v>37.519077159643565</v>
      </c>
      <c r="K448" s="5">
        <f>+$C448*BJ448</f>
        <v>25.478940214852177</v>
      </c>
      <c r="L448" s="5">
        <f>+$C448*BK448</f>
        <v>37.767436592301657</v>
      </c>
      <c r="M448" s="5">
        <f>+$C448*BL448</f>
        <v>32.890582289109368</v>
      </c>
      <c r="N448" s="5">
        <f>+$C448*BM448</f>
        <v>33.582531270483379</v>
      </c>
      <c r="O448" s="5">
        <f>+$C448*BN448</f>
        <v>32.80076968986446</v>
      </c>
      <c r="P448" s="5">
        <v>0</v>
      </c>
      <c r="Q448" s="5">
        <f>+$P448*BC448</f>
        <v>0</v>
      </c>
      <c r="R448" s="5">
        <f>+$P448*BD448</f>
        <v>0</v>
      </c>
      <c r="S448" s="5">
        <f>+$P448*BE448</f>
        <v>0</v>
      </c>
      <c r="T448" s="5">
        <f>+$P448*BF448</f>
        <v>0</v>
      </c>
      <c r="U448" s="5">
        <f>+$P448*BG448</f>
        <v>0</v>
      </c>
      <c r="V448" s="5">
        <f>+$P448*BH448</f>
        <v>0</v>
      </c>
      <c r="W448" s="5">
        <f>+$P448*BI448</f>
        <v>0</v>
      </c>
      <c r="X448" s="5">
        <f>+$P448*BJ448</f>
        <v>0</v>
      </c>
      <c r="Y448" s="5">
        <f>+$P448*BK448</f>
        <v>0</v>
      </c>
      <c r="Z448" s="5">
        <f>+$P448*BL448</f>
        <v>0</v>
      </c>
      <c r="AA448" s="5">
        <f>+$P448*BM448</f>
        <v>0</v>
      </c>
      <c r="AB448" s="5">
        <f>+$P448*BN448</f>
        <v>0</v>
      </c>
      <c r="AC448" s="5">
        <v>0</v>
      </c>
      <c r="AD448" s="5">
        <f>+$AC448*BC448</f>
        <v>0</v>
      </c>
      <c r="AE448" s="5">
        <f>+$AC448*BD448</f>
        <v>0</v>
      </c>
      <c r="AF448" s="5">
        <f>+$AC448*BE448</f>
        <v>0</v>
      </c>
      <c r="AG448" s="5">
        <f>+$AC448*BF448</f>
        <v>0</v>
      </c>
      <c r="AH448" s="5">
        <f>+$AC448*BG448</f>
        <v>0</v>
      </c>
      <c r="AI448" s="5">
        <f>+$AC448*BH448</f>
        <v>0</v>
      </c>
      <c r="AJ448" s="5">
        <f>+$AC448*BI448</f>
        <v>0</v>
      </c>
      <c r="AK448" s="5">
        <f>+$AC448*BJ448</f>
        <v>0</v>
      </c>
      <c r="AL448" s="5">
        <f>+$AC448*BK448</f>
        <v>0</v>
      </c>
      <c r="AM448" s="5">
        <f>+$AC448*BL448</f>
        <v>0</v>
      </c>
      <c r="AN448" s="5">
        <f>+$AC448*BM448</f>
        <v>0</v>
      </c>
      <c r="AO448" s="5">
        <f>+$AC448*BN448</f>
        <v>0</v>
      </c>
      <c r="AP448" s="5">
        <f>+AC448+P448+C448</f>
        <v>443.5200000000001</v>
      </c>
      <c r="AQ448" s="1">
        <v>39.877537213980098</v>
      </c>
      <c r="AR448" s="1">
        <v>47.689790055825206</v>
      </c>
      <c r="AS448" s="1">
        <v>42.205813682928081</v>
      </c>
      <c r="AT448" s="1">
        <v>31.969279838722354</v>
      </c>
      <c r="AU448" s="1">
        <v>46.363068850815139</v>
      </c>
      <c r="AV448" s="1">
        <v>37.994483485430337</v>
      </c>
      <c r="AW448" s="1">
        <v>37.826152939968019</v>
      </c>
      <c r="AX448" s="1">
        <v>25.687473207682064</v>
      </c>
      <c r="AY448" s="1">
        <v>38.07654507631603</v>
      </c>
      <c r="AZ448" s="1">
        <v>33.159776042963678</v>
      </c>
      <c r="BA448" s="1">
        <v>33.857388297250722</v>
      </c>
      <c r="BB448" s="1">
        <v>33.069228370361856</v>
      </c>
      <c r="BC448" s="2">
        <v>8.9181565948742242E-2</v>
      </c>
      <c r="BD448" s="2">
        <v>0.10665277883445198</v>
      </c>
      <c r="BE448" s="2">
        <v>9.438849084854764E-2</v>
      </c>
      <c r="BF448" s="2">
        <v>7.149564986855049E-2</v>
      </c>
      <c r="BG448" s="2">
        <v>0.10368571810536763</v>
      </c>
      <c r="BH448" s="2">
        <v>8.4970330952544637E-2</v>
      </c>
      <c r="BI448" s="2">
        <v>8.4593878877262704E-2</v>
      </c>
      <c r="BJ448" s="2">
        <v>5.7447105462779965E-2</v>
      </c>
      <c r="BK448" s="2">
        <v>8.5153852345557474E-2</v>
      </c>
      <c r="BL448" s="2">
        <v>7.4158058913035174E-2</v>
      </c>
      <c r="BM448" s="2">
        <v>7.5718189192107169E-2</v>
      </c>
      <c r="BN448" s="2">
        <v>7.3955559365675619E-2</v>
      </c>
    </row>
    <row r="449" spans="1:66" x14ac:dyDescent="0.25">
      <c r="A449" s="8">
        <v>6565</v>
      </c>
      <c r="B449" s="8" t="s">
        <v>547</v>
      </c>
      <c r="C449" s="5">
        <v>0</v>
      </c>
      <c r="D449" s="5">
        <f>+$C449*BC449</f>
        <v>0</v>
      </c>
      <c r="E449" s="5">
        <f>+$C449*BD449</f>
        <v>0</v>
      </c>
      <c r="F449" s="5">
        <f>+$C449*BE449</f>
        <v>0</v>
      </c>
      <c r="G449" s="5">
        <f>+$C449*BF449</f>
        <v>0</v>
      </c>
      <c r="H449" s="5">
        <f>+$C449*BG449</f>
        <v>0</v>
      </c>
      <c r="I449" s="5">
        <f>+$C449*BH449</f>
        <v>0</v>
      </c>
      <c r="J449" s="5">
        <f>+$C449*BI449</f>
        <v>0</v>
      </c>
      <c r="K449" s="5">
        <f>+$C449*BJ449</f>
        <v>0</v>
      </c>
      <c r="L449" s="5">
        <f>+$C449*BK449</f>
        <v>0</v>
      </c>
      <c r="M449" s="5">
        <f>+$C449*BL449</f>
        <v>0</v>
      </c>
      <c r="N449" s="5">
        <f>+$C449*BM449</f>
        <v>0</v>
      </c>
      <c r="O449" s="5">
        <f>+$C449*BN449</f>
        <v>0</v>
      </c>
      <c r="P449" s="5">
        <v>0</v>
      </c>
      <c r="Q449" s="5">
        <f>+$P449*BC449</f>
        <v>0</v>
      </c>
      <c r="R449" s="5">
        <f>+$P449*BD449</f>
        <v>0</v>
      </c>
      <c r="S449" s="5">
        <f>+$P449*BE449</f>
        <v>0</v>
      </c>
      <c r="T449" s="5">
        <f>+$P449*BF449</f>
        <v>0</v>
      </c>
      <c r="U449" s="5">
        <f>+$P449*BG449</f>
        <v>0</v>
      </c>
      <c r="V449" s="5">
        <f>+$P449*BH449</f>
        <v>0</v>
      </c>
      <c r="W449" s="5">
        <f>+$P449*BI449</f>
        <v>0</v>
      </c>
      <c r="X449" s="5">
        <f>+$P449*BJ449</f>
        <v>0</v>
      </c>
      <c r="Y449" s="5">
        <f>+$P449*BK449</f>
        <v>0</v>
      </c>
      <c r="Z449" s="5">
        <f>+$P449*BL449</f>
        <v>0</v>
      </c>
      <c r="AA449" s="5">
        <f>+$P449*BM449</f>
        <v>0</v>
      </c>
      <c r="AB449" s="5">
        <f>+$P449*BN449</f>
        <v>0</v>
      </c>
      <c r="AC449" s="5">
        <v>0</v>
      </c>
      <c r="AD449" s="5">
        <f>+$AC449*BC449</f>
        <v>0</v>
      </c>
      <c r="AE449" s="5">
        <f>+$AC449*BD449</f>
        <v>0</v>
      </c>
      <c r="AF449" s="5">
        <f>+$AC449*BE449</f>
        <v>0</v>
      </c>
      <c r="AG449" s="5">
        <f>+$AC449*BF449</f>
        <v>0</v>
      </c>
      <c r="AH449" s="5">
        <f>+$AC449*BG449</f>
        <v>0</v>
      </c>
      <c r="AI449" s="5">
        <f>+$AC449*BH449</f>
        <v>0</v>
      </c>
      <c r="AJ449" s="5">
        <f>+$AC449*BI449</f>
        <v>0</v>
      </c>
      <c r="AK449" s="5">
        <f>+$AC449*BJ449</f>
        <v>0</v>
      </c>
      <c r="AL449" s="5">
        <f>+$AC449*BK449</f>
        <v>0</v>
      </c>
      <c r="AM449" s="5">
        <f>+$AC449*BL449</f>
        <v>0</v>
      </c>
      <c r="AN449" s="5">
        <f>+$AC449*BM449</f>
        <v>0</v>
      </c>
      <c r="AO449" s="5">
        <f>+$AC449*BN449</f>
        <v>0</v>
      </c>
      <c r="AP449" s="5">
        <f>+AC449+P449+C449</f>
        <v>0</v>
      </c>
      <c r="AQ449" s="1">
        <v>39.553808129586166</v>
      </c>
      <c r="AR449" s="1">
        <v>47.302640468656151</v>
      </c>
      <c r="AS449" s="1">
        <v>41.863183461147855</v>
      </c>
      <c r="AT449" s="1">
        <v>31.709750629699521</v>
      </c>
      <c r="AU449" s="1">
        <v>45.986689694092661</v>
      </c>
      <c r="AV449" s="1">
        <v>37.686041184072607</v>
      </c>
      <c r="AW449" s="1">
        <v>37.519077159643565</v>
      </c>
      <c r="AX449" s="1">
        <v>25.478940214852177</v>
      </c>
      <c r="AY449" s="1">
        <v>37.767436592301657</v>
      </c>
      <c r="AZ449" s="1">
        <v>32.890582289109368</v>
      </c>
      <c r="BA449" s="1">
        <v>33.582531270483379</v>
      </c>
      <c r="BB449" s="1">
        <v>32.80076968986446</v>
      </c>
      <c r="BC449" s="2">
        <v>8.9181565948742242E-2</v>
      </c>
      <c r="BD449" s="2">
        <v>0.10665277883445198</v>
      </c>
      <c r="BE449" s="2">
        <v>9.438849084854764E-2</v>
      </c>
      <c r="BF449" s="2">
        <v>7.149564986855049E-2</v>
      </c>
      <c r="BG449" s="2">
        <v>0.10368571810536763</v>
      </c>
      <c r="BH449" s="2">
        <v>8.4970330952544637E-2</v>
      </c>
      <c r="BI449" s="2">
        <v>8.4593878877262704E-2</v>
      </c>
      <c r="BJ449" s="2">
        <v>5.7447105462779965E-2</v>
      </c>
      <c r="BK449" s="2">
        <v>8.5153852345557474E-2</v>
      </c>
      <c r="BL449" s="2">
        <v>7.4158058913035174E-2</v>
      </c>
      <c r="BM449" s="2">
        <v>7.5718189192107169E-2</v>
      </c>
      <c r="BN449" s="2">
        <v>7.3955559365675619E-2</v>
      </c>
    </row>
    <row r="450" spans="1:66" x14ac:dyDescent="0.25">
      <c r="A450" s="8">
        <v>5287</v>
      </c>
      <c r="B450" s="8" t="s">
        <v>546</v>
      </c>
      <c r="C450" s="5">
        <v>1000</v>
      </c>
      <c r="D450" s="5">
        <f>+$C450*BC450</f>
        <v>89.181565948742247</v>
      </c>
      <c r="E450" s="5">
        <f>+$C450*BD450</f>
        <v>106.65277883445198</v>
      </c>
      <c r="F450" s="5">
        <f>+$C450*BE450</f>
        <v>94.388490848547647</v>
      </c>
      <c r="G450" s="5">
        <f>+$C450*BF450</f>
        <v>71.495649868550487</v>
      </c>
      <c r="H450" s="5">
        <f>+$C450*BG450</f>
        <v>103.68571810536763</v>
      </c>
      <c r="I450" s="5">
        <f>+$C450*BH450</f>
        <v>84.970330952544643</v>
      </c>
      <c r="J450" s="5">
        <f>+$C450*BI450</f>
        <v>84.593878877262711</v>
      </c>
      <c r="K450" s="5">
        <f>+$C450*BJ450</f>
        <v>57.447105462779966</v>
      </c>
      <c r="L450" s="5">
        <f>+$C450*BK450</f>
        <v>85.153852345557468</v>
      </c>
      <c r="M450" s="5">
        <f>+$C450*BL450</f>
        <v>74.158058913035177</v>
      </c>
      <c r="N450" s="5">
        <f>+$C450*BM450</f>
        <v>75.718189192107175</v>
      </c>
      <c r="O450" s="5">
        <f>+$C450*BN450</f>
        <v>73.955559365675626</v>
      </c>
      <c r="P450" s="5">
        <v>0</v>
      </c>
      <c r="Q450" s="5">
        <f>+$P450*BC450</f>
        <v>0</v>
      </c>
      <c r="R450" s="5">
        <f>+$P450*BD450</f>
        <v>0</v>
      </c>
      <c r="S450" s="5">
        <f>+$P450*BE450</f>
        <v>0</v>
      </c>
      <c r="T450" s="5">
        <f>+$P450*BF450</f>
        <v>0</v>
      </c>
      <c r="U450" s="5">
        <f>+$P450*BG450</f>
        <v>0</v>
      </c>
      <c r="V450" s="5">
        <f>+$P450*BH450</f>
        <v>0</v>
      </c>
      <c r="W450" s="5">
        <f>+$P450*BI450</f>
        <v>0</v>
      </c>
      <c r="X450" s="5">
        <f>+$P450*BJ450</f>
        <v>0</v>
      </c>
      <c r="Y450" s="5">
        <f>+$P450*BK450</f>
        <v>0</v>
      </c>
      <c r="Z450" s="5">
        <f>+$P450*BL450</f>
        <v>0</v>
      </c>
      <c r="AA450" s="5">
        <f>+$P450*BM450</f>
        <v>0</v>
      </c>
      <c r="AB450" s="5">
        <f>+$P450*BN450</f>
        <v>0</v>
      </c>
      <c r="AC450" s="5">
        <v>0</v>
      </c>
      <c r="AD450" s="5">
        <f>+$AC450*BC450</f>
        <v>0</v>
      </c>
      <c r="AE450" s="5">
        <f>+$AC450*BD450</f>
        <v>0</v>
      </c>
      <c r="AF450" s="5">
        <f>+$AC450*BE450</f>
        <v>0</v>
      </c>
      <c r="AG450" s="5">
        <f>+$AC450*BF450</f>
        <v>0</v>
      </c>
      <c r="AH450" s="5">
        <f>+$AC450*BG450</f>
        <v>0</v>
      </c>
      <c r="AI450" s="5">
        <f>+$AC450*BH450</f>
        <v>0</v>
      </c>
      <c r="AJ450" s="5">
        <f>+$AC450*BI450</f>
        <v>0</v>
      </c>
      <c r="AK450" s="5">
        <f>+$AC450*BJ450</f>
        <v>0</v>
      </c>
      <c r="AL450" s="5">
        <f>+$AC450*BK450</f>
        <v>0</v>
      </c>
      <c r="AM450" s="5">
        <f>+$AC450*BL450</f>
        <v>0</v>
      </c>
      <c r="AN450" s="5">
        <f>+$AC450*BM450</f>
        <v>0</v>
      </c>
      <c r="AO450" s="5">
        <f>+$AC450*BN450</f>
        <v>0</v>
      </c>
      <c r="AP450" s="5">
        <f>+AC450+P450+C450</f>
        <v>1000</v>
      </c>
      <c r="AQ450" s="1">
        <v>50.489697654050673</v>
      </c>
      <c r="AR450" s="1">
        <v>60.380937473230816</v>
      </c>
      <c r="AS450" s="1">
        <v>53.437572151451</v>
      </c>
      <c r="AT450" s="1">
        <v>40.476904694830516</v>
      </c>
      <c r="AU450" s="1">
        <v>58.70115087676335</v>
      </c>
      <c r="AV450" s="1">
        <v>48.105528017128385</v>
      </c>
      <c r="AW450" s="1">
        <v>47.89240155696789</v>
      </c>
      <c r="AX450" s="1">
        <v>32.523391522225559</v>
      </c>
      <c r="AY450" s="1">
        <v>48.209427736175634</v>
      </c>
      <c r="AZ450" s="1">
        <v>41.984214263320297</v>
      </c>
      <c r="BA450" s="1">
        <v>42.867474220165512</v>
      </c>
      <c r="BB450" s="1">
        <v>41.869570157080425</v>
      </c>
      <c r="BC450" s="2">
        <v>8.9181565948742242E-2</v>
      </c>
      <c r="BD450" s="2">
        <v>0.10665277883445198</v>
      </c>
      <c r="BE450" s="2">
        <v>9.438849084854764E-2</v>
      </c>
      <c r="BF450" s="2">
        <v>7.149564986855049E-2</v>
      </c>
      <c r="BG450" s="2">
        <v>0.10368571810536763</v>
      </c>
      <c r="BH450" s="2">
        <v>8.4970330952544637E-2</v>
      </c>
      <c r="BI450" s="2">
        <v>8.4593878877262704E-2</v>
      </c>
      <c r="BJ450" s="2">
        <v>5.7447105462779965E-2</v>
      </c>
      <c r="BK450" s="2">
        <v>8.5153852345557474E-2</v>
      </c>
      <c r="BL450" s="2">
        <v>7.4158058913035174E-2</v>
      </c>
      <c r="BM450" s="2">
        <v>7.5718189192107169E-2</v>
      </c>
      <c r="BN450" s="2">
        <v>7.3955559365675619E-2</v>
      </c>
    </row>
    <row r="451" spans="1:66" x14ac:dyDescent="0.25">
      <c r="A451" s="8">
        <v>3931</v>
      </c>
      <c r="B451" s="8" t="s">
        <v>545</v>
      </c>
      <c r="C451" s="5">
        <v>500</v>
      </c>
      <c r="D451" s="5">
        <f>+$C451*BC451</f>
        <v>44.590782974371123</v>
      </c>
      <c r="E451" s="5">
        <f>+$C451*BD451</f>
        <v>53.32638941722599</v>
      </c>
      <c r="F451" s="5">
        <f>+$C451*BE451</f>
        <v>47.194245424273824</v>
      </c>
      <c r="G451" s="5">
        <f>+$C451*BF451</f>
        <v>35.747824934275243</v>
      </c>
      <c r="H451" s="5">
        <f>+$C451*BG451</f>
        <v>51.842859052683814</v>
      </c>
      <c r="I451" s="5">
        <f>+$C451*BH451</f>
        <v>42.485165476272321</v>
      </c>
      <c r="J451" s="5">
        <f>+$C451*BI451</f>
        <v>42.296939438631355</v>
      </c>
      <c r="K451" s="5">
        <f>+$C451*BJ451</f>
        <v>28.723552731389983</v>
      </c>
      <c r="L451" s="5">
        <f>+$C451*BK451</f>
        <v>42.576926172778734</v>
      </c>
      <c r="M451" s="5">
        <f>+$C451*BL451</f>
        <v>37.079029456517588</v>
      </c>
      <c r="N451" s="5">
        <f>+$C451*BM451</f>
        <v>37.859094596053588</v>
      </c>
      <c r="O451" s="5">
        <f>+$C451*BN451</f>
        <v>36.977779682837813</v>
      </c>
      <c r="P451" s="5">
        <v>0</v>
      </c>
      <c r="Q451" s="5">
        <f>+$P451*BC451</f>
        <v>0</v>
      </c>
      <c r="R451" s="5">
        <f>+$P451*BD451</f>
        <v>0</v>
      </c>
      <c r="S451" s="5">
        <f>+$P451*BE451</f>
        <v>0</v>
      </c>
      <c r="T451" s="5">
        <f>+$P451*BF451</f>
        <v>0</v>
      </c>
      <c r="U451" s="5">
        <f>+$P451*BG451</f>
        <v>0</v>
      </c>
      <c r="V451" s="5">
        <f>+$P451*BH451</f>
        <v>0</v>
      </c>
      <c r="W451" s="5">
        <f>+$P451*BI451</f>
        <v>0</v>
      </c>
      <c r="X451" s="5">
        <f>+$P451*BJ451</f>
        <v>0</v>
      </c>
      <c r="Y451" s="5">
        <f>+$P451*BK451</f>
        <v>0</v>
      </c>
      <c r="Z451" s="5">
        <f>+$P451*BL451</f>
        <v>0</v>
      </c>
      <c r="AA451" s="5">
        <f>+$P451*BM451</f>
        <v>0</v>
      </c>
      <c r="AB451" s="5">
        <f>+$P451*BN451</f>
        <v>0</v>
      </c>
      <c r="AC451" s="5">
        <v>0</v>
      </c>
      <c r="AD451" s="5">
        <f>+$AC451*BC451</f>
        <v>0</v>
      </c>
      <c r="AE451" s="5">
        <f>+$AC451*BD451</f>
        <v>0</v>
      </c>
      <c r="AF451" s="5">
        <f>+$AC451*BE451</f>
        <v>0</v>
      </c>
      <c r="AG451" s="5">
        <f>+$AC451*BF451</f>
        <v>0</v>
      </c>
      <c r="AH451" s="5">
        <f>+$AC451*BG451</f>
        <v>0</v>
      </c>
      <c r="AI451" s="5">
        <f>+$AC451*BH451</f>
        <v>0</v>
      </c>
      <c r="AJ451" s="5">
        <f>+$AC451*BI451</f>
        <v>0</v>
      </c>
      <c r="AK451" s="5">
        <f>+$AC451*BJ451</f>
        <v>0</v>
      </c>
      <c r="AL451" s="5">
        <f>+$AC451*BK451</f>
        <v>0</v>
      </c>
      <c r="AM451" s="5">
        <f>+$AC451*BL451</f>
        <v>0</v>
      </c>
      <c r="AN451" s="5">
        <f>+$AC451*BM451</f>
        <v>0</v>
      </c>
      <c r="AO451" s="5">
        <f>+$AC451*BN451</f>
        <v>0</v>
      </c>
      <c r="AP451" s="5">
        <f>+AC451+P451+C451</f>
        <v>500</v>
      </c>
      <c r="AQ451" s="1">
        <v>38.307941653282228</v>
      </c>
      <c r="AR451" s="1">
        <v>45.812701148338853</v>
      </c>
      <c r="AS451" s="1">
        <v>40.544576243993639</v>
      </c>
      <c r="AT451" s="1">
        <v>30.710956401035865</v>
      </c>
      <c r="AU451" s="1">
        <v>44.538200212160667</v>
      </c>
      <c r="AV451" s="1">
        <v>36.499005660665553</v>
      </c>
      <c r="AW451" s="1">
        <v>36.337300671728194</v>
      </c>
      <c r="AX451" s="1">
        <v>24.676404151537135</v>
      </c>
      <c r="AY451" s="1">
        <v>36.577837275034213</v>
      </c>
      <c r="AZ451" s="1">
        <v>31.854594206094259</v>
      </c>
      <c r="BA451" s="1">
        <v>32.524748167469632</v>
      </c>
      <c r="BB451" s="1">
        <v>31.767610525525964</v>
      </c>
      <c r="BC451" s="2">
        <v>8.9181565948742242E-2</v>
      </c>
      <c r="BD451" s="2">
        <v>0.10665277883445198</v>
      </c>
      <c r="BE451" s="2">
        <v>9.438849084854764E-2</v>
      </c>
      <c r="BF451" s="2">
        <v>7.149564986855049E-2</v>
      </c>
      <c r="BG451" s="2">
        <v>0.10368571810536763</v>
      </c>
      <c r="BH451" s="2">
        <v>8.4970330952544637E-2</v>
      </c>
      <c r="BI451" s="2">
        <v>8.4593878877262704E-2</v>
      </c>
      <c r="BJ451" s="2">
        <v>5.7447105462779965E-2</v>
      </c>
      <c r="BK451" s="2">
        <v>8.5153852345557474E-2</v>
      </c>
      <c r="BL451" s="2">
        <v>7.4158058913035174E-2</v>
      </c>
      <c r="BM451" s="2">
        <v>7.5718189192107169E-2</v>
      </c>
      <c r="BN451" s="2">
        <v>7.3955559365675619E-2</v>
      </c>
    </row>
    <row r="452" spans="1:66" x14ac:dyDescent="0.25">
      <c r="A452" s="8">
        <v>4043</v>
      </c>
      <c r="B452" s="8" t="s">
        <v>544</v>
      </c>
      <c r="C452" s="5">
        <v>100</v>
      </c>
      <c r="D452" s="5">
        <f>+$C452*BC452</f>
        <v>8.9181565948742243</v>
      </c>
      <c r="E452" s="5">
        <f>+$C452*BD452</f>
        <v>10.665277883445198</v>
      </c>
      <c r="F452" s="5">
        <f>+$C452*BE452</f>
        <v>9.4388490848547644</v>
      </c>
      <c r="G452" s="5">
        <f>+$C452*BF452</f>
        <v>7.149564986855049</v>
      </c>
      <c r="H452" s="5">
        <f>+$C452*BG452</f>
        <v>10.368571810536762</v>
      </c>
      <c r="I452" s="5">
        <f>+$C452*BH452</f>
        <v>8.4970330952544639</v>
      </c>
      <c r="J452" s="5">
        <f>+$C452*BI452</f>
        <v>8.4593878877262707</v>
      </c>
      <c r="K452" s="5">
        <f>+$C452*BJ452</f>
        <v>5.7447105462779966</v>
      </c>
      <c r="L452" s="5">
        <f>+$C452*BK452</f>
        <v>8.5153852345557475</v>
      </c>
      <c r="M452" s="5">
        <f>+$C452*BL452</f>
        <v>7.415805891303517</v>
      </c>
      <c r="N452" s="5">
        <f>+$C452*BM452</f>
        <v>7.5718189192107168</v>
      </c>
      <c r="O452" s="5">
        <f>+$C452*BN452</f>
        <v>7.395555936567562</v>
      </c>
      <c r="P452" s="5">
        <v>0</v>
      </c>
      <c r="Q452" s="5">
        <f>+$P452*BC452</f>
        <v>0</v>
      </c>
      <c r="R452" s="5">
        <f>+$P452*BD452</f>
        <v>0</v>
      </c>
      <c r="S452" s="5">
        <f>+$P452*BE452</f>
        <v>0</v>
      </c>
      <c r="T452" s="5">
        <f>+$P452*BF452</f>
        <v>0</v>
      </c>
      <c r="U452" s="5">
        <f>+$P452*BG452</f>
        <v>0</v>
      </c>
      <c r="V452" s="5">
        <f>+$P452*BH452</f>
        <v>0</v>
      </c>
      <c r="W452" s="5">
        <f>+$P452*BI452</f>
        <v>0</v>
      </c>
      <c r="X452" s="5">
        <f>+$P452*BJ452</f>
        <v>0</v>
      </c>
      <c r="Y452" s="5">
        <f>+$P452*BK452</f>
        <v>0</v>
      </c>
      <c r="Z452" s="5">
        <f>+$P452*BL452</f>
        <v>0</v>
      </c>
      <c r="AA452" s="5">
        <f>+$P452*BM452</f>
        <v>0</v>
      </c>
      <c r="AB452" s="5">
        <f>+$P452*BN452</f>
        <v>0</v>
      </c>
      <c r="AC452" s="5">
        <v>0</v>
      </c>
      <c r="AD452" s="5">
        <f>+$AC452*BC452</f>
        <v>0</v>
      </c>
      <c r="AE452" s="5">
        <f>+$AC452*BD452</f>
        <v>0</v>
      </c>
      <c r="AF452" s="5">
        <f>+$AC452*BE452</f>
        <v>0</v>
      </c>
      <c r="AG452" s="5">
        <f>+$AC452*BF452</f>
        <v>0</v>
      </c>
      <c r="AH452" s="5">
        <f>+$AC452*BG452</f>
        <v>0</v>
      </c>
      <c r="AI452" s="5">
        <f>+$AC452*BH452</f>
        <v>0</v>
      </c>
      <c r="AJ452" s="5">
        <f>+$AC452*BI452</f>
        <v>0</v>
      </c>
      <c r="AK452" s="5">
        <f>+$AC452*BJ452</f>
        <v>0</v>
      </c>
      <c r="AL452" s="5">
        <f>+$AC452*BK452</f>
        <v>0</v>
      </c>
      <c r="AM452" s="5">
        <f>+$AC452*BL452</f>
        <v>0</v>
      </c>
      <c r="AN452" s="5">
        <f>+$AC452*BM452</f>
        <v>0</v>
      </c>
      <c r="AO452" s="5">
        <f>+$AC452*BN452</f>
        <v>0</v>
      </c>
      <c r="AP452" s="5">
        <f>+AC452+P452+C452</f>
        <v>100</v>
      </c>
      <c r="AQ452" s="1">
        <v>65.561739025651917</v>
      </c>
      <c r="AR452" s="1">
        <v>78.405683707368553</v>
      </c>
      <c r="AS452" s="1">
        <v>69.389604658818953</v>
      </c>
      <c r="AT452" s="1">
        <v>52.559955505215029</v>
      </c>
      <c r="AU452" s="1">
        <v>76.224451979442918</v>
      </c>
      <c r="AV452" s="1">
        <v>62.465853829432248</v>
      </c>
      <c r="AW452" s="1">
        <v>62.189105462740812</v>
      </c>
      <c r="AX452" s="1">
        <v>42.232182133857236</v>
      </c>
      <c r="AY452" s="1">
        <v>62.600769397984244</v>
      </c>
      <c r="AZ452" s="1">
        <v>54.517222851858904</v>
      </c>
      <c r="BA452" s="1">
        <v>55.664151066388399</v>
      </c>
      <c r="BB452" s="1">
        <v>54.368355512117077</v>
      </c>
      <c r="BC452" s="2">
        <v>8.9181565948742242E-2</v>
      </c>
      <c r="BD452" s="2">
        <v>0.10665277883445198</v>
      </c>
      <c r="BE452" s="2">
        <v>9.438849084854764E-2</v>
      </c>
      <c r="BF452" s="2">
        <v>7.149564986855049E-2</v>
      </c>
      <c r="BG452" s="2">
        <v>0.10368571810536763</v>
      </c>
      <c r="BH452" s="2">
        <v>8.4970330952544637E-2</v>
      </c>
      <c r="BI452" s="2">
        <v>8.4593878877262704E-2</v>
      </c>
      <c r="BJ452" s="2">
        <v>5.7447105462779965E-2</v>
      </c>
      <c r="BK452" s="2">
        <v>8.5153852345557474E-2</v>
      </c>
      <c r="BL452" s="2">
        <v>7.4158058913035174E-2</v>
      </c>
      <c r="BM452" s="2">
        <v>7.5718189192107169E-2</v>
      </c>
      <c r="BN452" s="2">
        <v>7.3955559365675619E-2</v>
      </c>
    </row>
    <row r="453" spans="1:66" x14ac:dyDescent="0.25">
      <c r="A453" s="8">
        <v>6444</v>
      </c>
      <c r="B453" s="8" t="s">
        <v>543</v>
      </c>
      <c r="C453" s="5">
        <v>0</v>
      </c>
      <c r="D453" s="5">
        <f>+$C453*BC453</f>
        <v>0</v>
      </c>
      <c r="E453" s="5">
        <f>+$C453*BD453</f>
        <v>0</v>
      </c>
      <c r="F453" s="5">
        <f>+$C453*BE453</f>
        <v>0</v>
      </c>
      <c r="G453" s="5">
        <f>+$C453*BF453</f>
        <v>0</v>
      </c>
      <c r="H453" s="5">
        <f>+$C453*BG453</f>
        <v>0</v>
      </c>
      <c r="I453" s="5">
        <f>+$C453*BH453</f>
        <v>0</v>
      </c>
      <c r="J453" s="5">
        <f>+$C453*BI453</f>
        <v>0</v>
      </c>
      <c r="K453" s="5">
        <f>+$C453*BJ453</f>
        <v>0</v>
      </c>
      <c r="L453" s="5">
        <f>+$C453*BK453</f>
        <v>0</v>
      </c>
      <c r="M453" s="5">
        <f>+$C453*BL453</f>
        <v>0</v>
      </c>
      <c r="N453" s="5">
        <f>+$C453*BM453</f>
        <v>0</v>
      </c>
      <c r="O453" s="5">
        <f>+$C453*BN453</f>
        <v>0</v>
      </c>
      <c r="P453" s="5">
        <v>0</v>
      </c>
      <c r="Q453" s="5">
        <f>+$P453*BC453</f>
        <v>0</v>
      </c>
      <c r="R453" s="5">
        <f>+$P453*BD453</f>
        <v>0</v>
      </c>
      <c r="S453" s="5">
        <f>+$P453*BE453</f>
        <v>0</v>
      </c>
      <c r="T453" s="5">
        <f>+$P453*BF453</f>
        <v>0</v>
      </c>
      <c r="U453" s="5">
        <f>+$P453*BG453</f>
        <v>0</v>
      </c>
      <c r="V453" s="5">
        <f>+$P453*BH453</f>
        <v>0</v>
      </c>
      <c r="W453" s="5">
        <f>+$P453*BI453</f>
        <v>0</v>
      </c>
      <c r="X453" s="5">
        <f>+$P453*BJ453</f>
        <v>0</v>
      </c>
      <c r="Y453" s="5">
        <f>+$P453*BK453</f>
        <v>0</v>
      </c>
      <c r="Z453" s="5">
        <f>+$P453*BL453</f>
        <v>0</v>
      </c>
      <c r="AA453" s="5">
        <f>+$P453*BM453</f>
        <v>0</v>
      </c>
      <c r="AB453" s="5">
        <f>+$P453*BN453</f>
        <v>0</v>
      </c>
      <c r="AC453" s="5">
        <v>0</v>
      </c>
      <c r="AD453" s="5">
        <f>+$AC453*BC453</f>
        <v>0</v>
      </c>
      <c r="AE453" s="5">
        <f>+$AC453*BD453</f>
        <v>0</v>
      </c>
      <c r="AF453" s="5">
        <f>+$AC453*BE453</f>
        <v>0</v>
      </c>
      <c r="AG453" s="5">
        <f>+$AC453*BF453</f>
        <v>0</v>
      </c>
      <c r="AH453" s="5">
        <f>+$AC453*BG453</f>
        <v>0</v>
      </c>
      <c r="AI453" s="5">
        <f>+$AC453*BH453</f>
        <v>0</v>
      </c>
      <c r="AJ453" s="5">
        <f>+$AC453*BI453</f>
        <v>0</v>
      </c>
      <c r="AK453" s="5">
        <f>+$AC453*BJ453</f>
        <v>0</v>
      </c>
      <c r="AL453" s="5">
        <f>+$AC453*BK453</f>
        <v>0</v>
      </c>
      <c r="AM453" s="5">
        <f>+$AC453*BL453</f>
        <v>0</v>
      </c>
      <c r="AN453" s="5">
        <f>+$AC453*BM453</f>
        <v>0</v>
      </c>
      <c r="AO453" s="5">
        <f>+$AC453*BN453</f>
        <v>0</v>
      </c>
      <c r="AP453" s="5">
        <f>+AC453+P453+C453</f>
        <v>0</v>
      </c>
      <c r="AQ453" s="1">
        <v>36.50058803776502</v>
      </c>
      <c r="AR453" s="1">
        <v>43.651275932479848</v>
      </c>
      <c r="AS453" s="1">
        <v>38.631699088456969</v>
      </c>
      <c r="AT453" s="1">
        <v>29.262025560799817</v>
      </c>
      <c r="AU453" s="1">
        <v>42.436905449037283</v>
      </c>
      <c r="AV453" s="1">
        <v>34.77699693358128</v>
      </c>
      <c r="AW453" s="1">
        <v>34.622921122401586</v>
      </c>
      <c r="AX453" s="1">
        <v>23.512181112228436</v>
      </c>
      <c r="AY453" s="1">
        <v>34.852109303399146</v>
      </c>
      <c r="AZ453" s="1">
        <v>30.351706984162689</v>
      </c>
      <c r="BA453" s="1">
        <v>30.990243345302389</v>
      </c>
      <c r="BB453" s="1">
        <v>30.268827159421178</v>
      </c>
      <c r="BC453" s="2">
        <v>8.9181565948742242E-2</v>
      </c>
      <c r="BD453" s="2">
        <v>0.10665277883445198</v>
      </c>
      <c r="BE453" s="2">
        <v>9.438849084854764E-2</v>
      </c>
      <c r="BF453" s="2">
        <v>7.149564986855049E-2</v>
      </c>
      <c r="BG453" s="2">
        <v>0.10368571810536763</v>
      </c>
      <c r="BH453" s="2">
        <v>8.4970330952544637E-2</v>
      </c>
      <c r="BI453" s="2">
        <v>8.4593878877262704E-2</v>
      </c>
      <c r="BJ453" s="2">
        <v>5.7447105462779965E-2</v>
      </c>
      <c r="BK453" s="2">
        <v>8.5153852345557474E-2</v>
      </c>
      <c r="BL453" s="2">
        <v>7.4158058913035174E-2</v>
      </c>
      <c r="BM453" s="2">
        <v>7.5718189192107169E-2</v>
      </c>
      <c r="BN453" s="2">
        <v>7.3955559365675619E-2</v>
      </c>
    </row>
    <row r="454" spans="1:66" x14ac:dyDescent="0.25">
      <c r="A454" s="8">
        <v>5228</v>
      </c>
      <c r="B454" s="8" t="s">
        <v>542</v>
      </c>
      <c r="C454" s="5">
        <v>0</v>
      </c>
      <c r="D454" s="5">
        <f>+$C454*BC454</f>
        <v>0</v>
      </c>
      <c r="E454" s="5">
        <f>+$C454*BD454</f>
        <v>0</v>
      </c>
      <c r="F454" s="5">
        <f>+$C454*BE454</f>
        <v>0</v>
      </c>
      <c r="G454" s="5">
        <f>+$C454*BF454</f>
        <v>0</v>
      </c>
      <c r="H454" s="5">
        <f>+$C454*BG454</f>
        <v>0</v>
      </c>
      <c r="I454" s="5">
        <f>+$C454*BH454</f>
        <v>0</v>
      </c>
      <c r="J454" s="5">
        <f>+$C454*BI454</f>
        <v>0</v>
      </c>
      <c r="K454" s="5">
        <f>+$C454*BJ454</f>
        <v>0</v>
      </c>
      <c r="L454" s="5">
        <f>+$C454*BK454</f>
        <v>0</v>
      </c>
      <c r="M454" s="5">
        <f>+$C454*BL454</f>
        <v>0</v>
      </c>
      <c r="N454" s="5">
        <f>+$C454*BM454</f>
        <v>0</v>
      </c>
      <c r="O454" s="5">
        <f>+$C454*BN454</f>
        <v>0</v>
      </c>
      <c r="P454" s="5">
        <v>0</v>
      </c>
      <c r="Q454" s="5">
        <f>+$P454*BC454</f>
        <v>0</v>
      </c>
      <c r="R454" s="5">
        <f>+$P454*BD454</f>
        <v>0</v>
      </c>
      <c r="S454" s="5">
        <f>+$P454*BE454</f>
        <v>0</v>
      </c>
      <c r="T454" s="5">
        <f>+$P454*BF454</f>
        <v>0</v>
      </c>
      <c r="U454" s="5">
        <f>+$P454*BG454</f>
        <v>0</v>
      </c>
      <c r="V454" s="5">
        <f>+$P454*BH454</f>
        <v>0</v>
      </c>
      <c r="W454" s="5">
        <f>+$P454*BI454</f>
        <v>0</v>
      </c>
      <c r="X454" s="5">
        <f>+$P454*BJ454</f>
        <v>0</v>
      </c>
      <c r="Y454" s="5">
        <f>+$P454*BK454</f>
        <v>0</v>
      </c>
      <c r="Z454" s="5">
        <f>+$P454*BL454</f>
        <v>0</v>
      </c>
      <c r="AA454" s="5">
        <f>+$P454*BM454</f>
        <v>0</v>
      </c>
      <c r="AB454" s="5">
        <f>+$P454*BN454</f>
        <v>0</v>
      </c>
      <c r="AC454" s="5">
        <v>0</v>
      </c>
      <c r="AD454" s="5">
        <f>+$AC454*BC454</f>
        <v>0</v>
      </c>
      <c r="AE454" s="5">
        <f>+$AC454*BD454</f>
        <v>0</v>
      </c>
      <c r="AF454" s="5">
        <f>+$AC454*BE454</f>
        <v>0</v>
      </c>
      <c r="AG454" s="5">
        <f>+$AC454*BF454</f>
        <v>0</v>
      </c>
      <c r="AH454" s="5">
        <f>+$AC454*BG454</f>
        <v>0</v>
      </c>
      <c r="AI454" s="5">
        <f>+$AC454*BH454</f>
        <v>0</v>
      </c>
      <c r="AJ454" s="5">
        <f>+$AC454*BI454</f>
        <v>0</v>
      </c>
      <c r="AK454" s="5">
        <f>+$AC454*BJ454</f>
        <v>0</v>
      </c>
      <c r="AL454" s="5">
        <f>+$AC454*BK454</f>
        <v>0</v>
      </c>
      <c r="AM454" s="5">
        <f>+$AC454*BL454</f>
        <v>0</v>
      </c>
      <c r="AN454" s="5">
        <f>+$AC454*BM454</f>
        <v>0</v>
      </c>
      <c r="AO454" s="5">
        <f>+$AC454*BN454</f>
        <v>0</v>
      </c>
      <c r="AP454" s="5">
        <f>+AC454+P454+C454</f>
        <v>0</v>
      </c>
      <c r="AQ454" s="1">
        <v>57.158605974131667</v>
      </c>
      <c r="AR454" s="1">
        <v>68.356325621692307</v>
      </c>
      <c r="AS454" s="1">
        <v>60.495849108614543</v>
      </c>
      <c r="AT454" s="1">
        <v>45.823277896350852</v>
      </c>
      <c r="AU454" s="1">
        <v>66.454665190964633</v>
      </c>
      <c r="AV454" s="1">
        <v>54.459524395428716</v>
      </c>
      <c r="AW454" s="1">
        <v>54.218247225530718</v>
      </c>
      <c r="AX454" s="1">
        <v>36.819228621626785</v>
      </c>
      <c r="AY454" s="1">
        <v>54.577147660724073</v>
      </c>
      <c r="AZ454" s="1">
        <v>47.529679750778158</v>
      </c>
      <c r="BA454" s="1">
        <v>48.529604689762095</v>
      </c>
      <c r="BB454" s="1">
        <v>47.399892930886281</v>
      </c>
      <c r="BC454" s="2">
        <v>8.9181565948742242E-2</v>
      </c>
      <c r="BD454" s="2">
        <v>0.10665277883445198</v>
      </c>
      <c r="BE454" s="2">
        <v>9.438849084854764E-2</v>
      </c>
      <c r="BF454" s="2">
        <v>7.149564986855049E-2</v>
      </c>
      <c r="BG454" s="2">
        <v>0.10368571810536763</v>
      </c>
      <c r="BH454" s="2">
        <v>8.4970330952544637E-2</v>
      </c>
      <c r="BI454" s="2">
        <v>8.4593878877262704E-2</v>
      </c>
      <c r="BJ454" s="2">
        <v>5.7447105462779965E-2</v>
      </c>
      <c r="BK454" s="2">
        <v>8.5153852345557474E-2</v>
      </c>
      <c r="BL454" s="2">
        <v>7.4158058913035174E-2</v>
      </c>
      <c r="BM454" s="2">
        <v>7.5718189192107169E-2</v>
      </c>
      <c r="BN454" s="2">
        <v>7.3955559365675619E-2</v>
      </c>
    </row>
    <row r="455" spans="1:66" x14ac:dyDescent="0.25">
      <c r="A455" s="8">
        <v>35316</v>
      </c>
      <c r="B455" s="8" t="s">
        <v>541</v>
      </c>
      <c r="C455" s="5">
        <v>0</v>
      </c>
      <c r="D455" s="5">
        <f>+$C455*BC455</f>
        <v>0</v>
      </c>
      <c r="E455" s="5">
        <f>+$C455*BD455</f>
        <v>0</v>
      </c>
      <c r="F455" s="5">
        <f>+$C455*BE455</f>
        <v>0</v>
      </c>
      <c r="G455" s="5">
        <f>+$C455*BF455</f>
        <v>0</v>
      </c>
      <c r="H455" s="5">
        <f>+$C455*BG455</f>
        <v>0</v>
      </c>
      <c r="I455" s="5">
        <f>+$C455*BH455</f>
        <v>0</v>
      </c>
      <c r="J455" s="5">
        <f>+$C455*BI455</f>
        <v>0</v>
      </c>
      <c r="K455" s="5">
        <f>+$C455*BJ455</f>
        <v>0</v>
      </c>
      <c r="L455" s="5">
        <f>+$C455*BK455</f>
        <v>0</v>
      </c>
      <c r="M455" s="5">
        <f>+$C455*BL455</f>
        <v>0</v>
      </c>
      <c r="N455" s="5">
        <f>+$C455*BM455</f>
        <v>0</v>
      </c>
      <c r="O455" s="5">
        <f>+$C455*BN455</f>
        <v>0</v>
      </c>
      <c r="P455" s="5">
        <v>0</v>
      </c>
      <c r="Q455" s="5">
        <f>+$P455*BC455</f>
        <v>0</v>
      </c>
      <c r="R455" s="5">
        <f>+$P455*BD455</f>
        <v>0</v>
      </c>
      <c r="S455" s="5">
        <f>+$P455*BE455</f>
        <v>0</v>
      </c>
      <c r="T455" s="5">
        <f>+$P455*BF455</f>
        <v>0</v>
      </c>
      <c r="U455" s="5">
        <f>+$P455*BG455</f>
        <v>0</v>
      </c>
      <c r="V455" s="5">
        <f>+$P455*BH455</f>
        <v>0</v>
      </c>
      <c r="W455" s="5">
        <f>+$P455*BI455</f>
        <v>0</v>
      </c>
      <c r="X455" s="5">
        <f>+$P455*BJ455</f>
        <v>0</v>
      </c>
      <c r="Y455" s="5">
        <f>+$P455*BK455</f>
        <v>0</v>
      </c>
      <c r="Z455" s="5">
        <f>+$P455*BL455</f>
        <v>0</v>
      </c>
      <c r="AA455" s="5">
        <f>+$P455*BM455</f>
        <v>0</v>
      </c>
      <c r="AB455" s="5">
        <f>+$P455*BN455</f>
        <v>0</v>
      </c>
      <c r="AC455" s="5">
        <v>0</v>
      </c>
      <c r="AD455" s="5">
        <f>+$AC455*BC455</f>
        <v>0</v>
      </c>
      <c r="AE455" s="5">
        <f>+$AC455*BD455</f>
        <v>0</v>
      </c>
      <c r="AF455" s="5">
        <f>+$AC455*BE455</f>
        <v>0</v>
      </c>
      <c r="AG455" s="5">
        <f>+$AC455*BF455</f>
        <v>0</v>
      </c>
      <c r="AH455" s="5">
        <f>+$AC455*BG455</f>
        <v>0</v>
      </c>
      <c r="AI455" s="5">
        <f>+$AC455*BH455</f>
        <v>0</v>
      </c>
      <c r="AJ455" s="5">
        <f>+$AC455*BI455</f>
        <v>0</v>
      </c>
      <c r="AK455" s="5">
        <f>+$AC455*BJ455</f>
        <v>0</v>
      </c>
      <c r="AL455" s="5">
        <f>+$AC455*BK455</f>
        <v>0</v>
      </c>
      <c r="AM455" s="5">
        <f>+$AC455*BL455</f>
        <v>0</v>
      </c>
      <c r="AN455" s="5">
        <f>+$AC455*BM455</f>
        <v>0</v>
      </c>
      <c r="AO455" s="5">
        <f>+$AC455*BN455</f>
        <v>0</v>
      </c>
      <c r="AP455" s="5">
        <f>+AC455+P455+C455</f>
        <v>0</v>
      </c>
      <c r="AQ455" s="1">
        <v>34.136741450727662</v>
      </c>
      <c r="AR455" s="1">
        <v>40.824337376693869</v>
      </c>
      <c r="AS455" s="1">
        <v>36.129837750025374</v>
      </c>
      <c r="AT455" s="1">
        <v>27.366961865384024</v>
      </c>
      <c r="AU455" s="1">
        <v>39.688611804936414</v>
      </c>
      <c r="AV455" s="1">
        <v>32.524773341353139</v>
      </c>
      <c r="AW455" s="1">
        <v>32.38067576888087</v>
      </c>
      <c r="AX455" s="1">
        <v>21.989488134831994</v>
      </c>
      <c r="AY455" s="1">
        <v>32.595021293127807</v>
      </c>
      <c r="AZ455" s="1">
        <v>28.386073474613784</v>
      </c>
      <c r="BA455" s="1">
        <v>28.983257022576403</v>
      </c>
      <c r="BB455" s="1">
        <v>28.308561102874588</v>
      </c>
      <c r="BC455" s="2">
        <v>8.9181565948742242E-2</v>
      </c>
      <c r="BD455" s="2">
        <v>0.10665277883445198</v>
      </c>
      <c r="BE455" s="2">
        <v>9.438849084854764E-2</v>
      </c>
      <c r="BF455" s="2">
        <v>7.149564986855049E-2</v>
      </c>
      <c r="BG455" s="2">
        <v>0.10368571810536763</v>
      </c>
      <c r="BH455" s="2">
        <v>8.4970330952544637E-2</v>
      </c>
      <c r="BI455" s="2">
        <v>8.4593878877262704E-2</v>
      </c>
      <c r="BJ455" s="2">
        <v>5.7447105462779965E-2</v>
      </c>
      <c r="BK455" s="2">
        <v>8.5153852345557474E-2</v>
      </c>
      <c r="BL455" s="2">
        <v>7.4158058913035174E-2</v>
      </c>
      <c r="BM455" s="2">
        <v>7.5718189192107169E-2</v>
      </c>
      <c r="BN455" s="2">
        <v>7.3955559365675619E-2</v>
      </c>
    </row>
    <row r="456" spans="1:66" x14ac:dyDescent="0.25">
      <c r="A456" s="8">
        <v>5185</v>
      </c>
      <c r="B456" s="8" t="s">
        <v>540</v>
      </c>
      <c r="C456" s="5">
        <v>0</v>
      </c>
      <c r="D456" s="5">
        <f>+$C456*BC456</f>
        <v>0</v>
      </c>
      <c r="E456" s="5">
        <f>+$C456*BD456</f>
        <v>0</v>
      </c>
      <c r="F456" s="5">
        <f>+$C456*BE456</f>
        <v>0</v>
      </c>
      <c r="G456" s="5">
        <f>+$C456*BF456</f>
        <v>0</v>
      </c>
      <c r="H456" s="5">
        <f>+$C456*BG456</f>
        <v>0</v>
      </c>
      <c r="I456" s="5">
        <f>+$C456*BH456</f>
        <v>0</v>
      </c>
      <c r="J456" s="5">
        <f>+$C456*BI456</f>
        <v>0</v>
      </c>
      <c r="K456" s="5">
        <f>+$C456*BJ456</f>
        <v>0</v>
      </c>
      <c r="L456" s="5">
        <f>+$C456*BK456</f>
        <v>0</v>
      </c>
      <c r="M456" s="5">
        <f>+$C456*BL456</f>
        <v>0</v>
      </c>
      <c r="N456" s="5">
        <f>+$C456*BM456</f>
        <v>0</v>
      </c>
      <c r="O456" s="5">
        <f>+$C456*BN456</f>
        <v>0</v>
      </c>
      <c r="P456" s="5">
        <v>0</v>
      </c>
      <c r="Q456" s="5">
        <f>+$P456*BC456</f>
        <v>0</v>
      </c>
      <c r="R456" s="5">
        <f>+$P456*BD456</f>
        <v>0</v>
      </c>
      <c r="S456" s="5">
        <f>+$P456*BE456</f>
        <v>0</v>
      </c>
      <c r="T456" s="5">
        <f>+$P456*BF456</f>
        <v>0</v>
      </c>
      <c r="U456" s="5">
        <f>+$P456*BG456</f>
        <v>0</v>
      </c>
      <c r="V456" s="5">
        <f>+$P456*BH456</f>
        <v>0</v>
      </c>
      <c r="W456" s="5">
        <f>+$P456*BI456</f>
        <v>0</v>
      </c>
      <c r="X456" s="5">
        <f>+$P456*BJ456</f>
        <v>0</v>
      </c>
      <c r="Y456" s="5">
        <f>+$P456*BK456</f>
        <v>0</v>
      </c>
      <c r="Z456" s="5">
        <f>+$P456*BL456</f>
        <v>0</v>
      </c>
      <c r="AA456" s="5">
        <f>+$P456*BM456</f>
        <v>0</v>
      </c>
      <c r="AB456" s="5">
        <f>+$P456*BN456</f>
        <v>0</v>
      </c>
      <c r="AC456" s="5">
        <v>0</v>
      </c>
      <c r="AD456" s="5">
        <f>+$AC456*BC456</f>
        <v>0</v>
      </c>
      <c r="AE456" s="5">
        <f>+$AC456*BD456</f>
        <v>0</v>
      </c>
      <c r="AF456" s="5">
        <f>+$AC456*BE456</f>
        <v>0</v>
      </c>
      <c r="AG456" s="5">
        <f>+$AC456*BF456</f>
        <v>0</v>
      </c>
      <c r="AH456" s="5">
        <f>+$AC456*BG456</f>
        <v>0</v>
      </c>
      <c r="AI456" s="5">
        <f>+$AC456*BH456</f>
        <v>0</v>
      </c>
      <c r="AJ456" s="5">
        <f>+$AC456*BI456</f>
        <v>0</v>
      </c>
      <c r="AK456" s="5">
        <f>+$AC456*BJ456</f>
        <v>0</v>
      </c>
      <c r="AL456" s="5">
        <f>+$AC456*BK456</f>
        <v>0</v>
      </c>
      <c r="AM456" s="5">
        <f>+$AC456*BL456</f>
        <v>0</v>
      </c>
      <c r="AN456" s="5">
        <f>+$AC456*BM456</f>
        <v>0</v>
      </c>
      <c r="AO456" s="5">
        <f>+$AC456*BN456</f>
        <v>0</v>
      </c>
      <c r="AP456" s="5">
        <f>+AC456+P456+C456</f>
        <v>0</v>
      </c>
      <c r="AQ456" s="1">
        <v>32.015557904636822</v>
      </c>
      <c r="AR456" s="1">
        <v>38.28760103211642</v>
      </c>
      <c r="AS456" s="1">
        <v>33.884807495192661</v>
      </c>
      <c r="AT456" s="1">
        <v>25.666437833260545</v>
      </c>
      <c r="AU456" s="1">
        <v>37.222446999800241</v>
      </c>
      <c r="AV456" s="1">
        <v>30.503754019646856</v>
      </c>
      <c r="AW456" s="1">
        <v>30.368610359785169</v>
      </c>
      <c r="AX456" s="1">
        <v>20.623108731399768</v>
      </c>
      <c r="AY456" s="1">
        <v>30.569636915088715</v>
      </c>
      <c r="AZ456" s="1">
        <v>26.622224043367236</v>
      </c>
      <c r="BA456" s="1">
        <v>27.182299892642128</v>
      </c>
      <c r="BB456" s="1">
        <v>26.549528123361988</v>
      </c>
      <c r="BC456" s="2">
        <v>8.9181565948742242E-2</v>
      </c>
      <c r="BD456" s="2">
        <v>0.10665277883445198</v>
      </c>
      <c r="BE456" s="2">
        <v>9.438849084854764E-2</v>
      </c>
      <c r="BF456" s="2">
        <v>7.149564986855049E-2</v>
      </c>
      <c r="BG456" s="2">
        <v>0.10368571810536763</v>
      </c>
      <c r="BH456" s="2">
        <v>8.4970330952544637E-2</v>
      </c>
      <c r="BI456" s="2">
        <v>8.4593878877262704E-2</v>
      </c>
      <c r="BJ456" s="2">
        <v>5.7447105462779965E-2</v>
      </c>
      <c r="BK456" s="2">
        <v>8.5153852345557474E-2</v>
      </c>
      <c r="BL456" s="2">
        <v>7.4158058913035174E-2</v>
      </c>
      <c r="BM456" s="2">
        <v>7.5718189192107169E-2</v>
      </c>
      <c r="BN456" s="2">
        <v>7.3955559365675619E-2</v>
      </c>
    </row>
    <row r="457" spans="1:66" x14ac:dyDescent="0.25">
      <c r="A457" s="8">
        <v>1263</v>
      </c>
      <c r="B457" s="8" t="s">
        <v>539</v>
      </c>
      <c r="C457" s="5">
        <v>500</v>
      </c>
      <c r="D457" s="5">
        <f>+$C457*BC457</f>
        <v>44.590782974371123</v>
      </c>
      <c r="E457" s="5">
        <f>+$C457*BD457</f>
        <v>53.32638941722599</v>
      </c>
      <c r="F457" s="5">
        <f>+$C457*BE457</f>
        <v>47.194245424273824</v>
      </c>
      <c r="G457" s="5">
        <f>+$C457*BF457</f>
        <v>35.747824934275243</v>
      </c>
      <c r="H457" s="5">
        <f>+$C457*BG457</f>
        <v>51.842859052683814</v>
      </c>
      <c r="I457" s="5">
        <f>+$C457*BH457</f>
        <v>42.485165476272321</v>
      </c>
      <c r="J457" s="5">
        <f>+$C457*BI457</f>
        <v>42.296939438631355</v>
      </c>
      <c r="K457" s="5">
        <f>+$C457*BJ457</f>
        <v>28.723552731389983</v>
      </c>
      <c r="L457" s="5">
        <f>+$C457*BK457</f>
        <v>42.576926172778734</v>
      </c>
      <c r="M457" s="5">
        <f>+$C457*BL457</f>
        <v>37.079029456517588</v>
      </c>
      <c r="N457" s="5">
        <f>+$C457*BM457</f>
        <v>37.859094596053588</v>
      </c>
      <c r="O457" s="5">
        <f>+$C457*BN457</f>
        <v>36.977779682837813</v>
      </c>
      <c r="P457" s="5">
        <v>0</v>
      </c>
      <c r="Q457" s="5">
        <f>+$P457*BC457</f>
        <v>0</v>
      </c>
      <c r="R457" s="5">
        <f>+$P457*BD457</f>
        <v>0</v>
      </c>
      <c r="S457" s="5">
        <f>+$P457*BE457</f>
        <v>0</v>
      </c>
      <c r="T457" s="5">
        <f>+$P457*BF457</f>
        <v>0</v>
      </c>
      <c r="U457" s="5">
        <f>+$P457*BG457</f>
        <v>0</v>
      </c>
      <c r="V457" s="5">
        <f>+$P457*BH457</f>
        <v>0</v>
      </c>
      <c r="W457" s="5">
        <f>+$P457*BI457</f>
        <v>0</v>
      </c>
      <c r="X457" s="5">
        <f>+$P457*BJ457</f>
        <v>0</v>
      </c>
      <c r="Y457" s="5">
        <f>+$P457*BK457</f>
        <v>0</v>
      </c>
      <c r="Z457" s="5">
        <f>+$P457*BL457</f>
        <v>0</v>
      </c>
      <c r="AA457" s="5">
        <f>+$P457*BM457</f>
        <v>0</v>
      </c>
      <c r="AB457" s="5">
        <f>+$P457*BN457</f>
        <v>0</v>
      </c>
      <c r="AC457" s="5">
        <v>0</v>
      </c>
      <c r="AD457" s="5">
        <f>+$AC457*BC457</f>
        <v>0</v>
      </c>
      <c r="AE457" s="5">
        <f>+$AC457*BD457</f>
        <v>0</v>
      </c>
      <c r="AF457" s="5">
        <f>+$AC457*BE457</f>
        <v>0</v>
      </c>
      <c r="AG457" s="5">
        <f>+$AC457*BF457</f>
        <v>0</v>
      </c>
      <c r="AH457" s="5">
        <f>+$AC457*BG457</f>
        <v>0</v>
      </c>
      <c r="AI457" s="5">
        <f>+$AC457*BH457</f>
        <v>0</v>
      </c>
      <c r="AJ457" s="5">
        <f>+$AC457*BI457</f>
        <v>0</v>
      </c>
      <c r="AK457" s="5">
        <f>+$AC457*BJ457</f>
        <v>0</v>
      </c>
      <c r="AL457" s="5">
        <f>+$AC457*BK457</f>
        <v>0</v>
      </c>
      <c r="AM457" s="5">
        <f>+$AC457*BL457</f>
        <v>0</v>
      </c>
      <c r="AN457" s="5">
        <f>+$AC457*BM457</f>
        <v>0</v>
      </c>
      <c r="AO457" s="5">
        <f>+$AC457*BN457</f>
        <v>0</v>
      </c>
      <c r="AP457" s="5">
        <f>+AC457+P457+C457</f>
        <v>500</v>
      </c>
      <c r="AQ457" s="1">
        <v>31.44096107522908</v>
      </c>
      <c r="AR457" s="1">
        <v>37.600437178086047</v>
      </c>
      <c r="AS457" s="1">
        <v>33.276662448655472</v>
      </c>
      <c r="AT457" s="1">
        <v>25.205791361157477</v>
      </c>
      <c r="AU457" s="1">
        <v>36.554399918047359</v>
      </c>
      <c r="AV457" s="1">
        <v>29.956290177319612</v>
      </c>
      <c r="AW457" s="1">
        <v>29.823571998178966</v>
      </c>
      <c r="AX457" s="1">
        <v>20.252977030903079</v>
      </c>
      <c r="AY457" s="1">
        <v>30.020990644426288</v>
      </c>
      <c r="AZ457" s="1">
        <v>26.144423669790552</v>
      </c>
      <c r="BA457" s="1">
        <v>26.694447599677382</v>
      </c>
      <c r="BB457" s="1">
        <v>26.073032454368942</v>
      </c>
      <c r="BC457" s="2">
        <v>8.9181565948742242E-2</v>
      </c>
      <c r="BD457" s="2">
        <v>0.10665277883445198</v>
      </c>
      <c r="BE457" s="2">
        <v>9.438849084854764E-2</v>
      </c>
      <c r="BF457" s="2">
        <v>7.149564986855049E-2</v>
      </c>
      <c r="BG457" s="2">
        <v>0.10368571810536763</v>
      </c>
      <c r="BH457" s="2">
        <v>8.4970330952544637E-2</v>
      </c>
      <c r="BI457" s="2">
        <v>8.4593878877262704E-2</v>
      </c>
      <c r="BJ457" s="2">
        <v>5.7447105462779965E-2</v>
      </c>
      <c r="BK457" s="2">
        <v>8.5153852345557474E-2</v>
      </c>
      <c r="BL457" s="2">
        <v>7.4158058913035174E-2</v>
      </c>
      <c r="BM457" s="2">
        <v>7.5718189192107169E-2</v>
      </c>
      <c r="BN457" s="2">
        <v>7.3955559365675619E-2</v>
      </c>
    </row>
    <row r="458" spans="1:66" x14ac:dyDescent="0.25">
      <c r="A458" s="8">
        <v>27052</v>
      </c>
      <c r="B458" s="8" t="s">
        <v>538</v>
      </c>
      <c r="C458" s="5">
        <v>324.58800000000002</v>
      </c>
      <c r="D458" s="5">
        <f>+$C458*BC458</f>
        <v>28.947266128170348</v>
      </c>
      <c r="E458" s="5">
        <f>+$C458*BD458</f>
        <v>34.618212176317101</v>
      </c>
      <c r="F458" s="5">
        <f>+$C458*BE458</f>
        <v>30.637371467548384</v>
      </c>
      <c r="G458" s="5">
        <f>+$C458*BF458</f>
        <v>23.206629999533067</v>
      </c>
      <c r="H458" s="5">
        <f>+$C458*BG458</f>
        <v>33.655139868385071</v>
      </c>
      <c r="I458" s="5">
        <f>+$C458*BH458</f>
        <v>27.580349783224559</v>
      </c>
      <c r="J458" s="5">
        <f>+$C458*BI458</f>
        <v>27.458157957012947</v>
      </c>
      <c r="K458" s="5">
        <f>+$C458*BJ458</f>
        <v>18.646641067952824</v>
      </c>
      <c r="L458" s="5">
        <f>+$C458*BK458</f>
        <v>27.63991862513981</v>
      </c>
      <c r="M458" s="5">
        <f>+$C458*BL458</f>
        <v>24.070816026464264</v>
      </c>
      <c r="N458" s="5">
        <f>+$C458*BM458</f>
        <v>24.577215593487683</v>
      </c>
      <c r="O458" s="5">
        <f>+$C458*BN458</f>
        <v>24.005087103385918</v>
      </c>
      <c r="P458" s="5">
        <v>0</v>
      </c>
      <c r="Q458" s="5">
        <f>+$P458*BC458</f>
        <v>0</v>
      </c>
      <c r="R458" s="5">
        <f>+$P458*BD458</f>
        <v>0</v>
      </c>
      <c r="S458" s="5">
        <f>+$P458*BE458</f>
        <v>0</v>
      </c>
      <c r="T458" s="5">
        <f>+$P458*BF458</f>
        <v>0</v>
      </c>
      <c r="U458" s="5">
        <f>+$P458*BG458</f>
        <v>0</v>
      </c>
      <c r="V458" s="5">
        <f>+$P458*BH458</f>
        <v>0</v>
      </c>
      <c r="W458" s="5">
        <f>+$P458*BI458</f>
        <v>0</v>
      </c>
      <c r="X458" s="5">
        <f>+$P458*BJ458</f>
        <v>0</v>
      </c>
      <c r="Y458" s="5">
        <f>+$P458*BK458</f>
        <v>0</v>
      </c>
      <c r="Z458" s="5">
        <f>+$P458*BL458</f>
        <v>0</v>
      </c>
      <c r="AA458" s="5">
        <f>+$P458*BM458</f>
        <v>0</v>
      </c>
      <c r="AB458" s="5">
        <f>+$P458*BN458</f>
        <v>0</v>
      </c>
      <c r="AC458" s="5">
        <v>0</v>
      </c>
      <c r="AD458" s="5">
        <f>+$AC458*BC458</f>
        <v>0</v>
      </c>
      <c r="AE458" s="5">
        <f>+$AC458*BD458</f>
        <v>0</v>
      </c>
      <c r="AF458" s="5">
        <f>+$AC458*BE458</f>
        <v>0</v>
      </c>
      <c r="AG458" s="5">
        <f>+$AC458*BF458</f>
        <v>0</v>
      </c>
      <c r="AH458" s="5">
        <f>+$AC458*BG458</f>
        <v>0</v>
      </c>
      <c r="AI458" s="5">
        <f>+$AC458*BH458</f>
        <v>0</v>
      </c>
      <c r="AJ458" s="5">
        <f>+$AC458*BI458</f>
        <v>0</v>
      </c>
      <c r="AK458" s="5">
        <f>+$AC458*BJ458</f>
        <v>0</v>
      </c>
      <c r="AL458" s="5">
        <f>+$AC458*BK458</f>
        <v>0</v>
      </c>
      <c r="AM458" s="5">
        <f>+$AC458*BL458</f>
        <v>0</v>
      </c>
      <c r="AN458" s="5">
        <f>+$AC458*BM458</f>
        <v>0</v>
      </c>
      <c r="AO458" s="5">
        <f>+$AC458*BN458</f>
        <v>0</v>
      </c>
      <c r="AP458" s="5">
        <f>+AC458+P458+C458</f>
        <v>324.58800000000002</v>
      </c>
      <c r="AQ458" s="1">
        <v>30.286059796192866</v>
      </c>
      <c r="AR458" s="1">
        <v>36.219283692179893</v>
      </c>
      <c r="AS458" s="1">
        <v>32.054331492166781</v>
      </c>
      <c r="AT458" s="1">
        <v>24.279922695359748</v>
      </c>
      <c r="AU458" s="1">
        <v>35.211669868582845</v>
      </c>
      <c r="AV458" s="1">
        <v>28.855924391484162</v>
      </c>
      <c r="AW458" s="1">
        <v>28.728081266718416</v>
      </c>
      <c r="AX458" s="1">
        <v>19.509037015160079</v>
      </c>
      <c r="AY458" s="1">
        <v>28.918248256551319</v>
      </c>
      <c r="AZ458" s="1">
        <v>25.184076806866745</v>
      </c>
      <c r="BA458" s="1">
        <v>25.713897049639595</v>
      </c>
      <c r="BB458" s="1">
        <v>25.115307960583444</v>
      </c>
      <c r="BC458" s="2">
        <v>8.9181565948742242E-2</v>
      </c>
      <c r="BD458" s="2">
        <v>0.10665277883445198</v>
      </c>
      <c r="BE458" s="2">
        <v>9.438849084854764E-2</v>
      </c>
      <c r="BF458" s="2">
        <v>7.149564986855049E-2</v>
      </c>
      <c r="BG458" s="2">
        <v>0.10368571810536763</v>
      </c>
      <c r="BH458" s="2">
        <v>8.4970330952544637E-2</v>
      </c>
      <c r="BI458" s="2">
        <v>8.4593878877262704E-2</v>
      </c>
      <c r="BJ458" s="2">
        <v>5.7447105462779965E-2</v>
      </c>
      <c r="BK458" s="2">
        <v>8.5153852345557474E-2</v>
      </c>
      <c r="BL458" s="2">
        <v>7.4158058913035174E-2</v>
      </c>
      <c r="BM458" s="2">
        <v>7.5718189192107169E-2</v>
      </c>
      <c r="BN458" s="2">
        <v>7.3955559365675619E-2</v>
      </c>
    </row>
    <row r="459" spans="1:66" x14ac:dyDescent="0.25">
      <c r="A459" s="8">
        <v>1311</v>
      </c>
      <c r="B459" s="8" t="s">
        <v>537</v>
      </c>
      <c r="C459" s="5">
        <v>250</v>
      </c>
      <c r="D459" s="5">
        <f>+$C459*BC459</f>
        <v>22.295391487185562</v>
      </c>
      <c r="E459" s="5">
        <f>+$C459*BD459</f>
        <v>26.663194708612995</v>
      </c>
      <c r="F459" s="5">
        <f>+$C459*BE459</f>
        <v>23.597122712136912</v>
      </c>
      <c r="G459" s="5">
        <f>+$C459*BF459</f>
        <v>17.873912467137622</v>
      </c>
      <c r="H459" s="5">
        <f>+$C459*BG459</f>
        <v>25.921429526341907</v>
      </c>
      <c r="I459" s="5">
        <f>+$C459*BH459</f>
        <v>21.242582738136161</v>
      </c>
      <c r="J459" s="5">
        <f>+$C459*BI459</f>
        <v>21.148469719315678</v>
      </c>
      <c r="K459" s="5">
        <f>+$C459*BJ459</f>
        <v>14.361776365694991</v>
      </c>
      <c r="L459" s="5">
        <f>+$C459*BK459</f>
        <v>21.288463086389367</v>
      </c>
      <c r="M459" s="5">
        <f>+$C459*BL459</f>
        <v>18.539514728258794</v>
      </c>
      <c r="N459" s="5">
        <f>+$C459*BM459</f>
        <v>18.929547298026794</v>
      </c>
      <c r="O459" s="5">
        <f>+$C459*BN459</f>
        <v>18.488889841418906</v>
      </c>
      <c r="P459" s="5">
        <v>0</v>
      </c>
      <c r="Q459" s="5">
        <f>+$P459*BC459</f>
        <v>0</v>
      </c>
      <c r="R459" s="5">
        <f>+$P459*BD459</f>
        <v>0</v>
      </c>
      <c r="S459" s="5">
        <f>+$P459*BE459</f>
        <v>0</v>
      </c>
      <c r="T459" s="5">
        <f>+$P459*BF459</f>
        <v>0</v>
      </c>
      <c r="U459" s="5">
        <f>+$P459*BG459</f>
        <v>0</v>
      </c>
      <c r="V459" s="5">
        <f>+$P459*BH459</f>
        <v>0</v>
      </c>
      <c r="W459" s="5">
        <f>+$P459*BI459</f>
        <v>0</v>
      </c>
      <c r="X459" s="5">
        <f>+$P459*BJ459</f>
        <v>0</v>
      </c>
      <c r="Y459" s="5">
        <f>+$P459*BK459</f>
        <v>0</v>
      </c>
      <c r="Z459" s="5">
        <f>+$P459*BL459</f>
        <v>0</v>
      </c>
      <c r="AA459" s="5">
        <f>+$P459*BM459</f>
        <v>0</v>
      </c>
      <c r="AB459" s="5">
        <f>+$P459*BN459</f>
        <v>0</v>
      </c>
      <c r="AC459" s="5">
        <v>0</v>
      </c>
      <c r="AD459" s="5">
        <f>+$AC459*BC459</f>
        <v>0</v>
      </c>
      <c r="AE459" s="5">
        <f>+$AC459*BD459</f>
        <v>0</v>
      </c>
      <c r="AF459" s="5">
        <f>+$AC459*BE459</f>
        <v>0</v>
      </c>
      <c r="AG459" s="5">
        <f>+$AC459*BF459</f>
        <v>0</v>
      </c>
      <c r="AH459" s="5">
        <f>+$AC459*BG459</f>
        <v>0</v>
      </c>
      <c r="AI459" s="5">
        <f>+$AC459*BH459</f>
        <v>0</v>
      </c>
      <c r="AJ459" s="5">
        <f>+$AC459*BI459</f>
        <v>0</v>
      </c>
      <c r="AK459" s="5">
        <f>+$AC459*BJ459</f>
        <v>0</v>
      </c>
      <c r="AL459" s="5">
        <f>+$AC459*BK459</f>
        <v>0</v>
      </c>
      <c r="AM459" s="5">
        <f>+$AC459*BL459</f>
        <v>0</v>
      </c>
      <c r="AN459" s="5">
        <f>+$AC459*BM459</f>
        <v>0</v>
      </c>
      <c r="AO459" s="5">
        <f>+$AC459*BN459</f>
        <v>0</v>
      </c>
      <c r="AP459" s="5">
        <f>+AC459+P459+C459</f>
        <v>250</v>
      </c>
      <c r="AQ459" s="1">
        <v>44.760941402201325</v>
      </c>
      <c r="AR459" s="1">
        <v>53.529882919242127</v>
      </c>
      <c r="AS459" s="1">
        <v>47.374338664812853</v>
      </c>
      <c r="AT459" s="1">
        <v>35.884238634224438</v>
      </c>
      <c r="AU459" s="1">
        <v>52.040691402828855</v>
      </c>
      <c r="AV459" s="1">
        <v>42.647288867729777</v>
      </c>
      <c r="AW459" s="1">
        <v>42.458344559529174</v>
      </c>
      <c r="AX459" s="1">
        <v>28.833161808612967</v>
      </c>
      <c r="AY459" s="1">
        <v>42.739399723054063</v>
      </c>
      <c r="AZ459" s="1">
        <v>37.220523032923658</v>
      </c>
      <c r="BA459" s="1">
        <v>38.003564901032128</v>
      </c>
      <c r="BB459" s="1">
        <v>37.118886890107518</v>
      </c>
      <c r="BC459" s="2">
        <v>8.9181565948742242E-2</v>
      </c>
      <c r="BD459" s="2">
        <v>0.10665277883445198</v>
      </c>
      <c r="BE459" s="2">
        <v>9.438849084854764E-2</v>
      </c>
      <c r="BF459" s="2">
        <v>7.149564986855049E-2</v>
      </c>
      <c r="BG459" s="2">
        <v>0.10368571810536763</v>
      </c>
      <c r="BH459" s="2">
        <v>8.4970330952544637E-2</v>
      </c>
      <c r="BI459" s="2">
        <v>8.4593878877262704E-2</v>
      </c>
      <c r="BJ459" s="2">
        <v>5.7447105462779965E-2</v>
      </c>
      <c r="BK459" s="2">
        <v>8.5153852345557474E-2</v>
      </c>
      <c r="BL459" s="2">
        <v>7.4158058913035174E-2</v>
      </c>
      <c r="BM459" s="2">
        <v>7.5718189192107169E-2</v>
      </c>
      <c r="BN459" s="2">
        <v>7.3955559365675619E-2</v>
      </c>
    </row>
    <row r="460" spans="1:66" x14ac:dyDescent="0.25">
      <c r="A460" s="8">
        <v>1927</v>
      </c>
      <c r="B460" s="8" t="s">
        <v>536</v>
      </c>
      <c r="C460" s="5">
        <v>0</v>
      </c>
      <c r="D460" s="5">
        <f>+$C460*BC460</f>
        <v>0</v>
      </c>
      <c r="E460" s="5">
        <f>+$C460*BD460</f>
        <v>0</v>
      </c>
      <c r="F460" s="5">
        <f>+$C460*BE460</f>
        <v>0</v>
      </c>
      <c r="G460" s="5">
        <f>+$C460*BF460</f>
        <v>0</v>
      </c>
      <c r="H460" s="5">
        <f>+$C460*BG460</f>
        <v>0</v>
      </c>
      <c r="I460" s="5">
        <f>+$C460*BH460</f>
        <v>0</v>
      </c>
      <c r="J460" s="5">
        <f>+$C460*BI460</f>
        <v>0</v>
      </c>
      <c r="K460" s="5">
        <f>+$C460*BJ460</f>
        <v>0</v>
      </c>
      <c r="L460" s="5">
        <f>+$C460*BK460</f>
        <v>0</v>
      </c>
      <c r="M460" s="5">
        <f>+$C460*BL460</f>
        <v>0</v>
      </c>
      <c r="N460" s="5">
        <f>+$C460*BM460</f>
        <v>0</v>
      </c>
      <c r="O460" s="5">
        <f>+$C460*BN460</f>
        <v>0</v>
      </c>
      <c r="P460" s="5">
        <v>0</v>
      </c>
      <c r="Q460" s="5">
        <f>+$P460*BC460</f>
        <v>0</v>
      </c>
      <c r="R460" s="5">
        <f>+$P460*BD460</f>
        <v>0</v>
      </c>
      <c r="S460" s="5">
        <f>+$P460*BE460</f>
        <v>0</v>
      </c>
      <c r="T460" s="5">
        <f>+$P460*BF460</f>
        <v>0</v>
      </c>
      <c r="U460" s="5">
        <f>+$P460*BG460</f>
        <v>0</v>
      </c>
      <c r="V460" s="5">
        <f>+$P460*BH460</f>
        <v>0</v>
      </c>
      <c r="W460" s="5">
        <f>+$P460*BI460</f>
        <v>0</v>
      </c>
      <c r="X460" s="5">
        <f>+$P460*BJ460</f>
        <v>0</v>
      </c>
      <c r="Y460" s="5">
        <f>+$P460*BK460</f>
        <v>0</v>
      </c>
      <c r="Z460" s="5">
        <f>+$P460*BL460</f>
        <v>0</v>
      </c>
      <c r="AA460" s="5">
        <f>+$P460*BM460</f>
        <v>0</v>
      </c>
      <c r="AB460" s="5">
        <f>+$P460*BN460</f>
        <v>0</v>
      </c>
      <c r="AC460" s="5">
        <v>0</v>
      </c>
      <c r="AD460" s="5">
        <f>+$AC460*BC460</f>
        <v>0</v>
      </c>
      <c r="AE460" s="5">
        <f>+$AC460*BD460</f>
        <v>0</v>
      </c>
      <c r="AF460" s="5">
        <f>+$AC460*BE460</f>
        <v>0</v>
      </c>
      <c r="AG460" s="5">
        <f>+$AC460*BF460</f>
        <v>0</v>
      </c>
      <c r="AH460" s="5">
        <f>+$AC460*BG460</f>
        <v>0</v>
      </c>
      <c r="AI460" s="5">
        <f>+$AC460*BH460</f>
        <v>0</v>
      </c>
      <c r="AJ460" s="5">
        <f>+$AC460*BI460</f>
        <v>0</v>
      </c>
      <c r="AK460" s="5">
        <f>+$AC460*BJ460</f>
        <v>0</v>
      </c>
      <c r="AL460" s="5">
        <f>+$AC460*BK460</f>
        <v>0</v>
      </c>
      <c r="AM460" s="5">
        <f>+$AC460*BL460</f>
        <v>0</v>
      </c>
      <c r="AN460" s="5">
        <f>+$AC460*BM460</f>
        <v>0</v>
      </c>
      <c r="AO460" s="5">
        <f>+$AC460*BN460</f>
        <v>0</v>
      </c>
      <c r="AP460" s="5">
        <f>+AC460+P460+C460</f>
        <v>0</v>
      </c>
      <c r="AQ460" s="1">
        <v>28.57823280827445</v>
      </c>
      <c r="AR460" s="1">
        <v>34.176882977500135</v>
      </c>
      <c r="AS460" s="1">
        <v>30.24679189241709</v>
      </c>
      <c r="AT460" s="1">
        <v>22.910781000377003</v>
      </c>
      <c r="AU460" s="1">
        <v>33.226088366865056</v>
      </c>
      <c r="AV460" s="1">
        <v>27.228742553742929</v>
      </c>
      <c r="AW460" s="1">
        <v>27.108108486218832</v>
      </c>
      <c r="AX460" s="1">
        <v>18.408924945547838</v>
      </c>
      <c r="AY460" s="1">
        <v>27.287551984133891</v>
      </c>
      <c r="AZ460" s="1">
        <v>23.76394997868212</v>
      </c>
      <c r="BA460" s="1">
        <v>24.263893726610743</v>
      </c>
      <c r="BB460" s="1">
        <v>23.699058998730752</v>
      </c>
      <c r="BC460" s="2">
        <v>8.9181565948742242E-2</v>
      </c>
      <c r="BD460" s="2">
        <v>0.10665277883445198</v>
      </c>
      <c r="BE460" s="2">
        <v>9.438849084854764E-2</v>
      </c>
      <c r="BF460" s="2">
        <v>7.149564986855049E-2</v>
      </c>
      <c r="BG460" s="2">
        <v>0.10368571810536763</v>
      </c>
      <c r="BH460" s="2">
        <v>8.4970330952544637E-2</v>
      </c>
      <c r="BI460" s="2">
        <v>8.4593878877262704E-2</v>
      </c>
      <c r="BJ460" s="2">
        <v>5.7447105462779965E-2</v>
      </c>
      <c r="BK460" s="2">
        <v>8.5153852345557474E-2</v>
      </c>
      <c r="BL460" s="2">
        <v>7.4158058913035174E-2</v>
      </c>
      <c r="BM460" s="2">
        <v>7.5718189192107169E-2</v>
      </c>
      <c r="BN460" s="2">
        <v>7.3955559365675619E-2</v>
      </c>
    </row>
    <row r="461" spans="1:66" x14ac:dyDescent="0.25">
      <c r="A461" s="8">
        <v>6511</v>
      </c>
      <c r="B461" s="8" t="s">
        <v>535</v>
      </c>
      <c r="C461" s="5">
        <v>300</v>
      </c>
      <c r="D461" s="5">
        <f>+$C461*BC461</f>
        <v>26.754469784622671</v>
      </c>
      <c r="E461" s="5">
        <f>+$C461*BD461</f>
        <v>31.995833650335594</v>
      </c>
      <c r="F461" s="5">
        <f>+$C461*BE461</f>
        <v>28.316547254564291</v>
      </c>
      <c r="G461" s="5">
        <f>+$C461*BF461</f>
        <v>21.448694960565145</v>
      </c>
      <c r="H461" s="5">
        <f>+$C461*BG461</f>
        <v>31.105715431610289</v>
      </c>
      <c r="I461" s="5">
        <f>+$C461*BH461</f>
        <v>25.49109928576339</v>
      </c>
      <c r="J461" s="5">
        <f>+$C461*BI461</f>
        <v>25.37816366317881</v>
      </c>
      <c r="K461" s="5">
        <f>+$C461*BJ461</f>
        <v>17.23413163883399</v>
      </c>
      <c r="L461" s="5">
        <f>+$C461*BK461</f>
        <v>25.546155703667242</v>
      </c>
      <c r="M461" s="5">
        <f>+$C461*BL461</f>
        <v>22.247417673910551</v>
      </c>
      <c r="N461" s="5">
        <f>+$C461*BM461</f>
        <v>22.71545675763215</v>
      </c>
      <c r="O461" s="5">
        <f>+$C461*BN461</f>
        <v>22.186667809702687</v>
      </c>
      <c r="P461" s="5">
        <v>0</v>
      </c>
      <c r="Q461" s="5">
        <f>+$P461*BC461</f>
        <v>0</v>
      </c>
      <c r="R461" s="5">
        <f>+$P461*BD461</f>
        <v>0</v>
      </c>
      <c r="S461" s="5">
        <f>+$P461*BE461</f>
        <v>0</v>
      </c>
      <c r="T461" s="5">
        <f>+$P461*BF461</f>
        <v>0</v>
      </c>
      <c r="U461" s="5">
        <f>+$P461*BG461</f>
        <v>0</v>
      </c>
      <c r="V461" s="5">
        <f>+$P461*BH461</f>
        <v>0</v>
      </c>
      <c r="W461" s="5">
        <f>+$P461*BI461</f>
        <v>0</v>
      </c>
      <c r="X461" s="5">
        <f>+$P461*BJ461</f>
        <v>0</v>
      </c>
      <c r="Y461" s="5">
        <f>+$P461*BK461</f>
        <v>0</v>
      </c>
      <c r="Z461" s="5">
        <f>+$P461*BL461</f>
        <v>0</v>
      </c>
      <c r="AA461" s="5">
        <f>+$P461*BM461</f>
        <v>0</v>
      </c>
      <c r="AB461" s="5">
        <f>+$P461*BN461</f>
        <v>0</v>
      </c>
      <c r="AC461" s="5">
        <v>0</v>
      </c>
      <c r="AD461" s="5">
        <f>+$AC461*BC461</f>
        <v>0</v>
      </c>
      <c r="AE461" s="5">
        <f>+$AC461*BD461</f>
        <v>0</v>
      </c>
      <c r="AF461" s="5">
        <f>+$AC461*BE461</f>
        <v>0</v>
      </c>
      <c r="AG461" s="5">
        <f>+$AC461*BF461</f>
        <v>0</v>
      </c>
      <c r="AH461" s="5">
        <f>+$AC461*BG461</f>
        <v>0</v>
      </c>
      <c r="AI461" s="5">
        <f>+$AC461*BH461</f>
        <v>0</v>
      </c>
      <c r="AJ461" s="5">
        <f>+$AC461*BI461</f>
        <v>0</v>
      </c>
      <c r="AK461" s="5">
        <f>+$AC461*BJ461</f>
        <v>0</v>
      </c>
      <c r="AL461" s="5">
        <f>+$AC461*BK461</f>
        <v>0</v>
      </c>
      <c r="AM461" s="5">
        <f>+$AC461*BL461</f>
        <v>0</v>
      </c>
      <c r="AN461" s="5">
        <f>+$AC461*BM461</f>
        <v>0</v>
      </c>
      <c r="AO461" s="5">
        <f>+$AC461*BN461</f>
        <v>0</v>
      </c>
      <c r="AP461" s="5">
        <f>+AC461+P461+C461</f>
        <v>300</v>
      </c>
      <c r="AQ461" s="1">
        <v>65.996320796520124</v>
      </c>
      <c r="AR461" s="1">
        <v>78.925402698628815</v>
      </c>
      <c r="AS461" s="1">
        <v>69.849559774723915</v>
      </c>
      <c r="AT461" s="1">
        <v>52.908353807024469</v>
      </c>
      <c r="AU461" s="1">
        <v>76.729712483770356</v>
      </c>
      <c r="AV461" s="1">
        <v>62.879914252163985</v>
      </c>
      <c r="AW461" s="1">
        <v>62.601331434509696</v>
      </c>
      <c r="AX461" s="1">
        <v>42.51212187877735</v>
      </c>
      <c r="AY461" s="1">
        <v>63.015724120464128</v>
      </c>
      <c r="AZ461" s="1">
        <v>54.878595072942112</v>
      </c>
      <c r="BA461" s="1">
        <v>56.033125802321528</v>
      </c>
      <c r="BB461" s="1">
        <v>54.728740952906001</v>
      </c>
      <c r="BC461" s="2">
        <v>8.9181565948742242E-2</v>
      </c>
      <c r="BD461" s="2">
        <v>0.10665277883445198</v>
      </c>
      <c r="BE461" s="2">
        <v>9.438849084854764E-2</v>
      </c>
      <c r="BF461" s="2">
        <v>7.149564986855049E-2</v>
      </c>
      <c r="BG461" s="2">
        <v>0.10368571810536763</v>
      </c>
      <c r="BH461" s="2">
        <v>8.4970330952544637E-2</v>
      </c>
      <c r="BI461" s="2">
        <v>8.4593878877262704E-2</v>
      </c>
      <c r="BJ461" s="2">
        <v>5.7447105462779965E-2</v>
      </c>
      <c r="BK461" s="2">
        <v>8.5153852345557474E-2</v>
      </c>
      <c r="BL461" s="2">
        <v>7.4158058913035174E-2</v>
      </c>
      <c r="BM461" s="2">
        <v>7.5718189192107169E-2</v>
      </c>
      <c r="BN461" s="2">
        <v>7.3955559365675619E-2</v>
      </c>
    </row>
    <row r="462" spans="1:66" x14ac:dyDescent="0.25">
      <c r="A462" s="8">
        <v>6536</v>
      </c>
      <c r="B462" s="8" t="s">
        <v>534</v>
      </c>
      <c r="C462" s="5">
        <v>0</v>
      </c>
      <c r="D462" s="5">
        <f>+$C462*BC462</f>
        <v>0</v>
      </c>
      <c r="E462" s="5">
        <f>+$C462*BD462</f>
        <v>0</v>
      </c>
      <c r="F462" s="5">
        <f>+$C462*BE462</f>
        <v>0</v>
      </c>
      <c r="G462" s="5">
        <f>+$C462*BF462</f>
        <v>0</v>
      </c>
      <c r="H462" s="5">
        <f>+$C462*BG462</f>
        <v>0</v>
      </c>
      <c r="I462" s="5">
        <f>+$C462*BH462</f>
        <v>0</v>
      </c>
      <c r="J462" s="5">
        <f>+$C462*BI462</f>
        <v>0</v>
      </c>
      <c r="K462" s="5">
        <f>+$C462*BJ462</f>
        <v>0</v>
      </c>
      <c r="L462" s="5">
        <f>+$C462*BK462</f>
        <v>0</v>
      </c>
      <c r="M462" s="5">
        <f>+$C462*BL462</f>
        <v>0</v>
      </c>
      <c r="N462" s="5">
        <f>+$C462*BM462</f>
        <v>0</v>
      </c>
      <c r="O462" s="5">
        <f>+$C462*BN462</f>
        <v>0</v>
      </c>
      <c r="P462" s="5">
        <v>0</v>
      </c>
      <c r="Q462" s="5">
        <f>+$P462*BC462</f>
        <v>0</v>
      </c>
      <c r="R462" s="5">
        <f>+$P462*BD462</f>
        <v>0</v>
      </c>
      <c r="S462" s="5">
        <f>+$P462*BE462</f>
        <v>0</v>
      </c>
      <c r="T462" s="5">
        <f>+$P462*BF462</f>
        <v>0</v>
      </c>
      <c r="U462" s="5">
        <f>+$P462*BG462</f>
        <v>0</v>
      </c>
      <c r="V462" s="5">
        <f>+$P462*BH462</f>
        <v>0</v>
      </c>
      <c r="W462" s="5">
        <f>+$P462*BI462</f>
        <v>0</v>
      </c>
      <c r="X462" s="5">
        <f>+$P462*BJ462</f>
        <v>0</v>
      </c>
      <c r="Y462" s="5">
        <f>+$P462*BK462</f>
        <v>0</v>
      </c>
      <c r="Z462" s="5">
        <f>+$P462*BL462</f>
        <v>0</v>
      </c>
      <c r="AA462" s="5">
        <f>+$P462*BM462</f>
        <v>0</v>
      </c>
      <c r="AB462" s="5">
        <f>+$P462*BN462</f>
        <v>0</v>
      </c>
      <c r="AC462" s="5">
        <v>0</v>
      </c>
      <c r="AD462" s="5">
        <f>+$AC462*BC462</f>
        <v>0</v>
      </c>
      <c r="AE462" s="5">
        <f>+$AC462*BD462</f>
        <v>0</v>
      </c>
      <c r="AF462" s="5">
        <f>+$AC462*BE462</f>
        <v>0</v>
      </c>
      <c r="AG462" s="5">
        <f>+$AC462*BF462</f>
        <v>0</v>
      </c>
      <c r="AH462" s="5">
        <f>+$AC462*BG462</f>
        <v>0</v>
      </c>
      <c r="AI462" s="5">
        <f>+$AC462*BH462</f>
        <v>0</v>
      </c>
      <c r="AJ462" s="5">
        <f>+$AC462*BI462</f>
        <v>0</v>
      </c>
      <c r="AK462" s="5">
        <f>+$AC462*BJ462</f>
        <v>0</v>
      </c>
      <c r="AL462" s="5">
        <f>+$AC462*BK462</f>
        <v>0</v>
      </c>
      <c r="AM462" s="5">
        <f>+$AC462*BL462</f>
        <v>0</v>
      </c>
      <c r="AN462" s="5">
        <f>+$AC462*BM462</f>
        <v>0</v>
      </c>
      <c r="AO462" s="5">
        <f>+$AC462*BN462</f>
        <v>0</v>
      </c>
      <c r="AP462" s="5">
        <f>+AC462+P462+C462</f>
        <v>0</v>
      </c>
      <c r="AQ462" s="1">
        <v>26.754469784622671</v>
      </c>
      <c r="AR462" s="1">
        <v>31.995833650335594</v>
      </c>
      <c r="AS462" s="1">
        <v>28.316547254564291</v>
      </c>
      <c r="AT462" s="1">
        <v>21.448694960565145</v>
      </c>
      <c r="AU462" s="1">
        <v>31.105715431610289</v>
      </c>
      <c r="AV462" s="1">
        <v>25.49109928576339</v>
      </c>
      <c r="AW462" s="1">
        <v>25.37816366317881</v>
      </c>
      <c r="AX462" s="1">
        <v>17.23413163883399</v>
      </c>
      <c r="AY462" s="1">
        <v>25.546155703667242</v>
      </c>
      <c r="AZ462" s="1">
        <v>22.247417673910551</v>
      </c>
      <c r="BA462" s="1">
        <v>22.71545675763215</v>
      </c>
      <c r="BB462" s="1">
        <v>22.186667809702687</v>
      </c>
      <c r="BC462" s="2">
        <v>8.9181565948742242E-2</v>
      </c>
      <c r="BD462" s="2">
        <v>0.10665277883445198</v>
      </c>
      <c r="BE462" s="2">
        <v>9.438849084854764E-2</v>
      </c>
      <c r="BF462" s="2">
        <v>7.149564986855049E-2</v>
      </c>
      <c r="BG462" s="2">
        <v>0.10368571810536763</v>
      </c>
      <c r="BH462" s="2">
        <v>8.4970330952544637E-2</v>
      </c>
      <c r="BI462" s="2">
        <v>8.4593878877262704E-2</v>
      </c>
      <c r="BJ462" s="2">
        <v>5.7447105462779965E-2</v>
      </c>
      <c r="BK462" s="2">
        <v>8.5153852345557474E-2</v>
      </c>
      <c r="BL462" s="2">
        <v>7.4158058913035174E-2</v>
      </c>
      <c r="BM462" s="2">
        <v>7.5718189192107169E-2</v>
      </c>
      <c r="BN462" s="2">
        <v>7.3955559365675619E-2</v>
      </c>
    </row>
    <row r="463" spans="1:66" x14ac:dyDescent="0.25">
      <c r="A463" s="8">
        <v>23901</v>
      </c>
      <c r="B463" s="8" t="s">
        <v>533</v>
      </c>
      <c r="C463" s="5">
        <v>0</v>
      </c>
      <c r="D463" s="5">
        <f>+$C463*BC463</f>
        <v>0</v>
      </c>
      <c r="E463" s="5">
        <f>+$C463*BD463</f>
        <v>0</v>
      </c>
      <c r="F463" s="5">
        <f>+$C463*BE463</f>
        <v>0</v>
      </c>
      <c r="G463" s="5">
        <f>+$C463*BF463</f>
        <v>0</v>
      </c>
      <c r="H463" s="5">
        <f>+$C463*BG463</f>
        <v>0</v>
      </c>
      <c r="I463" s="5">
        <f>+$C463*BH463</f>
        <v>0</v>
      </c>
      <c r="J463" s="5">
        <f>+$C463*BI463</f>
        <v>0</v>
      </c>
      <c r="K463" s="5">
        <f>+$C463*BJ463</f>
        <v>0</v>
      </c>
      <c r="L463" s="5">
        <f>+$C463*BK463</f>
        <v>0</v>
      </c>
      <c r="M463" s="5">
        <f>+$C463*BL463</f>
        <v>0</v>
      </c>
      <c r="N463" s="5">
        <f>+$C463*BM463</f>
        <v>0</v>
      </c>
      <c r="O463" s="5">
        <f>+$C463*BN463</f>
        <v>0</v>
      </c>
      <c r="P463" s="5">
        <v>0</v>
      </c>
      <c r="Q463" s="5">
        <f>+$P463*BC463</f>
        <v>0</v>
      </c>
      <c r="R463" s="5">
        <f>+$P463*BD463</f>
        <v>0</v>
      </c>
      <c r="S463" s="5">
        <f>+$P463*BE463</f>
        <v>0</v>
      </c>
      <c r="T463" s="5">
        <f>+$P463*BF463</f>
        <v>0</v>
      </c>
      <c r="U463" s="5">
        <f>+$P463*BG463</f>
        <v>0</v>
      </c>
      <c r="V463" s="5">
        <f>+$P463*BH463</f>
        <v>0</v>
      </c>
      <c r="W463" s="5">
        <f>+$P463*BI463</f>
        <v>0</v>
      </c>
      <c r="X463" s="5">
        <f>+$P463*BJ463</f>
        <v>0</v>
      </c>
      <c r="Y463" s="5">
        <f>+$P463*BK463</f>
        <v>0</v>
      </c>
      <c r="Z463" s="5">
        <f>+$P463*BL463</f>
        <v>0</v>
      </c>
      <c r="AA463" s="5">
        <f>+$P463*BM463</f>
        <v>0</v>
      </c>
      <c r="AB463" s="5">
        <f>+$P463*BN463</f>
        <v>0</v>
      </c>
      <c r="AC463" s="5">
        <v>0</v>
      </c>
      <c r="AD463" s="5">
        <f>+$AC463*BC463</f>
        <v>0</v>
      </c>
      <c r="AE463" s="5">
        <f>+$AC463*BD463</f>
        <v>0</v>
      </c>
      <c r="AF463" s="5">
        <f>+$AC463*BE463</f>
        <v>0</v>
      </c>
      <c r="AG463" s="5">
        <f>+$AC463*BF463</f>
        <v>0</v>
      </c>
      <c r="AH463" s="5">
        <f>+$AC463*BG463</f>
        <v>0</v>
      </c>
      <c r="AI463" s="5">
        <f>+$AC463*BH463</f>
        <v>0</v>
      </c>
      <c r="AJ463" s="5">
        <f>+$AC463*BI463</f>
        <v>0</v>
      </c>
      <c r="AK463" s="5">
        <f>+$AC463*BJ463</f>
        <v>0</v>
      </c>
      <c r="AL463" s="5">
        <f>+$AC463*BK463</f>
        <v>0</v>
      </c>
      <c r="AM463" s="5">
        <f>+$AC463*BL463</f>
        <v>0</v>
      </c>
      <c r="AN463" s="5">
        <f>+$AC463*BM463</f>
        <v>0</v>
      </c>
      <c r="AO463" s="5">
        <f>+$AC463*BN463</f>
        <v>0</v>
      </c>
      <c r="AP463" s="5">
        <f>+AC463+P463+C463</f>
        <v>0</v>
      </c>
      <c r="AQ463" s="1">
        <v>26.754469784622671</v>
      </c>
      <c r="AR463" s="1">
        <v>31.995833650335594</v>
      </c>
      <c r="AS463" s="1">
        <v>28.316547254564291</v>
      </c>
      <c r="AT463" s="1">
        <v>21.448694960565145</v>
      </c>
      <c r="AU463" s="1">
        <v>31.105715431610289</v>
      </c>
      <c r="AV463" s="1">
        <v>25.49109928576339</v>
      </c>
      <c r="AW463" s="1">
        <v>25.37816366317881</v>
      </c>
      <c r="AX463" s="1">
        <v>17.23413163883399</v>
      </c>
      <c r="AY463" s="1">
        <v>25.546155703667242</v>
      </c>
      <c r="AZ463" s="1">
        <v>22.247417673910551</v>
      </c>
      <c r="BA463" s="1">
        <v>22.71545675763215</v>
      </c>
      <c r="BB463" s="1">
        <v>22.186667809702687</v>
      </c>
      <c r="BC463" s="2">
        <v>8.9181565948742242E-2</v>
      </c>
      <c r="BD463" s="2">
        <v>0.10665277883445198</v>
      </c>
      <c r="BE463" s="2">
        <v>9.438849084854764E-2</v>
      </c>
      <c r="BF463" s="2">
        <v>7.149564986855049E-2</v>
      </c>
      <c r="BG463" s="2">
        <v>0.10368571810536763</v>
      </c>
      <c r="BH463" s="2">
        <v>8.4970330952544637E-2</v>
      </c>
      <c r="BI463" s="2">
        <v>8.4593878877262704E-2</v>
      </c>
      <c r="BJ463" s="2">
        <v>5.7447105462779965E-2</v>
      </c>
      <c r="BK463" s="2">
        <v>8.5153852345557474E-2</v>
      </c>
      <c r="BL463" s="2">
        <v>7.4158058913035174E-2</v>
      </c>
      <c r="BM463" s="2">
        <v>7.5718189192107169E-2</v>
      </c>
      <c r="BN463" s="2">
        <v>7.3955559365675619E-2</v>
      </c>
    </row>
    <row r="464" spans="1:66" x14ac:dyDescent="0.25">
      <c r="A464" s="8">
        <v>6677</v>
      </c>
      <c r="B464" s="8" t="s">
        <v>532</v>
      </c>
      <c r="C464" s="5">
        <v>0</v>
      </c>
      <c r="D464" s="5">
        <f>+$C464*BC464</f>
        <v>0</v>
      </c>
      <c r="E464" s="5">
        <f>+$C464*BD464</f>
        <v>0</v>
      </c>
      <c r="F464" s="5">
        <f>+$C464*BE464</f>
        <v>0</v>
      </c>
      <c r="G464" s="5">
        <f>+$C464*BF464</f>
        <v>0</v>
      </c>
      <c r="H464" s="5">
        <f>+$C464*BG464</f>
        <v>0</v>
      </c>
      <c r="I464" s="5">
        <f>+$C464*BH464</f>
        <v>0</v>
      </c>
      <c r="J464" s="5">
        <f>+$C464*BI464</f>
        <v>0</v>
      </c>
      <c r="K464" s="5">
        <f>+$C464*BJ464</f>
        <v>0</v>
      </c>
      <c r="L464" s="5">
        <f>+$C464*BK464</f>
        <v>0</v>
      </c>
      <c r="M464" s="5">
        <f>+$C464*BL464</f>
        <v>0</v>
      </c>
      <c r="N464" s="5">
        <f>+$C464*BM464</f>
        <v>0</v>
      </c>
      <c r="O464" s="5">
        <f>+$C464*BN464</f>
        <v>0</v>
      </c>
      <c r="P464" s="5">
        <v>0</v>
      </c>
      <c r="Q464" s="5">
        <f>+$P464*BC464</f>
        <v>0</v>
      </c>
      <c r="R464" s="5">
        <f>+$P464*BD464</f>
        <v>0</v>
      </c>
      <c r="S464" s="5">
        <f>+$P464*BE464</f>
        <v>0</v>
      </c>
      <c r="T464" s="5">
        <f>+$P464*BF464</f>
        <v>0</v>
      </c>
      <c r="U464" s="5">
        <f>+$P464*BG464</f>
        <v>0</v>
      </c>
      <c r="V464" s="5">
        <f>+$P464*BH464</f>
        <v>0</v>
      </c>
      <c r="W464" s="5">
        <f>+$P464*BI464</f>
        <v>0</v>
      </c>
      <c r="X464" s="5">
        <f>+$P464*BJ464</f>
        <v>0</v>
      </c>
      <c r="Y464" s="5">
        <f>+$P464*BK464</f>
        <v>0</v>
      </c>
      <c r="Z464" s="5">
        <f>+$P464*BL464</f>
        <v>0</v>
      </c>
      <c r="AA464" s="5">
        <f>+$P464*BM464</f>
        <v>0</v>
      </c>
      <c r="AB464" s="5">
        <f>+$P464*BN464</f>
        <v>0</v>
      </c>
      <c r="AC464" s="5">
        <v>0</v>
      </c>
      <c r="AD464" s="5">
        <f>+$AC464*BC464</f>
        <v>0</v>
      </c>
      <c r="AE464" s="5">
        <f>+$AC464*BD464</f>
        <v>0</v>
      </c>
      <c r="AF464" s="5">
        <f>+$AC464*BE464</f>
        <v>0</v>
      </c>
      <c r="AG464" s="5">
        <f>+$AC464*BF464</f>
        <v>0</v>
      </c>
      <c r="AH464" s="5">
        <f>+$AC464*BG464</f>
        <v>0</v>
      </c>
      <c r="AI464" s="5">
        <f>+$AC464*BH464</f>
        <v>0</v>
      </c>
      <c r="AJ464" s="5">
        <f>+$AC464*BI464</f>
        <v>0</v>
      </c>
      <c r="AK464" s="5">
        <f>+$AC464*BJ464</f>
        <v>0</v>
      </c>
      <c r="AL464" s="5">
        <f>+$AC464*BK464</f>
        <v>0</v>
      </c>
      <c r="AM464" s="5">
        <f>+$AC464*BL464</f>
        <v>0</v>
      </c>
      <c r="AN464" s="5">
        <f>+$AC464*BM464</f>
        <v>0</v>
      </c>
      <c r="AO464" s="5">
        <f>+$AC464*BN464</f>
        <v>0</v>
      </c>
      <c r="AP464" s="5">
        <f>+AC464+P464+C464</f>
        <v>0</v>
      </c>
      <c r="AQ464" s="1">
        <v>26.754469784622671</v>
      </c>
      <c r="AR464" s="1">
        <v>31.995833650335594</v>
      </c>
      <c r="AS464" s="1">
        <v>28.316547254564291</v>
      </c>
      <c r="AT464" s="1">
        <v>21.448694960565145</v>
      </c>
      <c r="AU464" s="1">
        <v>31.105715431610289</v>
      </c>
      <c r="AV464" s="1">
        <v>25.49109928576339</v>
      </c>
      <c r="AW464" s="1">
        <v>25.37816366317881</v>
      </c>
      <c r="AX464" s="1">
        <v>17.23413163883399</v>
      </c>
      <c r="AY464" s="1">
        <v>25.546155703667242</v>
      </c>
      <c r="AZ464" s="1">
        <v>22.247417673910551</v>
      </c>
      <c r="BA464" s="1">
        <v>22.71545675763215</v>
      </c>
      <c r="BB464" s="1">
        <v>22.186667809702687</v>
      </c>
      <c r="BC464" s="2">
        <v>8.9181565948742242E-2</v>
      </c>
      <c r="BD464" s="2">
        <v>0.10665277883445198</v>
      </c>
      <c r="BE464" s="2">
        <v>9.438849084854764E-2</v>
      </c>
      <c r="BF464" s="2">
        <v>7.149564986855049E-2</v>
      </c>
      <c r="BG464" s="2">
        <v>0.10368571810536763</v>
      </c>
      <c r="BH464" s="2">
        <v>8.4970330952544637E-2</v>
      </c>
      <c r="BI464" s="2">
        <v>8.4593878877262704E-2</v>
      </c>
      <c r="BJ464" s="2">
        <v>5.7447105462779965E-2</v>
      </c>
      <c r="BK464" s="2">
        <v>8.5153852345557474E-2</v>
      </c>
      <c r="BL464" s="2">
        <v>7.4158058913035174E-2</v>
      </c>
      <c r="BM464" s="2">
        <v>7.5718189192107169E-2</v>
      </c>
      <c r="BN464" s="2">
        <v>7.3955559365675619E-2</v>
      </c>
    </row>
    <row r="465" spans="1:66" x14ac:dyDescent="0.25">
      <c r="A465" s="8">
        <v>2798</v>
      </c>
      <c r="B465" s="8" t="s">
        <v>531</v>
      </c>
      <c r="C465" s="5">
        <v>0</v>
      </c>
      <c r="D465" s="5">
        <f>+$C465*BC465</f>
        <v>0</v>
      </c>
      <c r="E465" s="5">
        <f>+$C465*BD465</f>
        <v>0</v>
      </c>
      <c r="F465" s="5">
        <f>+$C465*BE465</f>
        <v>0</v>
      </c>
      <c r="G465" s="5">
        <f>+$C465*BF465</f>
        <v>0</v>
      </c>
      <c r="H465" s="5">
        <f>+$C465*BG465</f>
        <v>0</v>
      </c>
      <c r="I465" s="5">
        <f>+$C465*BH465</f>
        <v>0</v>
      </c>
      <c r="J465" s="5">
        <f>+$C465*BI465</f>
        <v>0</v>
      </c>
      <c r="K465" s="5">
        <f>+$C465*BJ465</f>
        <v>0</v>
      </c>
      <c r="L465" s="5">
        <f>+$C465*BK465</f>
        <v>0</v>
      </c>
      <c r="M465" s="5">
        <f>+$C465*BL465</f>
        <v>0</v>
      </c>
      <c r="N465" s="5">
        <f>+$C465*BM465</f>
        <v>0</v>
      </c>
      <c r="O465" s="5">
        <f>+$C465*BN465</f>
        <v>0</v>
      </c>
      <c r="P465" s="5">
        <v>0</v>
      </c>
      <c r="Q465" s="5">
        <f>+$P465*BC465</f>
        <v>0</v>
      </c>
      <c r="R465" s="5">
        <f>+$P465*BD465</f>
        <v>0</v>
      </c>
      <c r="S465" s="5">
        <f>+$P465*BE465</f>
        <v>0</v>
      </c>
      <c r="T465" s="5">
        <f>+$P465*BF465</f>
        <v>0</v>
      </c>
      <c r="U465" s="5">
        <f>+$P465*BG465</f>
        <v>0</v>
      </c>
      <c r="V465" s="5">
        <f>+$P465*BH465</f>
        <v>0</v>
      </c>
      <c r="W465" s="5">
        <f>+$P465*BI465</f>
        <v>0</v>
      </c>
      <c r="X465" s="5">
        <f>+$P465*BJ465</f>
        <v>0</v>
      </c>
      <c r="Y465" s="5">
        <f>+$P465*BK465</f>
        <v>0</v>
      </c>
      <c r="Z465" s="5">
        <f>+$P465*BL465</f>
        <v>0</v>
      </c>
      <c r="AA465" s="5">
        <f>+$P465*BM465</f>
        <v>0</v>
      </c>
      <c r="AB465" s="5">
        <f>+$P465*BN465</f>
        <v>0</v>
      </c>
      <c r="AC465" s="5">
        <v>0</v>
      </c>
      <c r="AD465" s="5">
        <f>+$AC465*BC465</f>
        <v>0</v>
      </c>
      <c r="AE465" s="5">
        <f>+$AC465*BD465</f>
        <v>0</v>
      </c>
      <c r="AF465" s="5">
        <f>+$AC465*BE465</f>
        <v>0</v>
      </c>
      <c r="AG465" s="5">
        <f>+$AC465*BF465</f>
        <v>0</v>
      </c>
      <c r="AH465" s="5">
        <f>+$AC465*BG465</f>
        <v>0</v>
      </c>
      <c r="AI465" s="5">
        <f>+$AC465*BH465</f>
        <v>0</v>
      </c>
      <c r="AJ465" s="5">
        <f>+$AC465*BI465</f>
        <v>0</v>
      </c>
      <c r="AK465" s="5">
        <f>+$AC465*BJ465</f>
        <v>0</v>
      </c>
      <c r="AL465" s="5">
        <f>+$AC465*BK465</f>
        <v>0</v>
      </c>
      <c r="AM465" s="5">
        <f>+$AC465*BL465</f>
        <v>0</v>
      </c>
      <c r="AN465" s="5">
        <f>+$AC465*BM465</f>
        <v>0</v>
      </c>
      <c r="AO465" s="5">
        <f>+$AC465*BN465</f>
        <v>0</v>
      </c>
      <c r="AP465" s="5">
        <f>+AC465+P465+C465</f>
        <v>0</v>
      </c>
      <c r="AQ465" s="1">
        <v>26.687048520765426</v>
      </c>
      <c r="AR465" s="1">
        <v>31.915204149536752</v>
      </c>
      <c r="AS465" s="1">
        <v>28.245189555482792</v>
      </c>
      <c r="AT465" s="1">
        <v>21.394644249264523</v>
      </c>
      <c r="AU465" s="1">
        <v>31.027329028722633</v>
      </c>
      <c r="AV465" s="1">
        <v>25.42686171556327</v>
      </c>
      <c r="AW465" s="1">
        <v>25.314210690747604</v>
      </c>
      <c r="AX465" s="1">
        <v>17.190701627104129</v>
      </c>
      <c r="AY465" s="1">
        <v>25.481779391294005</v>
      </c>
      <c r="AZ465" s="1">
        <v>22.191354181372301</v>
      </c>
      <c r="BA465" s="1">
        <v>22.65821380660292</v>
      </c>
      <c r="BB465" s="1">
        <v>22.130757406822237</v>
      </c>
      <c r="BC465" s="2">
        <v>8.9181565948742242E-2</v>
      </c>
      <c r="BD465" s="2">
        <v>0.10665277883445198</v>
      </c>
      <c r="BE465" s="2">
        <v>9.438849084854764E-2</v>
      </c>
      <c r="BF465" s="2">
        <v>7.149564986855049E-2</v>
      </c>
      <c r="BG465" s="2">
        <v>0.10368571810536763</v>
      </c>
      <c r="BH465" s="2">
        <v>8.4970330952544637E-2</v>
      </c>
      <c r="BI465" s="2">
        <v>8.4593878877262704E-2</v>
      </c>
      <c r="BJ465" s="2">
        <v>5.7447105462779965E-2</v>
      </c>
      <c r="BK465" s="2">
        <v>8.5153852345557474E-2</v>
      </c>
      <c r="BL465" s="2">
        <v>7.4158058913035174E-2</v>
      </c>
      <c r="BM465" s="2">
        <v>7.5718189192107169E-2</v>
      </c>
      <c r="BN465" s="2">
        <v>7.3955559365675619E-2</v>
      </c>
    </row>
    <row r="466" spans="1:66" x14ac:dyDescent="0.25">
      <c r="A466" s="8">
        <v>823</v>
      </c>
      <c r="B466" s="8" t="s">
        <v>530</v>
      </c>
      <c r="C466" s="5">
        <v>0</v>
      </c>
      <c r="D466" s="5">
        <f>+$C466*BC466</f>
        <v>0</v>
      </c>
      <c r="E466" s="5">
        <f>+$C466*BD466</f>
        <v>0</v>
      </c>
      <c r="F466" s="5">
        <f>+$C466*BE466</f>
        <v>0</v>
      </c>
      <c r="G466" s="5">
        <f>+$C466*BF466</f>
        <v>0</v>
      </c>
      <c r="H466" s="5">
        <f>+$C466*BG466</f>
        <v>0</v>
      </c>
      <c r="I466" s="5">
        <f>+$C466*BH466</f>
        <v>0</v>
      </c>
      <c r="J466" s="5">
        <f>+$C466*BI466</f>
        <v>0</v>
      </c>
      <c r="K466" s="5">
        <f>+$C466*BJ466</f>
        <v>0</v>
      </c>
      <c r="L466" s="5">
        <f>+$C466*BK466</f>
        <v>0</v>
      </c>
      <c r="M466" s="5">
        <f>+$C466*BL466</f>
        <v>0</v>
      </c>
      <c r="N466" s="5">
        <f>+$C466*BM466</f>
        <v>0</v>
      </c>
      <c r="O466" s="5">
        <f>+$C466*BN466</f>
        <v>0</v>
      </c>
      <c r="P466" s="5">
        <v>0</v>
      </c>
      <c r="Q466" s="5">
        <f>+$P466*BC466</f>
        <v>0</v>
      </c>
      <c r="R466" s="5">
        <f>+$P466*BD466</f>
        <v>0</v>
      </c>
      <c r="S466" s="5">
        <f>+$P466*BE466</f>
        <v>0</v>
      </c>
      <c r="T466" s="5">
        <f>+$P466*BF466</f>
        <v>0</v>
      </c>
      <c r="U466" s="5">
        <f>+$P466*BG466</f>
        <v>0</v>
      </c>
      <c r="V466" s="5">
        <f>+$P466*BH466</f>
        <v>0</v>
      </c>
      <c r="W466" s="5">
        <f>+$P466*BI466</f>
        <v>0</v>
      </c>
      <c r="X466" s="5">
        <f>+$P466*BJ466</f>
        <v>0</v>
      </c>
      <c r="Y466" s="5">
        <f>+$P466*BK466</f>
        <v>0</v>
      </c>
      <c r="Z466" s="5">
        <f>+$P466*BL466</f>
        <v>0</v>
      </c>
      <c r="AA466" s="5">
        <f>+$P466*BM466</f>
        <v>0</v>
      </c>
      <c r="AB466" s="5">
        <f>+$P466*BN466</f>
        <v>0</v>
      </c>
      <c r="AC466" s="5">
        <v>0</v>
      </c>
      <c r="AD466" s="5">
        <f>+$AC466*BC466</f>
        <v>0</v>
      </c>
      <c r="AE466" s="5">
        <f>+$AC466*BD466</f>
        <v>0</v>
      </c>
      <c r="AF466" s="5">
        <f>+$AC466*BE466</f>
        <v>0</v>
      </c>
      <c r="AG466" s="5">
        <f>+$AC466*BF466</f>
        <v>0</v>
      </c>
      <c r="AH466" s="5">
        <f>+$AC466*BG466</f>
        <v>0</v>
      </c>
      <c r="AI466" s="5">
        <f>+$AC466*BH466</f>
        <v>0</v>
      </c>
      <c r="AJ466" s="5">
        <f>+$AC466*BI466</f>
        <v>0</v>
      </c>
      <c r="AK466" s="5">
        <f>+$AC466*BJ466</f>
        <v>0</v>
      </c>
      <c r="AL466" s="5">
        <f>+$AC466*BK466</f>
        <v>0</v>
      </c>
      <c r="AM466" s="5">
        <f>+$AC466*BL466</f>
        <v>0</v>
      </c>
      <c r="AN466" s="5">
        <f>+$AC466*BM466</f>
        <v>0</v>
      </c>
      <c r="AO466" s="5">
        <f>+$AC466*BN466</f>
        <v>0</v>
      </c>
      <c r="AP466" s="5">
        <f>+AC466+P466+C466</f>
        <v>0</v>
      </c>
      <c r="AQ466" s="1">
        <v>24.73682603659833</v>
      </c>
      <c r="AR466" s="1">
        <v>29.582921181984958</v>
      </c>
      <c r="AS466" s="1">
        <v>26.181102037606752</v>
      </c>
      <c r="AT466" s="1">
        <v>19.831177377939063</v>
      </c>
      <c r="AU466" s="1">
        <v>28.759929745194455</v>
      </c>
      <c r="AV466" s="1">
        <v>23.568730518293023</v>
      </c>
      <c r="AW466" s="1">
        <v>23.464311747459622</v>
      </c>
      <c r="AX466" s="1">
        <v>15.934448324844057</v>
      </c>
      <c r="AY466" s="1">
        <v>23.619634948201352</v>
      </c>
      <c r="AZ466" s="1">
        <v>20.569665749062047</v>
      </c>
      <c r="BA466" s="1">
        <v>21.002408445349921</v>
      </c>
      <c r="BB466" s="1">
        <v>20.513497234613641</v>
      </c>
      <c r="BC466" s="2">
        <v>8.9181565948742242E-2</v>
      </c>
      <c r="BD466" s="2">
        <v>0.10665277883445198</v>
      </c>
      <c r="BE466" s="2">
        <v>9.438849084854764E-2</v>
      </c>
      <c r="BF466" s="2">
        <v>7.149564986855049E-2</v>
      </c>
      <c r="BG466" s="2">
        <v>0.10368571810536763</v>
      </c>
      <c r="BH466" s="2">
        <v>8.4970330952544637E-2</v>
      </c>
      <c r="BI466" s="2">
        <v>8.4593878877262704E-2</v>
      </c>
      <c r="BJ466" s="2">
        <v>5.7447105462779965E-2</v>
      </c>
      <c r="BK466" s="2">
        <v>8.5153852345557474E-2</v>
      </c>
      <c r="BL466" s="2">
        <v>7.4158058913035174E-2</v>
      </c>
      <c r="BM466" s="2">
        <v>7.5718189192107169E-2</v>
      </c>
      <c r="BN466" s="2">
        <v>7.3955559365675619E-2</v>
      </c>
    </row>
    <row r="467" spans="1:66" x14ac:dyDescent="0.25">
      <c r="A467" s="8">
        <v>6635</v>
      </c>
      <c r="B467" s="8" t="s">
        <v>529</v>
      </c>
      <c r="C467" s="5">
        <v>0</v>
      </c>
      <c r="D467" s="5">
        <f>+$C467*BC467</f>
        <v>0</v>
      </c>
      <c r="E467" s="5">
        <f>+$C467*BD467</f>
        <v>0</v>
      </c>
      <c r="F467" s="5">
        <f>+$C467*BE467</f>
        <v>0</v>
      </c>
      <c r="G467" s="5">
        <f>+$C467*BF467</f>
        <v>0</v>
      </c>
      <c r="H467" s="5">
        <f>+$C467*BG467</f>
        <v>0</v>
      </c>
      <c r="I467" s="5">
        <f>+$C467*BH467</f>
        <v>0</v>
      </c>
      <c r="J467" s="5">
        <f>+$C467*BI467</f>
        <v>0</v>
      </c>
      <c r="K467" s="5">
        <f>+$C467*BJ467</f>
        <v>0</v>
      </c>
      <c r="L467" s="5">
        <f>+$C467*BK467</f>
        <v>0</v>
      </c>
      <c r="M467" s="5">
        <f>+$C467*BL467</f>
        <v>0</v>
      </c>
      <c r="N467" s="5">
        <f>+$C467*BM467</f>
        <v>0</v>
      </c>
      <c r="O467" s="5">
        <f>+$C467*BN467</f>
        <v>0</v>
      </c>
      <c r="P467" s="5">
        <v>0</v>
      </c>
      <c r="Q467" s="5">
        <f>+$P467*BC467</f>
        <v>0</v>
      </c>
      <c r="R467" s="5">
        <f>+$P467*BD467</f>
        <v>0</v>
      </c>
      <c r="S467" s="5">
        <f>+$P467*BE467</f>
        <v>0</v>
      </c>
      <c r="T467" s="5">
        <f>+$P467*BF467</f>
        <v>0</v>
      </c>
      <c r="U467" s="5">
        <f>+$P467*BG467</f>
        <v>0</v>
      </c>
      <c r="V467" s="5">
        <f>+$P467*BH467</f>
        <v>0</v>
      </c>
      <c r="W467" s="5">
        <f>+$P467*BI467</f>
        <v>0</v>
      </c>
      <c r="X467" s="5">
        <f>+$P467*BJ467</f>
        <v>0</v>
      </c>
      <c r="Y467" s="5">
        <f>+$P467*BK467</f>
        <v>0</v>
      </c>
      <c r="Z467" s="5">
        <f>+$P467*BL467</f>
        <v>0</v>
      </c>
      <c r="AA467" s="5">
        <f>+$P467*BM467</f>
        <v>0</v>
      </c>
      <c r="AB467" s="5">
        <f>+$P467*BN467</f>
        <v>0</v>
      </c>
      <c r="AC467" s="5">
        <v>0</v>
      </c>
      <c r="AD467" s="5">
        <f>+$AC467*BC467</f>
        <v>0</v>
      </c>
      <c r="AE467" s="5">
        <f>+$AC467*BD467</f>
        <v>0</v>
      </c>
      <c r="AF467" s="5">
        <f>+$AC467*BE467</f>
        <v>0</v>
      </c>
      <c r="AG467" s="5">
        <f>+$AC467*BF467</f>
        <v>0</v>
      </c>
      <c r="AH467" s="5">
        <f>+$AC467*BG467</f>
        <v>0</v>
      </c>
      <c r="AI467" s="5">
        <f>+$AC467*BH467</f>
        <v>0</v>
      </c>
      <c r="AJ467" s="5">
        <f>+$AC467*BI467</f>
        <v>0</v>
      </c>
      <c r="AK467" s="5">
        <f>+$AC467*BJ467</f>
        <v>0</v>
      </c>
      <c r="AL467" s="5">
        <f>+$AC467*BK467</f>
        <v>0</v>
      </c>
      <c r="AM467" s="5">
        <f>+$AC467*BL467</f>
        <v>0</v>
      </c>
      <c r="AN467" s="5">
        <f>+$AC467*BM467</f>
        <v>0</v>
      </c>
      <c r="AO467" s="5">
        <f>+$AC467*BN467</f>
        <v>0</v>
      </c>
      <c r="AP467" s="5">
        <f>+AC467+P467+C467</f>
        <v>0</v>
      </c>
      <c r="AQ467" s="1">
        <v>24.14626570688576</v>
      </c>
      <c r="AR467" s="1">
        <v>28.876666480543214</v>
      </c>
      <c r="AS467" s="1">
        <v>25.556061451207668</v>
      </c>
      <c r="AT467" s="1">
        <v>19.35773318450952</v>
      </c>
      <c r="AU467" s="1">
        <v>28.073322919900708</v>
      </c>
      <c r="AV467" s="1">
        <v>23.006056986725273</v>
      </c>
      <c r="AW467" s="1">
        <v>22.904131081534388</v>
      </c>
      <c r="AX467" s="1">
        <v>15.554033592469528</v>
      </c>
      <c r="AY467" s="1">
        <v>23.05574613796907</v>
      </c>
      <c r="AZ467" s="1">
        <v>20.078591082939926</v>
      </c>
      <c r="BA467" s="1">
        <v>20.501002596519786</v>
      </c>
      <c r="BB467" s="1">
        <v>20.023763520494139</v>
      </c>
      <c r="BC467" s="2">
        <v>8.9181565948742242E-2</v>
      </c>
      <c r="BD467" s="2">
        <v>0.10665277883445198</v>
      </c>
      <c r="BE467" s="2">
        <v>9.438849084854764E-2</v>
      </c>
      <c r="BF467" s="2">
        <v>7.149564986855049E-2</v>
      </c>
      <c r="BG467" s="2">
        <v>0.10368571810536763</v>
      </c>
      <c r="BH467" s="2">
        <v>8.4970330952544637E-2</v>
      </c>
      <c r="BI467" s="2">
        <v>8.4593878877262704E-2</v>
      </c>
      <c r="BJ467" s="2">
        <v>5.7447105462779965E-2</v>
      </c>
      <c r="BK467" s="2">
        <v>8.5153852345557474E-2</v>
      </c>
      <c r="BL467" s="2">
        <v>7.4158058913035174E-2</v>
      </c>
      <c r="BM467" s="2">
        <v>7.5718189192107169E-2</v>
      </c>
      <c r="BN467" s="2">
        <v>7.3955559365675619E-2</v>
      </c>
    </row>
    <row r="468" spans="1:66" x14ac:dyDescent="0.25">
      <c r="A468" s="8">
        <v>2282</v>
      </c>
      <c r="B468" s="8" t="s">
        <v>528</v>
      </c>
      <c r="C468" s="5">
        <v>1000</v>
      </c>
      <c r="D468" s="5">
        <f>+$C468*BC468</f>
        <v>89.181565948742247</v>
      </c>
      <c r="E468" s="5">
        <f>+$C468*BD468</f>
        <v>106.65277883445198</v>
      </c>
      <c r="F468" s="5">
        <f>+$C468*BE468</f>
        <v>94.388490848547647</v>
      </c>
      <c r="G468" s="5">
        <f>+$C468*BF468</f>
        <v>71.495649868550487</v>
      </c>
      <c r="H468" s="5">
        <f>+$C468*BG468</f>
        <v>103.68571810536763</v>
      </c>
      <c r="I468" s="5">
        <f>+$C468*BH468</f>
        <v>84.970330952544643</v>
      </c>
      <c r="J468" s="5">
        <f>+$C468*BI468</f>
        <v>84.593878877262711</v>
      </c>
      <c r="K468" s="5">
        <f>+$C468*BJ468</f>
        <v>57.447105462779966</v>
      </c>
      <c r="L468" s="5">
        <f>+$C468*BK468</f>
        <v>85.153852345557468</v>
      </c>
      <c r="M468" s="5">
        <f>+$C468*BL468</f>
        <v>74.158058913035177</v>
      </c>
      <c r="N468" s="5">
        <f>+$C468*BM468</f>
        <v>75.718189192107175</v>
      </c>
      <c r="O468" s="5">
        <f>+$C468*BN468</f>
        <v>73.955559365675626</v>
      </c>
      <c r="P468" s="5">
        <v>0</v>
      </c>
      <c r="Q468" s="5">
        <f>+$P468*BC468</f>
        <v>0</v>
      </c>
      <c r="R468" s="5">
        <f>+$P468*BD468</f>
        <v>0</v>
      </c>
      <c r="S468" s="5">
        <f>+$P468*BE468</f>
        <v>0</v>
      </c>
      <c r="T468" s="5">
        <f>+$P468*BF468</f>
        <v>0</v>
      </c>
      <c r="U468" s="5">
        <f>+$P468*BG468</f>
        <v>0</v>
      </c>
      <c r="V468" s="5">
        <f>+$P468*BH468</f>
        <v>0</v>
      </c>
      <c r="W468" s="5">
        <f>+$P468*BI468</f>
        <v>0</v>
      </c>
      <c r="X468" s="5">
        <f>+$P468*BJ468</f>
        <v>0</v>
      </c>
      <c r="Y468" s="5">
        <f>+$P468*BK468</f>
        <v>0</v>
      </c>
      <c r="Z468" s="5">
        <f>+$P468*BL468</f>
        <v>0</v>
      </c>
      <c r="AA468" s="5">
        <f>+$P468*BM468</f>
        <v>0</v>
      </c>
      <c r="AB468" s="5">
        <f>+$P468*BN468</f>
        <v>0</v>
      </c>
      <c r="AC468" s="5">
        <v>0</v>
      </c>
      <c r="AD468" s="5">
        <f>+$AC468*BC468</f>
        <v>0</v>
      </c>
      <c r="AE468" s="5">
        <f>+$AC468*BD468</f>
        <v>0</v>
      </c>
      <c r="AF468" s="5">
        <f>+$AC468*BE468</f>
        <v>0</v>
      </c>
      <c r="AG468" s="5">
        <f>+$AC468*BF468</f>
        <v>0</v>
      </c>
      <c r="AH468" s="5">
        <f>+$AC468*BG468</f>
        <v>0</v>
      </c>
      <c r="AI468" s="5">
        <f>+$AC468*BH468</f>
        <v>0</v>
      </c>
      <c r="AJ468" s="5">
        <f>+$AC468*BI468</f>
        <v>0</v>
      </c>
      <c r="AK468" s="5">
        <f>+$AC468*BJ468</f>
        <v>0</v>
      </c>
      <c r="AL468" s="5">
        <f>+$AC468*BK468</f>
        <v>0</v>
      </c>
      <c r="AM468" s="5">
        <f>+$AC468*BL468</f>
        <v>0</v>
      </c>
      <c r="AN468" s="5">
        <f>+$AC468*BM468</f>
        <v>0</v>
      </c>
      <c r="AO468" s="5">
        <f>+$AC468*BN468</f>
        <v>0</v>
      </c>
      <c r="AP468" s="5">
        <f>+AC468+P468+C468</f>
        <v>1000</v>
      </c>
      <c r="AQ468" s="1">
        <v>23.928841049102726</v>
      </c>
      <c r="AR468" s="1">
        <v>28.61664700574482</v>
      </c>
      <c r="AS468" s="1">
        <v>25.325942310518911</v>
      </c>
      <c r="AT468" s="1">
        <v>19.183426790129996</v>
      </c>
      <c r="AU468" s="1">
        <v>27.820537139159825</v>
      </c>
      <c r="AV468" s="1">
        <v>22.798899319862969</v>
      </c>
      <c r="AW468" s="1">
        <v>22.697891204831624</v>
      </c>
      <c r="AX468" s="1">
        <v>15.413977549351271</v>
      </c>
      <c r="AY468" s="1">
        <v>22.848141045950602</v>
      </c>
      <c r="AZ468" s="1">
        <v>19.897793735309946</v>
      </c>
      <c r="BA468" s="1">
        <v>20.31640165126943</v>
      </c>
      <c r="BB468" s="1">
        <v>19.843459866760622</v>
      </c>
      <c r="BC468" s="2">
        <v>8.9181565948742242E-2</v>
      </c>
      <c r="BD468" s="2">
        <v>0.10665277883445198</v>
      </c>
      <c r="BE468" s="2">
        <v>9.438849084854764E-2</v>
      </c>
      <c r="BF468" s="2">
        <v>7.149564986855049E-2</v>
      </c>
      <c r="BG468" s="2">
        <v>0.10368571810536763</v>
      </c>
      <c r="BH468" s="2">
        <v>8.4970330952544637E-2</v>
      </c>
      <c r="BI468" s="2">
        <v>8.4593878877262704E-2</v>
      </c>
      <c r="BJ468" s="2">
        <v>5.7447105462779965E-2</v>
      </c>
      <c r="BK468" s="2">
        <v>8.5153852345557474E-2</v>
      </c>
      <c r="BL468" s="2">
        <v>7.4158058913035174E-2</v>
      </c>
      <c r="BM468" s="2">
        <v>7.5718189192107169E-2</v>
      </c>
      <c r="BN468" s="2">
        <v>7.3955559365675619E-2</v>
      </c>
    </row>
    <row r="469" spans="1:66" x14ac:dyDescent="0.25">
      <c r="A469" s="8">
        <v>29334</v>
      </c>
      <c r="B469" s="8" t="s">
        <v>527</v>
      </c>
      <c r="C469" s="5">
        <v>247.23600000000002</v>
      </c>
      <c r="D469" s="5">
        <f>+$C469*BC469</f>
        <v>22.048893638903238</v>
      </c>
      <c r="E469" s="5">
        <f>+$C469*BD469</f>
        <v>26.368406427914572</v>
      </c>
      <c r="F469" s="5">
        <f>+$C469*BE469</f>
        <v>23.336232923431528</v>
      </c>
      <c r="G469" s="5">
        <f>+$C469*BF469</f>
        <v>17.676298490900951</v>
      </c>
      <c r="H469" s="5">
        <f>+$C469*BG469</f>
        <v>25.634842201498671</v>
      </c>
      <c r="I469" s="5">
        <f>+$C469*BH469</f>
        <v>21.007724743383328</v>
      </c>
      <c r="J469" s="5">
        <f>+$C469*BI469</f>
        <v>20.914652238098924</v>
      </c>
      <c r="K469" s="5">
        <f>+$C469*BJ469</f>
        <v>14.202992566195869</v>
      </c>
      <c r="L469" s="5">
        <f>+$C469*BK469</f>
        <v>21.05309783850625</v>
      </c>
      <c r="M469" s="5">
        <f>+$C469*BL469</f>
        <v>18.334541853423165</v>
      </c>
      <c r="N469" s="5">
        <f>+$C469*BM469</f>
        <v>18.720262223099809</v>
      </c>
      <c r="O469" s="5">
        <f>+$C469*BN469</f>
        <v>18.284476675332179</v>
      </c>
      <c r="P469" s="5">
        <v>0</v>
      </c>
      <c r="Q469" s="5">
        <f>+$P469*BC469</f>
        <v>0</v>
      </c>
      <c r="R469" s="5">
        <f>+$P469*BD469</f>
        <v>0</v>
      </c>
      <c r="S469" s="5">
        <f>+$P469*BE469</f>
        <v>0</v>
      </c>
      <c r="T469" s="5">
        <f>+$P469*BF469</f>
        <v>0</v>
      </c>
      <c r="U469" s="5">
        <f>+$P469*BG469</f>
        <v>0</v>
      </c>
      <c r="V469" s="5">
        <f>+$P469*BH469</f>
        <v>0</v>
      </c>
      <c r="W469" s="5">
        <f>+$P469*BI469</f>
        <v>0</v>
      </c>
      <c r="X469" s="5">
        <f>+$P469*BJ469</f>
        <v>0</v>
      </c>
      <c r="Y469" s="5">
        <f>+$P469*BK469</f>
        <v>0</v>
      </c>
      <c r="Z469" s="5">
        <f>+$P469*BL469</f>
        <v>0</v>
      </c>
      <c r="AA469" s="5">
        <f>+$P469*BM469</f>
        <v>0</v>
      </c>
      <c r="AB469" s="5">
        <f>+$P469*BN469</f>
        <v>0</v>
      </c>
      <c r="AC469" s="5">
        <v>0</v>
      </c>
      <c r="AD469" s="5">
        <f>+$AC469*BC469</f>
        <v>0</v>
      </c>
      <c r="AE469" s="5">
        <f>+$AC469*BD469</f>
        <v>0</v>
      </c>
      <c r="AF469" s="5">
        <f>+$AC469*BE469</f>
        <v>0</v>
      </c>
      <c r="AG469" s="5">
        <f>+$AC469*BF469</f>
        <v>0</v>
      </c>
      <c r="AH469" s="5">
        <f>+$AC469*BG469</f>
        <v>0</v>
      </c>
      <c r="AI469" s="5">
        <f>+$AC469*BH469</f>
        <v>0</v>
      </c>
      <c r="AJ469" s="5">
        <f>+$AC469*BI469</f>
        <v>0</v>
      </c>
      <c r="AK469" s="5">
        <f>+$AC469*BJ469</f>
        <v>0</v>
      </c>
      <c r="AL469" s="5">
        <f>+$AC469*BK469</f>
        <v>0</v>
      </c>
      <c r="AM469" s="5">
        <f>+$AC469*BL469</f>
        <v>0</v>
      </c>
      <c r="AN469" s="5">
        <f>+$AC469*BM469</f>
        <v>0</v>
      </c>
      <c r="AO469" s="5">
        <f>+$AC469*BN469</f>
        <v>0</v>
      </c>
      <c r="AP469" s="5">
        <f>+AC469+P469+C469</f>
        <v>247.23600000000002</v>
      </c>
      <c r="AQ469" s="1">
        <v>22.349078789886704</v>
      </c>
      <c r="AR469" s="1">
        <v>26.727399681471336</v>
      </c>
      <c r="AS469" s="1">
        <v>23.653944583627737</v>
      </c>
      <c r="AT469" s="1">
        <v>17.916952848358491</v>
      </c>
      <c r="AU469" s="1">
        <v>25.98384832864134</v>
      </c>
      <c r="AV469" s="1">
        <v>21.293734877369591</v>
      </c>
      <c r="AW469" s="1">
        <v>21.199395234399788</v>
      </c>
      <c r="AX469" s="1">
        <v>14.396359523183586</v>
      </c>
      <c r="AY469" s="1">
        <v>21.339725705501394</v>
      </c>
      <c r="AZ469" s="1">
        <v>18.58415787972444</v>
      </c>
      <c r="BA469" s="1">
        <v>18.97512964792044</v>
      </c>
      <c r="BB469" s="1">
        <v>18.533411088157042</v>
      </c>
      <c r="BC469" s="2">
        <v>8.9181565948742242E-2</v>
      </c>
      <c r="BD469" s="2">
        <v>0.10665277883445198</v>
      </c>
      <c r="BE469" s="2">
        <v>9.438849084854764E-2</v>
      </c>
      <c r="BF469" s="2">
        <v>7.149564986855049E-2</v>
      </c>
      <c r="BG469" s="2">
        <v>0.10368571810536763</v>
      </c>
      <c r="BH469" s="2">
        <v>8.4970330952544637E-2</v>
      </c>
      <c r="BI469" s="2">
        <v>8.4593878877262704E-2</v>
      </c>
      <c r="BJ469" s="2">
        <v>5.7447105462779965E-2</v>
      </c>
      <c r="BK469" s="2">
        <v>8.5153852345557474E-2</v>
      </c>
      <c r="BL469" s="2">
        <v>7.4158058913035174E-2</v>
      </c>
      <c r="BM469" s="2">
        <v>7.5718189192107169E-2</v>
      </c>
      <c r="BN469" s="2">
        <v>7.3955559365675619E-2</v>
      </c>
    </row>
    <row r="470" spans="1:66" x14ac:dyDescent="0.25">
      <c r="A470" s="8">
        <v>4414</v>
      </c>
      <c r="B470" s="8" t="s">
        <v>526</v>
      </c>
      <c r="C470" s="5">
        <v>10000</v>
      </c>
      <c r="D470" s="5">
        <f>+$C470*BC470</f>
        <v>891.81565948742241</v>
      </c>
      <c r="E470" s="5">
        <f>+$C470*BD470</f>
        <v>1066.5277883445199</v>
      </c>
      <c r="F470" s="5">
        <f>+$C470*BE470</f>
        <v>943.88490848547644</v>
      </c>
      <c r="G470" s="5">
        <f>+$C470*BF470</f>
        <v>714.95649868550493</v>
      </c>
      <c r="H470" s="5">
        <f>+$C470*BG470</f>
        <v>1036.8571810536762</v>
      </c>
      <c r="I470" s="5">
        <f>+$C470*BH470</f>
        <v>849.70330952544634</v>
      </c>
      <c r="J470" s="5">
        <f>+$C470*BI470</f>
        <v>845.93878877262705</v>
      </c>
      <c r="K470" s="5">
        <f>+$C470*BJ470</f>
        <v>574.47105462779962</v>
      </c>
      <c r="L470" s="5">
        <f>+$C470*BK470</f>
        <v>851.5385234555747</v>
      </c>
      <c r="M470" s="5">
        <f>+$C470*BL470</f>
        <v>741.58058913035177</v>
      </c>
      <c r="N470" s="5">
        <f>+$C470*BM470</f>
        <v>757.18189192107172</v>
      </c>
      <c r="O470" s="5">
        <f>+$C470*BN470</f>
        <v>739.55559365675617</v>
      </c>
      <c r="P470" s="5">
        <v>0</v>
      </c>
      <c r="Q470" s="5">
        <f>+$P470*BC470</f>
        <v>0</v>
      </c>
      <c r="R470" s="5">
        <f>+$P470*BD470</f>
        <v>0</v>
      </c>
      <c r="S470" s="5">
        <f>+$P470*BE470</f>
        <v>0</v>
      </c>
      <c r="T470" s="5">
        <f>+$P470*BF470</f>
        <v>0</v>
      </c>
      <c r="U470" s="5">
        <f>+$P470*BG470</f>
        <v>0</v>
      </c>
      <c r="V470" s="5">
        <f>+$P470*BH470</f>
        <v>0</v>
      </c>
      <c r="W470" s="5">
        <f>+$P470*BI470</f>
        <v>0</v>
      </c>
      <c r="X470" s="5">
        <f>+$P470*BJ470</f>
        <v>0</v>
      </c>
      <c r="Y470" s="5">
        <f>+$P470*BK470</f>
        <v>0</v>
      </c>
      <c r="Z470" s="5">
        <f>+$P470*BL470</f>
        <v>0</v>
      </c>
      <c r="AA470" s="5">
        <f>+$P470*BM470</f>
        <v>0</v>
      </c>
      <c r="AB470" s="5">
        <f>+$P470*BN470</f>
        <v>0</v>
      </c>
      <c r="AC470" s="5">
        <v>0</v>
      </c>
      <c r="AD470" s="5">
        <f>+$AC470*BC470</f>
        <v>0</v>
      </c>
      <c r="AE470" s="5">
        <f>+$AC470*BD470</f>
        <v>0</v>
      </c>
      <c r="AF470" s="5">
        <f>+$AC470*BE470</f>
        <v>0</v>
      </c>
      <c r="AG470" s="5">
        <f>+$AC470*BF470</f>
        <v>0</v>
      </c>
      <c r="AH470" s="5">
        <f>+$AC470*BG470</f>
        <v>0</v>
      </c>
      <c r="AI470" s="5">
        <f>+$AC470*BH470</f>
        <v>0</v>
      </c>
      <c r="AJ470" s="5">
        <f>+$AC470*BI470</f>
        <v>0</v>
      </c>
      <c r="AK470" s="5">
        <f>+$AC470*BJ470</f>
        <v>0</v>
      </c>
      <c r="AL470" s="5">
        <f>+$AC470*BK470</f>
        <v>0</v>
      </c>
      <c r="AM470" s="5">
        <f>+$AC470*BL470</f>
        <v>0</v>
      </c>
      <c r="AN470" s="5">
        <f>+$AC470*BM470</f>
        <v>0</v>
      </c>
      <c r="AO470" s="5">
        <f>+$AC470*BN470</f>
        <v>0</v>
      </c>
      <c r="AP470" s="5">
        <f>+AC470+P470+C470</f>
        <v>10000</v>
      </c>
      <c r="AQ470" s="1">
        <v>22.048893638903238</v>
      </c>
      <c r="AR470" s="1">
        <v>26.368406427914572</v>
      </c>
      <c r="AS470" s="1">
        <v>23.336232923431528</v>
      </c>
      <c r="AT470" s="1">
        <v>17.676298490900951</v>
      </c>
      <c r="AU470" s="1">
        <v>25.634842201498671</v>
      </c>
      <c r="AV470" s="1">
        <v>21.007724743383328</v>
      </c>
      <c r="AW470" s="1">
        <v>20.914652238098924</v>
      </c>
      <c r="AX470" s="1">
        <v>14.202992566195869</v>
      </c>
      <c r="AY470" s="1">
        <v>21.05309783850625</v>
      </c>
      <c r="AZ470" s="1">
        <v>18.334541853423165</v>
      </c>
      <c r="BA470" s="1">
        <v>18.720262223099809</v>
      </c>
      <c r="BB470" s="1">
        <v>18.284476675332179</v>
      </c>
      <c r="BC470" s="2">
        <v>8.9181565948742242E-2</v>
      </c>
      <c r="BD470" s="2">
        <v>0.10665277883445198</v>
      </c>
      <c r="BE470" s="2">
        <v>9.438849084854764E-2</v>
      </c>
      <c r="BF470" s="2">
        <v>7.149564986855049E-2</v>
      </c>
      <c r="BG470" s="2">
        <v>0.10368571810536763</v>
      </c>
      <c r="BH470" s="2">
        <v>8.4970330952544637E-2</v>
      </c>
      <c r="BI470" s="2">
        <v>8.4593878877262704E-2</v>
      </c>
      <c r="BJ470" s="2">
        <v>5.7447105462779965E-2</v>
      </c>
      <c r="BK470" s="2">
        <v>8.5153852345557474E-2</v>
      </c>
      <c r="BL470" s="2">
        <v>7.4158058913035174E-2</v>
      </c>
      <c r="BM470" s="2">
        <v>7.5718189192107169E-2</v>
      </c>
      <c r="BN470" s="2">
        <v>7.3955559365675619E-2</v>
      </c>
    </row>
    <row r="471" spans="1:66" x14ac:dyDescent="0.25">
      <c r="A471" s="8">
        <v>1916</v>
      </c>
      <c r="B471" s="8" t="s">
        <v>525</v>
      </c>
      <c r="C471" s="5">
        <v>0</v>
      </c>
      <c r="D471" s="5">
        <f>+$C471*BC471</f>
        <v>0</v>
      </c>
      <c r="E471" s="5">
        <f>+$C471*BD471</f>
        <v>0</v>
      </c>
      <c r="F471" s="5">
        <f>+$C471*BE471</f>
        <v>0</v>
      </c>
      <c r="G471" s="5">
        <f>+$C471*BF471</f>
        <v>0</v>
      </c>
      <c r="H471" s="5">
        <f>+$C471*BG471</f>
        <v>0</v>
      </c>
      <c r="I471" s="5">
        <f>+$C471*BH471</f>
        <v>0</v>
      </c>
      <c r="J471" s="5">
        <f>+$C471*BI471</f>
        <v>0</v>
      </c>
      <c r="K471" s="5">
        <f>+$C471*BJ471</f>
        <v>0</v>
      </c>
      <c r="L471" s="5">
        <f>+$C471*BK471</f>
        <v>0</v>
      </c>
      <c r="M471" s="5">
        <f>+$C471*BL471</f>
        <v>0</v>
      </c>
      <c r="N471" s="5">
        <f>+$C471*BM471</f>
        <v>0</v>
      </c>
      <c r="O471" s="5">
        <f>+$C471*BN471</f>
        <v>0</v>
      </c>
      <c r="P471" s="5">
        <v>1500</v>
      </c>
      <c r="Q471" s="5">
        <f>+$P471*BC471</f>
        <v>133.77234892311336</v>
      </c>
      <c r="R471" s="5">
        <f>+$P471*BD471</f>
        <v>159.97916825167798</v>
      </c>
      <c r="S471" s="5">
        <f>+$P471*BE471</f>
        <v>141.58273627282145</v>
      </c>
      <c r="T471" s="5">
        <f>+$P471*BF471</f>
        <v>107.24347480282573</v>
      </c>
      <c r="U471" s="5">
        <f>+$P471*BG471</f>
        <v>155.52857715805143</v>
      </c>
      <c r="V471" s="5">
        <f>+$P471*BH471</f>
        <v>127.45549642881696</v>
      </c>
      <c r="W471" s="5">
        <f>+$P471*BI471</f>
        <v>126.89081831589405</v>
      </c>
      <c r="X471" s="5">
        <f>+$P471*BJ471</f>
        <v>86.170658194169945</v>
      </c>
      <c r="Y471" s="5">
        <f>+$P471*BK471</f>
        <v>127.73077851833621</v>
      </c>
      <c r="Z471" s="5">
        <f>+$P471*BL471</f>
        <v>111.23708836955277</v>
      </c>
      <c r="AA471" s="5">
        <f>+$P471*BM471</f>
        <v>113.57728378816076</v>
      </c>
      <c r="AB471" s="5">
        <f>+$P471*BN471</f>
        <v>110.93333904851343</v>
      </c>
      <c r="AC471" s="5">
        <v>0</v>
      </c>
      <c r="AD471" s="5">
        <f>+$AC471*BC471</f>
        <v>0</v>
      </c>
      <c r="AE471" s="5">
        <f>+$AC471*BD471</f>
        <v>0</v>
      </c>
      <c r="AF471" s="5">
        <f>+$AC471*BE471</f>
        <v>0</v>
      </c>
      <c r="AG471" s="5">
        <f>+$AC471*BF471</f>
        <v>0</v>
      </c>
      <c r="AH471" s="5">
        <f>+$AC471*BG471</f>
        <v>0</v>
      </c>
      <c r="AI471" s="5">
        <f>+$AC471*BH471</f>
        <v>0</v>
      </c>
      <c r="AJ471" s="5">
        <f>+$AC471*BI471</f>
        <v>0</v>
      </c>
      <c r="AK471" s="5">
        <f>+$AC471*BJ471</f>
        <v>0</v>
      </c>
      <c r="AL471" s="5">
        <f>+$AC471*BK471</f>
        <v>0</v>
      </c>
      <c r="AM471" s="5">
        <f>+$AC471*BL471</f>
        <v>0</v>
      </c>
      <c r="AN471" s="5">
        <f>+$AC471*BM471</f>
        <v>0</v>
      </c>
      <c r="AO471" s="5">
        <f>+$AC471*BN471</f>
        <v>0</v>
      </c>
      <c r="AP471" s="5">
        <f>+AC471+P471+C471</f>
        <v>1500</v>
      </c>
      <c r="AQ471" s="1">
        <v>19.597381572538264</v>
      </c>
      <c r="AR471" s="1">
        <v>23.436628190534325</v>
      </c>
      <c r="AS471" s="1">
        <v>20.741587698495803</v>
      </c>
      <c r="AT471" s="1">
        <v>15.710954571664368</v>
      </c>
      <c r="AU471" s="1">
        <v>22.784625496500226</v>
      </c>
      <c r="AV471" s="1">
        <v>18.671975315828831</v>
      </c>
      <c r="AW471" s="1">
        <v>18.58925110164185</v>
      </c>
      <c r="AX471" s="1">
        <v>12.623829084129511</v>
      </c>
      <c r="AY471" s="1">
        <v>18.712303591379222</v>
      </c>
      <c r="AZ471" s="1">
        <v>16.296010971962744</v>
      </c>
      <c r="BA471" s="1">
        <v>16.638844920397979</v>
      </c>
      <c r="BB471" s="1">
        <v>16.251512303929122</v>
      </c>
      <c r="BC471" s="2">
        <v>8.9181565948742242E-2</v>
      </c>
      <c r="BD471" s="2">
        <v>0.10665277883445198</v>
      </c>
      <c r="BE471" s="2">
        <v>9.438849084854764E-2</v>
      </c>
      <c r="BF471" s="2">
        <v>7.149564986855049E-2</v>
      </c>
      <c r="BG471" s="2">
        <v>0.10368571810536763</v>
      </c>
      <c r="BH471" s="2">
        <v>8.4970330952544637E-2</v>
      </c>
      <c r="BI471" s="2">
        <v>8.4593878877262704E-2</v>
      </c>
      <c r="BJ471" s="2">
        <v>5.7447105462779965E-2</v>
      </c>
      <c r="BK471" s="2">
        <v>8.5153852345557474E-2</v>
      </c>
      <c r="BL471" s="2">
        <v>7.4158058913035174E-2</v>
      </c>
      <c r="BM471" s="2">
        <v>7.5718189192107169E-2</v>
      </c>
      <c r="BN471" s="2">
        <v>7.3955559365675619E-2</v>
      </c>
    </row>
    <row r="472" spans="1:66" x14ac:dyDescent="0.25">
      <c r="A472" s="8">
        <v>3668</v>
      </c>
      <c r="B472" s="8" t="s">
        <v>524</v>
      </c>
      <c r="C472" s="5">
        <v>0</v>
      </c>
      <c r="D472" s="5">
        <f>+$C472*BC472</f>
        <v>0</v>
      </c>
      <c r="E472" s="5">
        <f>+$C472*BD472</f>
        <v>0</v>
      </c>
      <c r="F472" s="5">
        <f>+$C472*BE472</f>
        <v>0</v>
      </c>
      <c r="G472" s="5">
        <f>+$C472*BF472</f>
        <v>0</v>
      </c>
      <c r="H472" s="5">
        <f>+$C472*BG472</f>
        <v>0</v>
      </c>
      <c r="I472" s="5">
        <f>+$C472*BH472</f>
        <v>0</v>
      </c>
      <c r="J472" s="5">
        <f>+$C472*BI472</f>
        <v>0</v>
      </c>
      <c r="K472" s="5">
        <f>+$C472*BJ472</f>
        <v>0</v>
      </c>
      <c r="L472" s="5">
        <f>+$C472*BK472</f>
        <v>0</v>
      </c>
      <c r="M472" s="5">
        <f>+$C472*BL472</f>
        <v>0</v>
      </c>
      <c r="N472" s="5">
        <f>+$C472*BM472</f>
        <v>0</v>
      </c>
      <c r="O472" s="5">
        <f>+$C472*BN472</f>
        <v>0</v>
      </c>
      <c r="P472" s="5">
        <v>0</v>
      </c>
      <c r="Q472" s="5">
        <f>+$P472*BC472</f>
        <v>0</v>
      </c>
      <c r="R472" s="5">
        <f>+$P472*BD472</f>
        <v>0</v>
      </c>
      <c r="S472" s="5">
        <f>+$P472*BE472</f>
        <v>0</v>
      </c>
      <c r="T472" s="5">
        <f>+$P472*BF472</f>
        <v>0</v>
      </c>
      <c r="U472" s="5">
        <f>+$P472*BG472</f>
        <v>0</v>
      </c>
      <c r="V472" s="5">
        <f>+$P472*BH472</f>
        <v>0</v>
      </c>
      <c r="W472" s="5">
        <f>+$P472*BI472</f>
        <v>0</v>
      </c>
      <c r="X472" s="5">
        <f>+$P472*BJ472</f>
        <v>0</v>
      </c>
      <c r="Y472" s="5">
        <f>+$P472*BK472</f>
        <v>0</v>
      </c>
      <c r="Z472" s="5">
        <f>+$P472*BL472</f>
        <v>0</v>
      </c>
      <c r="AA472" s="5">
        <f>+$P472*BM472</f>
        <v>0</v>
      </c>
      <c r="AB472" s="5">
        <f>+$P472*BN472</f>
        <v>0</v>
      </c>
      <c r="AC472" s="5">
        <v>0</v>
      </c>
      <c r="AD472" s="5">
        <f>+$AC472*BC472</f>
        <v>0</v>
      </c>
      <c r="AE472" s="5">
        <f>+$AC472*BD472</f>
        <v>0</v>
      </c>
      <c r="AF472" s="5">
        <f>+$AC472*BE472</f>
        <v>0</v>
      </c>
      <c r="AG472" s="5">
        <f>+$AC472*BF472</f>
        <v>0</v>
      </c>
      <c r="AH472" s="5">
        <f>+$AC472*BG472</f>
        <v>0</v>
      </c>
      <c r="AI472" s="5">
        <f>+$AC472*BH472</f>
        <v>0</v>
      </c>
      <c r="AJ472" s="5">
        <f>+$AC472*BI472</f>
        <v>0</v>
      </c>
      <c r="AK472" s="5">
        <f>+$AC472*BJ472</f>
        <v>0</v>
      </c>
      <c r="AL472" s="5">
        <f>+$AC472*BK472</f>
        <v>0</v>
      </c>
      <c r="AM472" s="5">
        <f>+$AC472*BL472</f>
        <v>0</v>
      </c>
      <c r="AN472" s="5">
        <f>+$AC472*BM472</f>
        <v>0</v>
      </c>
      <c r="AO472" s="5">
        <f>+$AC472*BN472</f>
        <v>0</v>
      </c>
      <c r="AP472" s="5">
        <f>+AC472+P472+C472</f>
        <v>0</v>
      </c>
      <c r="AQ472" s="1">
        <v>170.28033903085213</v>
      </c>
      <c r="AR472" s="1">
        <v>203.63929636480108</v>
      </c>
      <c r="AS472" s="1">
        <v>180.22226960601887</v>
      </c>
      <c r="AT472" s="1">
        <v>136.51143450256464</v>
      </c>
      <c r="AU472" s="1">
        <v>197.97408852169147</v>
      </c>
      <c r="AV472" s="1">
        <v>162.2395458998673</v>
      </c>
      <c r="AW472" s="1">
        <v>161.52076073024244</v>
      </c>
      <c r="AX472" s="1">
        <v>109.68760741615179</v>
      </c>
      <c r="AY472" s="1">
        <v>162.58995559148002</v>
      </c>
      <c r="AZ472" s="1">
        <v>141.59495047260523</v>
      </c>
      <c r="BA472" s="1">
        <v>144.57381174316609</v>
      </c>
      <c r="BB472" s="1">
        <v>141.20830451936195</v>
      </c>
      <c r="BC472" s="2">
        <v>8.9181565948742242E-2</v>
      </c>
      <c r="BD472" s="2">
        <v>0.10665277883445198</v>
      </c>
      <c r="BE472" s="2">
        <v>9.438849084854764E-2</v>
      </c>
      <c r="BF472" s="2">
        <v>7.149564986855049E-2</v>
      </c>
      <c r="BG472" s="2">
        <v>0.10368571810536763</v>
      </c>
      <c r="BH472" s="2">
        <v>8.4970330952544637E-2</v>
      </c>
      <c r="BI472" s="2">
        <v>8.4593878877262704E-2</v>
      </c>
      <c r="BJ472" s="2">
        <v>5.7447105462779965E-2</v>
      </c>
      <c r="BK472" s="2">
        <v>8.5153852345557474E-2</v>
      </c>
      <c r="BL472" s="2">
        <v>7.4158058913035174E-2</v>
      </c>
      <c r="BM472" s="2">
        <v>7.5718189192107169E-2</v>
      </c>
      <c r="BN472" s="2">
        <v>7.3955559365675619E-2</v>
      </c>
    </row>
    <row r="473" spans="1:66" x14ac:dyDescent="0.25">
      <c r="A473" s="8">
        <v>4157</v>
      </c>
      <c r="B473" s="8" t="s">
        <v>523</v>
      </c>
      <c r="C473" s="5">
        <v>0</v>
      </c>
      <c r="D473" s="5">
        <f>+$C473*BC473</f>
        <v>0</v>
      </c>
      <c r="E473" s="5">
        <f>+$C473*BD473</f>
        <v>0</v>
      </c>
      <c r="F473" s="5">
        <f>+$C473*BE473</f>
        <v>0</v>
      </c>
      <c r="G473" s="5">
        <f>+$C473*BF473</f>
        <v>0</v>
      </c>
      <c r="H473" s="5">
        <f>+$C473*BG473</f>
        <v>0</v>
      </c>
      <c r="I473" s="5">
        <f>+$C473*BH473</f>
        <v>0</v>
      </c>
      <c r="J473" s="5">
        <f>+$C473*BI473</f>
        <v>0</v>
      </c>
      <c r="K473" s="5">
        <f>+$C473*BJ473</f>
        <v>0</v>
      </c>
      <c r="L473" s="5">
        <f>+$C473*BK473</f>
        <v>0</v>
      </c>
      <c r="M473" s="5">
        <f>+$C473*BL473</f>
        <v>0</v>
      </c>
      <c r="N473" s="5">
        <f>+$C473*BM473</f>
        <v>0</v>
      </c>
      <c r="O473" s="5">
        <f>+$C473*BN473</f>
        <v>0</v>
      </c>
      <c r="P473" s="5">
        <v>0</v>
      </c>
      <c r="Q473" s="5">
        <f>+$P473*BC473</f>
        <v>0</v>
      </c>
      <c r="R473" s="5">
        <f>+$P473*BD473</f>
        <v>0</v>
      </c>
      <c r="S473" s="5">
        <f>+$P473*BE473</f>
        <v>0</v>
      </c>
      <c r="T473" s="5">
        <f>+$P473*BF473</f>
        <v>0</v>
      </c>
      <c r="U473" s="5">
        <f>+$P473*BG473</f>
        <v>0</v>
      </c>
      <c r="V473" s="5">
        <f>+$P473*BH473</f>
        <v>0</v>
      </c>
      <c r="W473" s="5">
        <f>+$P473*BI473</f>
        <v>0</v>
      </c>
      <c r="X473" s="5">
        <f>+$P473*BJ473</f>
        <v>0</v>
      </c>
      <c r="Y473" s="5">
        <f>+$P473*BK473</f>
        <v>0</v>
      </c>
      <c r="Z473" s="5">
        <f>+$P473*BL473</f>
        <v>0</v>
      </c>
      <c r="AA473" s="5">
        <f>+$P473*BM473</f>
        <v>0</v>
      </c>
      <c r="AB473" s="5">
        <f>+$P473*BN473</f>
        <v>0</v>
      </c>
      <c r="AC473" s="5">
        <v>0</v>
      </c>
      <c r="AD473" s="5">
        <f>+$AC473*BC473</f>
        <v>0</v>
      </c>
      <c r="AE473" s="5">
        <f>+$AC473*BD473</f>
        <v>0</v>
      </c>
      <c r="AF473" s="5">
        <f>+$AC473*BE473</f>
        <v>0</v>
      </c>
      <c r="AG473" s="5">
        <f>+$AC473*BF473</f>
        <v>0</v>
      </c>
      <c r="AH473" s="5">
        <f>+$AC473*BG473</f>
        <v>0</v>
      </c>
      <c r="AI473" s="5">
        <f>+$AC473*BH473</f>
        <v>0</v>
      </c>
      <c r="AJ473" s="5">
        <f>+$AC473*BI473</f>
        <v>0</v>
      </c>
      <c r="AK473" s="5">
        <f>+$AC473*BJ473</f>
        <v>0</v>
      </c>
      <c r="AL473" s="5">
        <f>+$AC473*BK473</f>
        <v>0</v>
      </c>
      <c r="AM473" s="5">
        <f>+$AC473*BL473</f>
        <v>0</v>
      </c>
      <c r="AN473" s="5">
        <f>+$AC473*BM473</f>
        <v>0</v>
      </c>
      <c r="AO473" s="5">
        <f>+$AC473*BN473</f>
        <v>0</v>
      </c>
      <c r="AP473" s="5">
        <f>+AC473+P473+C473</f>
        <v>0</v>
      </c>
      <c r="AQ473" s="1">
        <v>21.515052785134067</v>
      </c>
      <c r="AR473" s="1">
        <v>25.729982893811542</v>
      </c>
      <c r="AS473" s="1">
        <v>22.77122341721212</v>
      </c>
      <c r="AT473" s="1">
        <v>17.248325530787806</v>
      </c>
      <c r="AU473" s="1">
        <v>25.01417949291994</v>
      </c>
      <c r="AV473" s="1">
        <v>20.499092342301395</v>
      </c>
      <c r="AW473" s="1">
        <v>20.408273279139628</v>
      </c>
      <c r="AX473" s="1">
        <v>13.859114192895667</v>
      </c>
      <c r="AY473" s="1">
        <v>20.543366878365742</v>
      </c>
      <c r="AZ473" s="1">
        <v>17.890631712769736</v>
      </c>
      <c r="BA473" s="1">
        <v>18.267013142595854</v>
      </c>
      <c r="BB473" s="1">
        <v>17.841778696969243</v>
      </c>
      <c r="BC473" s="2">
        <v>8.9181565948742242E-2</v>
      </c>
      <c r="BD473" s="2">
        <v>0.10665277883445198</v>
      </c>
      <c r="BE473" s="2">
        <v>9.438849084854764E-2</v>
      </c>
      <c r="BF473" s="2">
        <v>7.149564986855049E-2</v>
      </c>
      <c r="BG473" s="2">
        <v>0.10368571810536763</v>
      </c>
      <c r="BH473" s="2">
        <v>8.4970330952544637E-2</v>
      </c>
      <c r="BI473" s="2">
        <v>8.4593878877262704E-2</v>
      </c>
      <c r="BJ473" s="2">
        <v>5.7447105462779965E-2</v>
      </c>
      <c r="BK473" s="2">
        <v>8.5153852345557474E-2</v>
      </c>
      <c r="BL473" s="2">
        <v>7.4158058913035174E-2</v>
      </c>
      <c r="BM473" s="2">
        <v>7.5718189192107169E-2</v>
      </c>
      <c r="BN473" s="2">
        <v>7.3955559365675619E-2</v>
      </c>
    </row>
    <row r="474" spans="1:66" x14ac:dyDescent="0.25">
      <c r="A474" s="8">
        <v>5554</v>
      </c>
      <c r="B474" s="8" t="s">
        <v>522</v>
      </c>
      <c r="C474" s="5">
        <v>0</v>
      </c>
      <c r="D474" s="5">
        <f>+$C474*BC474</f>
        <v>0</v>
      </c>
      <c r="E474" s="5">
        <f>+$C474*BD474</f>
        <v>0</v>
      </c>
      <c r="F474" s="5">
        <f>+$C474*BE474</f>
        <v>0</v>
      </c>
      <c r="G474" s="5">
        <f>+$C474*BF474</f>
        <v>0</v>
      </c>
      <c r="H474" s="5">
        <f>+$C474*BG474</f>
        <v>0</v>
      </c>
      <c r="I474" s="5">
        <f>+$C474*BH474</f>
        <v>0</v>
      </c>
      <c r="J474" s="5">
        <f>+$C474*BI474</f>
        <v>0</v>
      </c>
      <c r="K474" s="5">
        <f>+$C474*BJ474</f>
        <v>0</v>
      </c>
      <c r="L474" s="5">
        <f>+$C474*BK474</f>
        <v>0</v>
      </c>
      <c r="M474" s="5">
        <f>+$C474*BL474</f>
        <v>0</v>
      </c>
      <c r="N474" s="5">
        <f>+$C474*BM474</f>
        <v>0</v>
      </c>
      <c r="O474" s="5">
        <f>+$C474*BN474</f>
        <v>0</v>
      </c>
      <c r="P474" s="5">
        <v>0</v>
      </c>
      <c r="Q474" s="5">
        <f>+$P474*BC474</f>
        <v>0</v>
      </c>
      <c r="R474" s="5">
        <f>+$P474*BD474</f>
        <v>0</v>
      </c>
      <c r="S474" s="5">
        <f>+$P474*BE474</f>
        <v>0</v>
      </c>
      <c r="T474" s="5">
        <f>+$P474*BF474</f>
        <v>0</v>
      </c>
      <c r="U474" s="5">
        <f>+$P474*BG474</f>
        <v>0</v>
      </c>
      <c r="V474" s="5">
        <f>+$P474*BH474</f>
        <v>0</v>
      </c>
      <c r="W474" s="5">
        <f>+$P474*BI474</f>
        <v>0</v>
      </c>
      <c r="X474" s="5">
        <f>+$P474*BJ474</f>
        <v>0</v>
      </c>
      <c r="Y474" s="5">
        <f>+$P474*BK474</f>
        <v>0</v>
      </c>
      <c r="Z474" s="5">
        <f>+$P474*BL474</f>
        <v>0</v>
      </c>
      <c r="AA474" s="5">
        <f>+$P474*BM474</f>
        <v>0</v>
      </c>
      <c r="AB474" s="5">
        <f>+$P474*BN474</f>
        <v>0</v>
      </c>
      <c r="AC474" s="5">
        <v>0</v>
      </c>
      <c r="AD474" s="5">
        <f>+$AC474*BC474</f>
        <v>0</v>
      </c>
      <c r="AE474" s="5">
        <f>+$AC474*BD474</f>
        <v>0</v>
      </c>
      <c r="AF474" s="5">
        <f>+$AC474*BE474</f>
        <v>0</v>
      </c>
      <c r="AG474" s="5">
        <f>+$AC474*BF474</f>
        <v>0</v>
      </c>
      <c r="AH474" s="5">
        <f>+$AC474*BG474</f>
        <v>0</v>
      </c>
      <c r="AI474" s="5">
        <f>+$AC474*BH474</f>
        <v>0</v>
      </c>
      <c r="AJ474" s="5">
        <f>+$AC474*BI474</f>
        <v>0</v>
      </c>
      <c r="AK474" s="5">
        <f>+$AC474*BJ474</f>
        <v>0</v>
      </c>
      <c r="AL474" s="5">
        <f>+$AC474*BK474</f>
        <v>0</v>
      </c>
      <c r="AM474" s="5">
        <f>+$AC474*BL474</f>
        <v>0</v>
      </c>
      <c r="AN474" s="5">
        <f>+$AC474*BM474</f>
        <v>0</v>
      </c>
      <c r="AO474" s="5">
        <f>+$AC474*BN474</f>
        <v>0</v>
      </c>
      <c r="AP474" s="5">
        <f>+AC474+P474+C474</f>
        <v>0</v>
      </c>
      <c r="AQ474" s="1">
        <v>17.836313189748449</v>
      </c>
      <c r="AR474" s="1">
        <v>21.330555766890395</v>
      </c>
      <c r="AS474" s="1">
        <v>18.877698169709529</v>
      </c>
      <c r="AT474" s="1">
        <v>14.299129973710098</v>
      </c>
      <c r="AU474" s="1">
        <v>20.737143621073525</v>
      </c>
      <c r="AV474" s="1">
        <v>16.994066190508928</v>
      </c>
      <c r="AW474" s="1">
        <v>16.918775775452541</v>
      </c>
      <c r="AX474" s="1">
        <v>11.489421092555993</v>
      </c>
      <c r="AY474" s="1">
        <v>17.030770469111495</v>
      </c>
      <c r="AZ474" s="1">
        <v>14.831611782607034</v>
      </c>
      <c r="BA474" s="1">
        <v>15.143637838421434</v>
      </c>
      <c r="BB474" s="1">
        <v>14.791111873135124</v>
      </c>
      <c r="BC474" s="2">
        <v>8.9181565948742242E-2</v>
      </c>
      <c r="BD474" s="2">
        <v>0.10665277883445198</v>
      </c>
      <c r="BE474" s="2">
        <v>9.438849084854764E-2</v>
      </c>
      <c r="BF474" s="2">
        <v>7.149564986855049E-2</v>
      </c>
      <c r="BG474" s="2">
        <v>0.10368571810536763</v>
      </c>
      <c r="BH474" s="2">
        <v>8.4970330952544637E-2</v>
      </c>
      <c r="BI474" s="2">
        <v>8.4593878877262704E-2</v>
      </c>
      <c r="BJ474" s="2">
        <v>5.7447105462779965E-2</v>
      </c>
      <c r="BK474" s="2">
        <v>8.5153852345557474E-2</v>
      </c>
      <c r="BL474" s="2">
        <v>7.4158058913035174E-2</v>
      </c>
      <c r="BM474" s="2">
        <v>7.5718189192107169E-2</v>
      </c>
      <c r="BN474" s="2">
        <v>7.3955559365675619E-2</v>
      </c>
    </row>
    <row r="475" spans="1:66" x14ac:dyDescent="0.25">
      <c r="A475" s="8">
        <v>5556</v>
      </c>
      <c r="B475" s="8" t="s">
        <v>521</v>
      </c>
      <c r="C475" s="5">
        <v>0</v>
      </c>
      <c r="D475" s="5">
        <f>+$C475*BC475</f>
        <v>0</v>
      </c>
      <c r="E475" s="5">
        <f>+$C475*BD475</f>
        <v>0</v>
      </c>
      <c r="F475" s="5">
        <f>+$C475*BE475</f>
        <v>0</v>
      </c>
      <c r="G475" s="5">
        <f>+$C475*BF475</f>
        <v>0</v>
      </c>
      <c r="H475" s="5">
        <f>+$C475*BG475</f>
        <v>0</v>
      </c>
      <c r="I475" s="5">
        <f>+$C475*BH475</f>
        <v>0</v>
      </c>
      <c r="J475" s="5">
        <f>+$C475*BI475</f>
        <v>0</v>
      </c>
      <c r="K475" s="5">
        <f>+$C475*BJ475</f>
        <v>0</v>
      </c>
      <c r="L475" s="5">
        <f>+$C475*BK475</f>
        <v>0</v>
      </c>
      <c r="M475" s="5">
        <f>+$C475*BL475</f>
        <v>0</v>
      </c>
      <c r="N475" s="5">
        <f>+$C475*BM475</f>
        <v>0</v>
      </c>
      <c r="O475" s="5">
        <f>+$C475*BN475</f>
        <v>0</v>
      </c>
      <c r="P475" s="5">
        <v>0</v>
      </c>
      <c r="Q475" s="5">
        <f>+$P475*BC475</f>
        <v>0</v>
      </c>
      <c r="R475" s="5">
        <f>+$P475*BD475</f>
        <v>0</v>
      </c>
      <c r="S475" s="5">
        <f>+$P475*BE475</f>
        <v>0</v>
      </c>
      <c r="T475" s="5">
        <f>+$P475*BF475</f>
        <v>0</v>
      </c>
      <c r="U475" s="5">
        <f>+$P475*BG475</f>
        <v>0</v>
      </c>
      <c r="V475" s="5">
        <f>+$P475*BH475</f>
        <v>0</v>
      </c>
      <c r="W475" s="5">
        <f>+$P475*BI475</f>
        <v>0</v>
      </c>
      <c r="X475" s="5">
        <f>+$P475*BJ475</f>
        <v>0</v>
      </c>
      <c r="Y475" s="5">
        <f>+$P475*BK475</f>
        <v>0</v>
      </c>
      <c r="Z475" s="5">
        <f>+$P475*BL475</f>
        <v>0</v>
      </c>
      <c r="AA475" s="5">
        <f>+$P475*BM475</f>
        <v>0</v>
      </c>
      <c r="AB475" s="5">
        <f>+$P475*BN475</f>
        <v>0</v>
      </c>
      <c r="AC475" s="5">
        <v>0</v>
      </c>
      <c r="AD475" s="5">
        <f>+$AC475*BC475</f>
        <v>0</v>
      </c>
      <c r="AE475" s="5">
        <f>+$AC475*BD475</f>
        <v>0</v>
      </c>
      <c r="AF475" s="5">
        <f>+$AC475*BE475</f>
        <v>0</v>
      </c>
      <c r="AG475" s="5">
        <f>+$AC475*BF475</f>
        <v>0</v>
      </c>
      <c r="AH475" s="5">
        <f>+$AC475*BG475</f>
        <v>0</v>
      </c>
      <c r="AI475" s="5">
        <f>+$AC475*BH475</f>
        <v>0</v>
      </c>
      <c r="AJ475" s="5">
        <f>+$AC475*BI475</f>
        <v>0</v>
      </c>
      <c r="AK475" s="5">
        <f>+$AC475*BJ475</f>
        <v>0</v>
      </c>
      <c r="AL475" s="5">
        <f>+$AC475*BK475</f>
        <v>0</v>
      </c>
      <c r="AM475" s="5">
        <f>+$AC475*BL475</f>
        <v>0</v>
      </c>
      <c r="AN475" s="5">
        <f>+$AC475*BM475</f>
        <v>0</v>
      </c>
      <c r="AO475" s="5">
        <f>+$AC475*BN475</f>
        <v>0</v>
      </c>
      <c r="AP475" s="5">
        <f>+AC475+P475+C475</f>
        <v>0</v>
      </c>
      <c r="AQ475" s="1">
        <v>17.836313189748449</v>
      </c>
      <c r="AR475" s="1">
        <v>21.330555766890395</v>
      </c>
      <c r="AS475" s="1">
        <v>18.877698169709529</v>
      </c>
      <c r="AT475" s="1">
        <v>14.299129973710098</v>
      </c>
      <c r="AU475" s="1">
        <v>20.737143621073525</v>
      </c>
      <c r="AV475" s="1">
        <v>16.994066190508928</v>
      </c>
      <c r="AW475" s="1">
        <v>16.918775775452541</v>
      </c>
      <c r="AX475" s="1">
        <v>11.489421092555993</v>
      </c>
      <c r="AY475" s="1">
        <v>17.030770469111495</v>
      </c>
      <c r="AZ475" s="1">
        <v>14.831611782607034</v>
      </c>
      <c r="BA475" s="1">
        <v>15.143637838421434</v>
      </c>
      <c r="BB475" s="1">
        <v>14.791111873135124</v>
      </c>
      <c r="BC475" s="2">
        <v>8.9181565948742242E-2</v>
      </c>
      <c r="BD475" s="2">
        <v>0.10665277883445198</v>
      </c>
      <c r="BE475" s="2">
        <v>9.438849084854764E-2</v>
      </c>
      <c r="BF475" s="2">
        <v>7.149564986855049E-2</v>
      </c>
      <c r="BG475" s="2">
        <v>0.10368571810536763</v>
      </c>
      <c r="BH475" s="2">
        <v>8.4970330952544637E-2</v>
      </c>
      <c r="BI475" s="2">
        <v>8.4593878877262704E-2</v>
      </c>
      <c r="BJ475" s="2">
        <v>5.7447105462779965E-2</v>
      </c>
      <c r="BK475" s="2">
        <v>8.5153852345557474E-2</v>
      </c>
      <c r="BL475" s="2">
        <v>7.4158058913035174E-2</v>
      </c>
      <c r="BM475" s="2">
        <v>7.5718189192107169E-2</v>
      </c>
      <c r="BN475" s="2">
        <v>7.3955559365675619E-2</v>
      </c>
    </row>
    <row r="476" spans="1:66" x14ac:dyDescent="0.25">
      <c r="A476" s="8">
        <v>5560</v>
      </c>
      <c r="B476" s="8" t="s">
        <v>520</v>
      </c>
      <c r="C476" s="5">
        <v>0</v>
      </c>
      <c r="D476" s="5">
        <f>+$C476*BC476</f>
        <v>0</v>
      </c>
      <c r="E476" s="5">
        <f>+$C476*BD476</f>
        <v>0</v>
      </c>
      <c r="F476" s="5">
        <f>+$C476*BE476</f>
        <v>0</v>
      </c>
      <c r="G476" s="5">
        <f>+$C476*BF476</f>
        <v>0</v>
      </c>
      <c r="H476" s="5">
        <f>+$C476*BG476</f>
        <v>0</v>
      </c>
      <c r="I476" s="5">
        <f>+$C476*BH476</f>
        <v>0</v>
      </c>
      <c r="J476" s="5">
        <f>+$C476*BI476</f>
        <v>0</v>
      </c>
      <c r="K476" s="5">
        <f>+$C476*BJ476</f>
        <v>0</v>
      </c>
      <c r="L476" s="5">
        <f>+$C476*BK476</f>
        <v>0</v>
      </c>
      <c r="M476" s="5">
        <f>+$C476*BL476</f>
        <v>0</v>
      </c>
      <c r="N476" s="5">
        <f>+$C476*BM476</f>
        <v>0</v>
      </c>
      <c r="O476" s="5">
        <f>+$C476*BN476</f>
        <v>0</v>
      </c>
      <c r="P476" s="5">
        <v>0</v>
      </c>
      <c r="Q476" s="5">
        <f>+$P476*BC476</f>
        <v>0</v>
      </c>
      <c r="R476" s="5">
        <f>+$P476*BD476</f>
        <v>0</v>
      </c>
      <c r="S476" s="5">
        <f>+$P476*BE476</f>
        <v>0</v>
      </c>
      <c r="T476" s="5">
        <f>+$P476*BF476</f>
        <v>0</v>
      </c>
      <c r="U476" s="5">
        <f>+$P476*BG476</f>
        <v>0</v>
      </c>
      <c r="V476" s="5">
        <f>+$P476*BH476</f>
        <v>0</v>
      </c>
      <c r="W476" s="5">
        <f>+$P476*BI476</f>
        <v>0</v>
      </c>
      <c r="X476" s="5">
        <f>+$P476*BJ476</f>
        <v>0</v>
      </c>
      <c r="Y476" s="5">
        <f>+$P476*BK476</f>
        <v>0</v>
      </c>
      <c r="Z476" s="5">
        <f>+$P476*BL476</f>
        <v>0</v>
      </c>
      <c r="AA476" s="5">
        <f>+$P476*BM476</f>
        <v>0</v>
      </c>
      <c r="AB476" s="5">
        <f>+$P476*BN476</f>
        <v>0</v>
      </c>
      <c r="AC476" s="5">
        <v>0</v>
      </c>
      <c r="AD476" s="5">
        <f>+$AC476*BC476</f>
        <v>0</v>
      </c>
      <c r="AE476" s="5">
        <f>+$AC476*BD476</f>
        <v>0</v>
      </c>
      <c r="AF476" s="5">
        <f>+$AC476*BE476</f>
        <v>0</v>
      </c>
      <c r="AG476" s="5">
        <f>+$AC476*BF476</f>
        <v>0</v>
      </c>
      <c r="AH476" s="5">
        <f>+$AC476*BG476</f>
        <v>0</v>
      </c>
      <c r="AI476" s="5">
        <f>+$AC476*BH476</f>
        <v>0</v>
      </c>
      <c r="AJ476" s="5">
        <f>+$AC476*BI476</f>
        <v>0</v>
      </c>
      <c r="AK476" s="5">
        <f>+$AC476*BJ476</f>
        <v>0</v>
      </c>
      <c r="AL476" s="5">
        <f>+$AC476*BK476</f>
        <v>0</v>
      </c>
      <c r="AM476" s="5">
        <f>+$AC476*BL476</f>
        <v>0</v>
      </c>
      <c r="AN476" s="5">
        <f>+$AC476*BM476</f>
        <v>0</v>
      </c>
      <c r="AO476" s="5">
        <f>+$AC476*BN476</f>
        <v>0</v>
      </c>
      <c r="AP476" s="5">
        <f>+AC476+P476+C476</f>
        <v>0</v>
      </c>
      <c r="AQ476" s="1">
        <v>17.836313189748449</v>
      </c>
      <c r="AR476" s="1">
        <v>21.330555766890395</v>
      </c>
      <c r="AS476" s="1">
        <v>18.877698169709529</v>
      </c>
      <c r="AT476" s="1">
        <v>14.299129973710098</v>
      </c>
      <c r="AU476" s="1">
        <v>20.737143621073525</v>
      </c>
      <c r="AV476" s="1">
        <v>16.994066190508928</v>
      </c>
      <c r="AW476" s="1">
        <v>16.918775775452541</v>
      </c>
      <c r="AX476" s="1">
        <v>11.489421092555993</v>
      </c>
      <c r="AY476" s="1">
        <v>17.030770469111495</v>
      </c>
      <c r="AZ476" s="1">
        <v>14.831611782607034</v>
      </c>
      <c r="BA476" s="1">
        <v>15.143637838421434</v>
      </c>
      <c r="BB476" s="1">
        <v>14.791111873135124</v>
      </c>
      <c r="BC476" s="2">
        <v>8.9181565948742242E-2</v>
      </c>
      <c r="BD476" s="2">
        <v>0.10665277883445198</v>
      </c>
      <c r="BE476" s="2">
        <v>9.438849084854764E-2</v>
      </c>
      <c r="BF476" s="2">
        <v>7.149564986855049E-2</v>
      </c>
      <c r="BG476" s="2">
        <v>0.10368571810536763</v>
      </c>
      <c r="BH476" s="2">
        <v>8.4970330952544637E-2</v>
      </c>
      <c r="BI476" s="2">
        <v>8.4593878877262704E-2</v>
      </c>
      <c r="BJ476" s="2">
        <v>5.7447105462779965E-2</v>
      </c>
      <c r="BK476" s="2">
        <v>8.5153852345557474E-2</v>
      </c>
      <c r="BL476" s="2">
        <v>7.4158058913035174E-2</v>
      </c>
      <c r="BM476" s="2">
        <v>7.5718189192107169E-2</v>
      </c>
      <c r="BN476" s="2">
        <v>7.3955559365675619E-2</v>
      </c>
    </row>
    <row r="477" spans="1:66" x14ac:dyDescent="0.25">
      <c r="A477" s="8">
        <v>6557</v>
      </c>
      <c r="B477" s="8" t="s">
        <v>519</v>
      </c>
      <c r="C477" s="5">
        <v>0</v>
      </c>
      <c r="D477" s="5">
        <f>+$C477*BC477</f>
        <v>0</v>
      </c>
      <c r="E477" s="5">
        <f>+$C477*BD477</f>
        <v>0</v>
      </c>
      <c r="F477" s="5">
        <f>+$C477*BE477</f>
        <v>0</v>
      </c>
      <c r="G477" s="5">
        <f>+$C477*BF477</f>
        <v>0</v>
      </c>
      <c r="H477" s="5">
        <f>+$C477*BG477</f>
        <v>0</v>
      </c>
      <c r="I477" s="5">
        <f>+$C477*BH477</f>
        <v>0</v>
      </c>
      <c r="J477" s="5">
        <f>+$C477*BI477</f>
        <v>0</v>
      </c>
      <c r="K477" s="5">
        <f>+$C477*BJ477</f>
        <v>0</v>
      </c>
      <c r="L477" s="5">
        <f>+$C477*BK477</f>
        <v>0</v>
      </c>
      <c r="M477" s="5">
        <f>+$C477*BL477</f>
        <v>0</v>
      </c>
      <c r="N477" s="5">
        <f>+$C477*BM477</f>
        <v>0</v>
      </c>
      <c r="O477" s="5">
        <f>+$C477*BN477</f>
        <v>0</v>
      </c>
      <c r="P477" s="5">
        <v>0</v>
      </c>
      <c r="Q477" s="5">
        <f>+$P477*BC477</f>
        <v>0</v>
      </c>
      <c r="R477" s="5">
        <f>+$P477*BD477</f>
        <v>0</v>
      </c>
      <c r="S477" s="5">
        <f>+$P477*BE477</f>
        <v>0</v>
      </c>
      <c r="T477" s="5">
        <f>+$P477*BF477</f>
        <v>0</v>
      </c>
      <c r="U477" s="5">
        <f>+$P477*BG477</f>
        <v>0</v>
      </c>
      <c r="V477" s="5">
        <f>+$P477*BH477</f>
        <v>0</v>
      </c>
      <c r="W477" s="5">
        <f>+$P477*BI477</f>
        <v>0</v>
      </c>
      <c r="X477" s="5">
        <f>+$P477*BJ477</f>
        <v>0</v>
      </c>
      <c r="Y477" s="5">
        <f>+$P477*BK477</f>
        <v>0</v>
      </c>
      <c r="Z477" s="5">
        <f>+$P477*BL477</f>
        <v>0</v>
      </c>
      <c r="AA477" s="5">
        <f>+$P477*BM477</f>
        <v>0</v>
      </c>
      <c r="AB477" s="5">
        <f>+$P477*BN477</f>
        <v>0</v>
      </c>
      <c r="AC477" s="5">
        <v>0</v>
      </c>
      <c r="AD477" s="5">
        <f>+$AC477*BC477</f>
        <v>0</v>
      </c>
      <c r="AE477" s="5">
        <f>+$AC477*BD477</f>
        <v>0</v>
      </c>
      <c r="AF477" s="5">
        <f>+$AC477*BE477</f>
        <v>0</v>
      </c>
      <c r="AG477" s="5">
        <f>+$AC477*BF477</f>
        <v>0</v>
      </c>
      <c r="AH477" s="5">
        <f>+$AC477*BG477</f>
        <v>0</v>
      </c>
      <c r="AI477" s="5">
        <f>+$AC477*BH477</f>
        <v>0</v>
      </c>
      <c r="AJ477" s="5">
        <f>+$AC477*BI477</f>
        <v>0</v>
      </c>
      <c r="AK477" s="5">
        <f>+$AC477*BJ477</f>
        <v>0</v>
      </c>
      <c r="AL477" s="5">
        <f>+$AC477*BK477</f>
        <v>0</v>
      </c>
      <c r="AM477" s="5">
        <f>+$AC477*BL477</f>
        <v>0</v>
      </c>
      <c r="AN477" s="5">
        <f>+$AC477*BM477</f>
        <v>0</v>
      </c>
      <c r="AO477" s="5">
        <f>+$AC477*BN477</f>
        <v>0</v>
      </c>
      <c r="AP477" s="5">
        <f>+AC477+P477+C477</f>
        <v>0</v>
      </c>
      <c r="AQ477" s="1">
        <v>17.836313189748449</v>
      </c>
      <c r="AR477" s="1">
        <v>21.330555766890395</v>
      </c>
      <c r="AS477" s="1">
        <v>18.877698169709529</v>
      </c>
      <c r="AT477" s="1">
        <v>14.299129973710098</v>
      </c>
      <c r="AU477" s="1">
        <v>20.737143621073525</v>
      </c>
      <c r="AV477" s="1">
        <v>16.994066190508928</v>
      </c>
      <c r="AW477" s="1">
        <v>16.918775775452541</v>
      </c>
      <c r="AX477" s="1">
        <v>11.489421092555993</v>
      </c>
      <c r="AY477" s="1">
        <v>17.030770469111495</v>
      </c>
      <c r="AZ477" s="1">
        <v>14.831611782607034</v>
      </c>
      <c r="BA477" s="1">
        <v>15.143637838421434</v>
      </c>
      <c r="BB477" s="1">
        <v>14.791111873135124</v>
      </c>
      <c r="BC477" s="2">
        <v>8.9181565948742242E-2</v>
      </c>
      <c r="BD477" s="2">
        <v>0.10665277883445198</v>
      </c>
      <c r="BE477" s="2">
        <v>9.438849084854764E-2</v>
      </c>
      <c r="BF477" s="2">
        <v>7.149564986855049E-2</v>
      </c>
      <c r="BG477" s="2">
        <v>0.10368571810536763</v>
      </c>
      <c r="BH477" s="2">
        <v>8.4970330952544637E-2</v>
      </c>
      <c r="BI477" s="2">
        <v>8.4593878877262704E-2</v>
      </c>
      <c r="BJ477" s="2">
        <v>5.7447105462779965E-2</v>
      </c>
      <c r="BK477" s="2">
        <v>8.5153852345557474E-2</v>
      </c>
      <c r="BL477" s="2">
        <v>7.4158058913035174E-2</v>
      </c>
      <c r="BM477" s="2">
        <v>7.5718189192107169E-2</v>
      </c>
      <c r="BN477" s="2">
        <v>7.3955559365675619E-2</v>
      </c>
    </row>
    <row r="478" spans="1:66" x14ac:dyDescent="0.25">
      <c r="A478" s="8">
        <v>6588</v>
      </c>
      <c r="B478" s="8" t="s">
        <v>518</v>
      </c>
      <c r="C478" s="5">
        <v>0</v>
      </c>
      <c r="D478" s="5">
        <f>+$C478*BC478</f>
        <v>0</v>
      </c>
      <c r="E478" s="5">
        <f>+$C478*BD478</f>
        <v>0</v>
      </c>
      <c r="F478" s="5">
        <f>+$C478*BE478</f>
        <v>0</v>
      </c>
      <c r="G478" s="5">
        <f>+$C478*BF478</f>
        <v>0</v>
      </c>
      <c r="H478" s="5">
        <f>+$C478*BG478</f>
        <v>0</v>
      </c>
      <c r="I478" s="5">
        <f>+$C478*BH478</f>
        <v>0</v>
      </c>
      <c r="J478" s="5">
        <f>+$C478*BI478</f>
        <v>0</v>
      </c>
      <c r="K478" s="5">
        <f>+$C478*BJ478</f>
        <v>0</v>
      </c>
      <c r="L478" s="5">
        <f>+$C478*BK478</f>
        <v>0</v>
      </c>
      <c r="M478" s="5">
        <f>+$C478*BL478</f>
        <v>0</v>
      </c>
      <c r="N478" s="5">
        <f>+$C478*BM478</f>
        <v>0</v>
      </c>
      <c r="O478" s="5">
        <f>+$C478*BN478</f>
        <v>0</v>
      </c>
      <c r="P478" s="5">
        <v>0</v>
      </c>
      <c r="Q478" s="5">
        <f>+$P478*BC478</f>
        <v>0</v>
      </c>
      <c r="R478" s="5">
        <f>+$P478*BD478</f>
        <v>0</v>
      </c>
      <c r="S478" s="5">
        <f>+$P478*BE478</f>
        <v>0</v>
      </c>
      <c r="T478" s="5">
        <f>+$P478*BF478</f>
        <v>0</v>
      </c>
      <c r="U478" s="5">
        <f>+$P478*BG478</f>
        <v>0</v>
      </c>
      <c r="V478" s="5">
        <f>+$P478*BH478</f>
        <v>0</v>
      </c>
      <c r="W478" s="5">
        <f>+$P478*BI478</f>
        <v>0</v>
      </c>
      <c r="X478" s="5">
        <f>+$P478*BJ478</f>
        <v>0</v>
      </c>
      <c r="Y478" s="5">
        <f>+$P478*BK478</f>
        <v>0</v>
      </c>
      <c r="Z478" s="5">
        <f>+$P478*BL478</f>
        <v>0</v>
      </c>
      <c r="AA478" s="5">
        <f>+$P478*BM478</f>
        <v>0</v>
      </c>
      <c r="AB478" s="5">
        <f>+$P478*BN478</f>
        <v>0</v>
      </c>
      <c r="AC478" s="5">
        <v>0</v>
      </c>
      <c r="AD478" s="5">
        <f>+$AC478*BC478</f>
        <v>0</v>
      </c>
      <c r="AE478" s="5">
        <f>+$AC478*BD478</f>
        <v>0</v>
      </c>
      <c r="AF478" s="5">
        <f>+$AC478*BE478</f>
        <v>0</v>
      </c>
      <c r="AG478" s="5">
        <f>+$AC478*BF478</f>
        <v>0</v>
      </c>
      <c r="AH478" s="5">
        <f>+$AC478*BG478</f>
        <v>0</v>
      </c>
      <c r="AI478" s="5">
        <f>+$AC478*BH478</f>
        <v>0</v>
      </c>
      <c r="AJ478" s="5">
        <f>+$AC478*BI478</f>
        <v>0</v>
      </c>
      <c r="AK478" s="5">
        <f>+$AC478*BJ478</f>
        <v>0</v>
      </c>
      <c r="AL478" s="5">
        <f>+$AC478*BK478</f>
        <v>0</v>
      </c>
      <c r="AM478" s="5">
        <f>+$AC478*BL478</f>
        <v>0</v>
      </c>
      <c r="AN478" s="5">
        <f>+$AC478*BM478</f>
        <v>0</v>
      </c>
      <c r="AO478" s="5">
        <f>+$AC478*BN478</f>
        <v>0</v>
      </c>
      <c r="AP478" s="5">
        <f>+AC478+P478+C478</f>
        <v>0</v>
      </c>
      <c r="AQ478" s="1">
        <v>17.836313189748449</v>
      </c>
      <c r="AR478" s="1">
        <v>21.330555766890395</v>
      </c>
      <c r="AS478" s="1">
        <v>18.877698169709529</v>
      </c>
      <c r="AT478" s="1">
        <v>14.299129973710098</v>
      </c>
      <c r="AU478" s="1">
        <v>20.737143621073525</v>
      </c>
      <c r="AV478" s="1">
        <v>16.994066190508928</v>
      </c>
      <c r="AW478" s="1">
        <v>16.918775775452541</v>
      </c>
      <c r="AX478" s="1">
        <v>11.489421092555993</v>
      </c>
      <c r="AY478" s="1">
        <v>17.030770469111495</v>
      </c>
      <c r="AZ478" s="1">
        <v>14.831611782607034</v>
      </c>
      <c r="BA478" s="1">
        <v>15.143637838421434</v>
      </c>
      <c r="BB478" s="1">
        <v>14.791111873135124</v>
      </c>
      <c r="BC478" s="2">
        <v>8.9181565948742242E-2</v>
      </c>
      <c r="BD478" s="2">
        <v>0.10665277883445198</v>
      </c>
      <c r="BE478" s="2">
        <v>9.438849084854764E-2</v>
      </c>
      <c r="BF478" s="2">
        <v>7.149564986855049E-2</v>
      </c>
      <c r="BG478" s="2">
        <v>0.10368571810536763</v>
      </c>
      <c r="BH478" s="2">
        <v>8.4970330952544637E-2</v>
      </c>
      <c r="BI478" s="2">
        <v>8.4593878877262704E-2</v>
      </c>
      <c r="BJ478" s="2">
        <v>5.7447105462779965E-2</v>
      </c>
      <c r="BK478" s="2">
        <v>8.5153852345557474E-2</v>
      </c>
      <c r="BL478" s="2">
        <v>7.4158058913035174E-2</v>
      </c>
      <c r="BM478" s="2">
        <v>7.5718189192107169E-2</v>
      </c>
      <c r="BN478" s="2">
        <v>7.3955559365675619E-2</v>
      </c>
    </row>
    <row r="479" spans="1:66" x14ac:dyDescent="0.25">
      <c r="A479" s="8">
        <v>6665</v>
      </c>
      <c r="B479" s="8" t="s">
        <v>517</v>
      </c>
      <c r="C479" s="5">
        <v>188.87</v>
      </c>
      <c r="D479" s="5">
        <f>+$C479*BC479</f>
        <v>16.843722360738948</v>
      </c>
      <c r="E479" s="5">
        <f>+$C479*BD479</f>
        <v>20.143510338462946</v>
      </c>
      <c r="F479" s="5">
        <f>+$C479*BE479</f>
        <v>17.827154266565195</v>
      </c>
      <c r="G479" s="5">
        <f>+$C479*BF479</f>
        <v>13.503383390673131</v>
      </c>
      <c r="H479" s="5">
        <f>+$C479*BG479</f>
        <v>19.583121578560785</v>
      </c>
      <c r="I479" s="5">
        <f>+$C479*BH479</f>
        <v>16.048346407007106</v>
      </c>
      <c r="J479" s="5">
        <f>+$C479*BI479</f>
        <v>15.977245903548607</v>
      </c>
      <c r="K479" s="5">
        <f>+$C479*BJ479</f>
        <v>10.850034808755252</v>
      </c>
      <c r="L479" s="5">
        <f>+$C479*BK479</f>
        <v>16.083008092505441</v>
      </c>
      <c r="M479" s="5">
        <f>+$C479*BL479</f>
        <v>14.006232586904954</v>
      </c>
      <c r="N479" s="5">
        <f>+$C479*BM479</f>
        <v>14.300894392713282</v>
      </c>
      <c r="O479" s="5">
        <f>+$C479*BN479</f>
        <v>13.967986497395154</v>
      </c>
      <c r="P479" s="5">
        <v>0</v>
      </c>
      <c r="Q479" s="5">
        <f>+$P479*BC479</f>
        <v>0</v>
      </c>
      <c r="R479" s="5">
        <f>+$P479*BD479</f>
        <v>0</v>
      </c>
      <c r="S479" s="5">
        <f>+$P479*BE479</f>
        <v>0</v>
      </c>
      <c r="T479" s="5">
        <f>+$P479*BF479</f>
        <v>0</v>
      </c>
      <c r="U479" s="5">
        <f>+$P479*BG479</f>
        <v>0</v>
      </c>
      <c r="V479" s="5">
        <f>+$P479*BH479</f>
        <v>0</v>
      </c>
      <c r="W479" s="5">
        <f>+$P479*BI479</f>
        <v>0</v>
      </c>
      <c r="X479" s="5">
        <f>+$P479*BJ479</f>
        <v>0</v>
      </c>
      <c r="Y479" s="5">
        <f>+$P479*BK479</f>
        <v>0</v>
      </c>
      <c r="Z479" s="5">
        <f>+$P479*BL479</f>
        <v>0</v>
      </c>
      <c r="AA479" s="5">
        <f>+$P479*BM479</f>
        <v>0</v>
      </c>
      <c r="AB479" s="5">
        <f>+$P479*BN479</f>
        <v>0</v>
      </c>
      <c r="AC479" s="5">
        <v>0</v>
      </c>
      <c r="AD479" s="5">
        <f>+$AC479*BC479</f>
        <v>0</v>
      </c>
      <c r="AE479" s="5">
        <f>+$AC479*BD479</f>
        <v>0</v>
      </c>
      <c r="AF479" s="5">
        <f>+$AC479*BE479</f>
        <v>0</v>
      </c>
      <c r="AG479" s="5">
        <f>+$AC479*BF479</f>
        <v>0</v>
      </c>
      <c r="AH479" s="5">
        <f>+$AC479*BG479</f>
        <v>0</v>
      </c>
      <c r="AI479" s="5">
        <f>+$AC479*BH479</f>
        <v>0</v>
      </c>
      <c r="AJ479" s="5">
        <f>+$AC479*BI479</f>
        <v>0</v>
      </c>
      <c r="AK479" s="5">
        <f>+$AC479*BJ479</f>
        <v>0</v>
      </c>
      <c r="AL479" s="5">
        <f>+$AC479*BK479</f>
        <v>0</v>
      </c>
      <c r="AM479" s="5">
        <f>+$AC479*BL479</f>
        <v>0</v>
      </c>
      <c r="AN479" s="5">
        <f>+$AC479*BM479</f>
        <v>0</v>
      </c>
      <c r="AO479" s="5">
        <f>+$AC479*BN479</f>
        <v>0</v>
      </c>
      <c r="AP479" s="5">
        <f>+AC479+P479+C479</f>
        <v>188.87</v>
      </c>
      <c r="AQ479" s="1">
        <v>17.251728024954442</v>
      </c>
      <c r="AR479" s="1">
        <v>20.631446801630563</v>
      </c>
      <c r="AS479" s="1">
        <v>18.258981612197296</v>
      </c>
      <c r="AT479" s="1">
        <v>13.83047598882175</v>
      </c>
      <c r="AU479" s="1">
        <v>20.057483738892842</v>
      </c>
      <c r="AV479" s="1">
        <v>16.437085671114996</v>
      </c>
      <c r="AW479" s="1">
        <v>16.364262899412083</v>
      </c>
      <c r="AX479" s="1">
        <v>11.112855316247471</v>
      </c>
      <c r="AY479" s="1">
        <v>16.472586966986366</v>
      </c>
      <c r="AZ479" s="1">
        <v>14.345505706432089</v>
      </c>
      <c r="BA479" s="1">
        <v>14.647305108267171</v>
      </c>
      <c r="BB479" s="1">
        <v>14.30633318149312</v>
      </c>
      <c r="BC479" s="2">
        <v>8.9181565948742242E-2</v>
      </c>
      <c r="BD479" s="2">
        <v>0.10665277883445198</v>
      </c>
      <c r="BE479" s="2">
        <v>9.438849084854764E-2</v>
      </c>
      <c r="BF479" s="2">
        <v>7.149564986855049E-2</v>
      </c>
      <c r="BG479" s="2">
        <v>0.10368571810536763</v>
      </c>
      <c r="BH479" s="2">
        <v>8.4970330952544637E-2</v>
      </c>
      <c r="BI479" s="2">
        <v>8.4593878877262704E-2</v>
      </c>
      <c r="BJ479" s="2">
        <v>5.7447105462779965E-2</v>
      </c>
      <c r="BK479" s="2">
        <v>8.5153852345557474E-2</v>
      </c>
      <c r="BL479" s="2">
        <v>7.4158058913035174E-2</v>
      </c>
      <c r="BM479" s="2">
        <v>7.5718189192107169E-2</v>
      </c>
      <c r="BN479" s="2">
        <v>7.3955559365675619E-2</v>
      </c>
    </row>
    <row r="480" spans="1:66" x14ac:dyDescent="0.25">
      <c r="A480" s="8">
        <v>6595</v>
      </c>
      <c r="B480" s="8" t="s">
        <v>516</v>
      </c>
      <c r="C480" s="5">
        <v>0</v>
      </c>
      <c r="D480" s="5">
        <f>+$C480*BC480</f>
        <v>0</v>
      </c>
      <c r="E480" s="5">
        <f>+$C480*BD480</f>
        <v>0</v>
      </c>
      <c r="F480" s="5">
        <f>+$C480*BE480</f>
        <v>0</v>
      </c>
      <c r="G480" s="5">
        <f>+$C480*BF480</f>
        <v>0</v>
      </c>
      <c r="H480" s="5">
        <f>+$C480*BG480</f>
        <v>0</v>
      </c>
      <c r="I480" s="5">
        <f>+$C480*BH480</f>
        <v>0</v>
      </c>
      <c r="J480" s="5">
        <f>+$C480*BI480</f>
        <v>0</v>
      </c>
      <c r="K480" s="5">
        <f>+$C480*BJ480</f>
        <v>0</v>
      </c>
      <c r="L480" s="5">
        <f>+$C480*BK480</f>
        <v>0</v>
      </c>
      <c r="M480" s="5">
        <f>+$C480*BL480</f>
        <v>0</v>
      </c>
      <c r="N480" s="5">
        <f>+$C480*BM480</f>
        <v>0</v>
      </c>
      <c r="O480" s="5">
        <f>+$C480*BN480</f>
        <v>0</v>
      </c>
      <c r="P480" s="5">
        <v>0</v>
      </c>
      <c r="Q480" s="5">
        <f>+$P480*BC480</f>
        <v>0</v>
      </c>
      <c r="R480" s="5">
        <f>+$P480*BD480</f>
        <v>0</v>
      </c>
      <c r="S480" s="5">
        <f>+$P480*BE480</f>
        <v>0</v>
      </c>
      <c r="T480" s="5">
        <f>+$P480*BF480</f>
        <v>0</v>
      </c>
      <c r="U480" s="5">
        <f>+$P480*BG480</f>
        <v>0</v>
      </c>
      <c r="V480" s="5">
        <f>+$P480*BH480</f>
        <v>0</v>
      </c>
      <c r="W480" s="5">
        <f>+$P480*BI480</f>
        <v>0</v>
      </c>
      <c r="X480" s="5">
        <f>+$P480*BJ480</f>
        <v>0</v>
      </c>
      <c r="Y480" s="5">
        <f>+$P480*BK480</f>
        <v>0</v>
      </c>
      <c r="Z480" s="5">
        <f>+$P480*BL480</f>
        <v>0</v>
      </c>
      <c r="AA480" s="5">
        <f>+$P480*BM480</f>
        <v>0</v>
      </c>
      <c r="AB480" s="5">
        <f>+$P480*BN480</f>
        <v>0</v>
      </c>
      <c r="AC480" s="5">
        <v>0</v>
      </c>
      <c r="AD480" s="5">
        <f>+$AC480*BC480</f>
        <v>0</v>
      </c>
      <c r="AE480" s="5">
        <f>+$AC480*BD480</f>
        <v>0</v>
      </c>
      <c r="AF480" s="5">
        <f>+$AC480*BE480</f>
        <v>0</v>
      </c>
      <c r="AG480" s="5">
        <f>+$AC480*BF480</f>
        <v>0</v>
      </c>
      <c r="AH480" s="5">
        <f>+$AC480*BG480</f>
        <v>0</v>
      </c>
      <c r="AI480" s="5">
        <f>+$AC480*BH480</f>
        <v>0</v>
      </c>
      <c r="AJ480" s="5">
        <f>+$AC480*BI480</f>
        <v>0</v>
      </c>
      <c r="AK480" s="5">
        <f>+$AC480*BJ480</f>
        <v>0</v>
      </c>
      <c r="AL480" s="5">
        <f>+$AC480*BK480</f>
        <v>0</v>
      </c>
      <c r="AM480" s="5">
        <f>+$AC480*BL480</f>
        <v>0</v>
      </c>
      <c r="AN480" s="5">
        <f>+$AC480*BM480</f>
        <v>0</v>
      </c>
      <c r="AO480" s="5">
        <f>+$AC480*BN480</f>
        <v>0</v>
      </c>
      <c r="AP480" s="5">
        <f>+AC480+P480+C480</f>
        <v>0</v>
      </c>
      <c r="AQ480" s="1">
        <v>16.843722360738948</v>
      </c>
      <c r="AR480" s="1">
        <v>20.143510338462946</v>
      </c>
      <c r="AS480" s="1">
        <v>17.827154266565195</v>
      </c>
      <c r="AT480" s="1">
        <v>13.503383390673131</v>
      </c>
      <c r="AU480" s="1">
        <v>19.583121578560785</v>
      </c>
      <c r="AV480" s="1">
        <v>16.048346407007106</v>
      </c>
      <c r="AW480" s="1">
        <v>15.977245903548607</v>
      </c>
      <c r="AX480" s="1">
        <v>10.850034808755252</v>
      </c>
      <c r="AY480" s="1">
        <v>16.083008092505441</v>
      </c>
      <c r="AZ480" s="1">
        <v>14.006232586904954</v>
      </c>
      <c r="BA480" s="1">
        <v>14.300894392713282</v>
      </c>
      <c r="BB480" s="1">
        <v>13.967986497395154</v>
      </c>
      <c r="BC480" s="2">
        <v>8.9181565948742242E-2</v>
      </c>
      <c r="BD480" s="2">
        <v>0.10665277883445198</v>
      </c>
      <c r="BE480" s="2">
        <v>9.438849084854764E-2</v>
      </c>
      <c r="BF480" s="2">
        <v>7.149564986855049E-2</v>
      </c>
      <c r="BG480" s="2">
        <v>0.10368571810536763</v>
      </c>
      <c r="BH480" s="2">
        <v>8.4970330952544637E-2</v>
      </c>
      <c r="BI480" s="2">
        <v>8.4593878877262704E-2</v>
      </c>
      <c r="BJ480" s="2">
        <v>5.7447105462779965E-2</v>
      </c>
      <c r="BK480" s="2">
        <v>8.5153852345557474E-2</v>
      </c>
      <c r="BL480" s="2">
        <v>7.4158058913035174E-2</v>
      </c>
      <c r="BM480" s="2">
        <v>7.5718189192107169E-2</v>
      </c>
      <c r="BN480" s="2">
        <v>7.3955559365675619E-2</v>
      </c>
    </row>
    <row r="481" spans="1:66" x14ac:dyDescent="0.25">
      <c r="A481" s="8">
        <v>3552</v>
      </c>
      <c r="B481" s="8" t="s">
        <v>515</v>
      </c>
      <c r="C481" s="5">
        <v>0</v>
      </c>
      <c r="D481" s="5">
        <f>+$C481*BC481</f>
        <v>0</v>
      </c>
      <c r="E481" s="5">
        <f>+$C481*BD481</f>
        <v>0</v>
      </c>
      <c r="F481" s="5">
        <f>+$C481*BE481</f>
        <v>0</v>
      </c>
      <c r="G481" s="5">
        <f>+$C481*BF481</f>
        <v>0</v>
      </c>
      <c r="H481" s="5">
        <f>+$C481*BG481</f>
        <v>0</v>
      </c>
      <c r="I481" s="5">
        <f>+$C481*BH481</f>
        <v>0</v>
      </c>
      <c r="J481" s="5">
        <f>+$C481*BI481</f>
        <v>0</v>
      </c>
      <c r="K481" s="5">
        <f>+$C481*BJ481</f>
        <v>0</v>
      </c>
      <c r="L481" s="5">
        <f>+$C481*BK481</f>
        <v>0</v>
      </c>
      <c r="M481" s="5">
        <f>+$C481*BL481</f>
        <v>0</v>
      </c>
      <c r="N481" s="5">
        <f>+$C481*BM481</f>
        <v>0</v>
      </c>
      <c r="O481" s="5">
        <f>+$C481*BN481</f>
        <v>0</v>
      </c>
      <c r="P481" s="5">
        <v>0</v>
      </c>
      <c r="Q481" s="5">
        <f>+$P481*BC481</f>
        <v>0</v>
      </c>
      <c r="R481" s="5">
        <f>+$P481*BD481</f>
        <v>0</v>
      </c>
      <c r="S481" s="5">
        <f>+$P481*BE481</f>
        <v>0</v>
      </c>
      <c r="T481" s="5">
        <f>+$P481*BF481</f>
        <v>0</v>
      </c>
      <c r="U481" s="5">
        <f>+$P481*BG481</f>
        <v>0</v>
      </c>
      <c r="V481" s="5">
        <f>+$P481*BH481</f>
        <v>0</v>
      </c>
      <c r="W481" s="5">
        <f>+$P481*BI481</f>
        <v>0</v>
      </c>
      <c r="X481" s="5">
        <f>+$P481*BJ481</f>
        <v>0</v>
      </c>
      <c r="Y481" s="5">
        <f>+$P481*BK481</f>
        <v>0</v>
      </c>
      <c r="Z481" s="5">
        <f>+$P481*BL481</f>
        <v>0</v>
      </c>
      <c r="AA481" s="5">
        <f>+$P481*BM481</f>
        <v>0</v>
      </c>
      <c r="AB481" s="5">
        <f>+$P481*BN481</f>
        <v>0</v>
      </c>
      <c r="AC481" s="5">
        <v>0</v>
      </c>
      <c r="AD481" s="5">
        <f>+$AC481*BC481</f>
        <v>0</v>
      </c>
      <c r="AE481" s="5">
        <f>+$AC481*BD481</f>
        <v>0</v>
      </c>
      <c r="AF481" s="5">
        <f>+$AC481*BE481</f>
        <v>0</v>
      </c>
      <c r="AG481" s="5">
        <f>+$AC481*BF481</f>
        <v>0</v>
      </c>
      <c r="AH481" s="5">
        <f>+$AC481*BG481</f>
        <v>0</v>
      </c>
      <c r="AI481" s="5">
        <f>+$AC481*BH481</f>
        <v>0</v>
      </c>
      <c r="AJ481" s="5">
        <f>+$AC481*BI481</f>
        <v>0</v>
      </c>
      <c r="AK481" s="5">
        <f>+$AC481*BJ481</f>
        <v>0</v>
      </c>
      <c r="AL481" s="5">
        <f>+$AC481*BK481</f>
        <v>0</v>
      </c>
      <c r="AM481" s="5">
        <f>+$AC481*BL481</f>
        <v>0</v>
      </c>
      <c r="AN481" s="5">
        <f>+$AC481*BM481</f>
        <v>0</v>
      </c>
      <c r="AO481" s="5">
        <f>+$AC481*BN481</f>
        <v>0</v>
      </c>
      <c r="AP481" s="5">
        <f>+AC481+P481+C481</f>
        <v>0</v>
      </c>
      <c r="AQ481" s="1">
        <v>16.560124981021946</v>
      </c>
      <c r="AR481" s="1">
        <v>19.804354501769389</v>
      </c>
      <c r="AS481" s="1">
        <v>17.526998865666812</v>
      </c>
      <c r="AT481" s="1">
        <v>13.276027224091139</v>
      </c>
      <c r="AU481" s="1">
        <v>19.253400994985714</v>
      </c>
      <c r="AV481" s="1">
        <v>15.778140754578013</v>
      </c>
      <c r="AW481" s="1">
        <v>15.708237368718912</v>
      </c>
      <c r="AX481" s="1">
        <v>10.667353013383611</v>
      </c>
      <c r="AY481" s="1">
        <v>15.812218842046567</v>
      </c>
      <c r="AZ481" s="1">
        <v>13.770409959561501</v>
      </c>
      <c r="BA481" s="1">
        <v>14.06011055108238</v>
      </c>
      <c r="BB481" s="1">
        <v>13.732807818612306</v>
      </c>
      <c r="BC481" s="2">
        <v>8.9181565948742242E-2</v>
      </c>
      <c r="BD481" s="2">
        <v>0.10665277883445198</v>
      </c>
      <c r="BE481" s="2">
        <v>9.438849084854764E-2</v>
      </c>
      <c r="BF481" s="2">
        <v>7.149564986855049E-2</v>
      </c>
      <c r="BG481" s="2">
        <v>0.10368571810536763</v>
      </c>
      <c r="BH481" s="2">
        <v>8.4970330952544637E-2</v>
      </c>
      <c r="BI481" s="2">
        <v>8.4593878877262704E-2</v>
      </c>
      <c r="BJ481" s="2">
        <v>5.7447105462779965E-2</v>
      </c>
      <c r="BK481" s="2">
        <v>8.5153852345557474E-2</v>
      </c>
      <c r="BL481" s="2">
        <v>7.4158058913035174E-2</v>
      </c>
      <c r="BM481" s="2">
        <v>7.5718189192107169E-2</v>
      </c>
      <c r="BN481" s="2">
        <v>7.3955559365675619E-2</v>
      </c>
    </row>
    <row r="482" spans="1:66" x14ac:dyDescent="0.25">
      <c r="A482" s="8">
        <v>6684</v>
      </c>
      <c r="B482" s="8" t="s">
        <v>514</v>
      </c>
      <c r="C482" s="5">
        <v>176.77</v>
      </c>
      <c r="D482" s="5">
        <f>+$C482*BC482</f>
        <v>15.764625412759168</v>
      </c>
      <c r="E482" s="5">
        <f>+$C482*BD482</f>
        <v>18.85301171456608</v>
      </c>
      <c r="F482" s="5">
        <f>+$C482*BE482</f>
        <v>16.685053527297768</v>
      </c>
      <c r="G482" s="5">
        <f>+$C482*BF482</f>
        <v>12.638286027263671</v>
      </c>
      <c r="H482" s="5">
        <f>+$C482*BG482</f>
        <v>18.328524389485835</v>
      </c>
      <c r="I482" s="5">
        <f>+$C482*BH482</f>
        <v>15.020205402481317</v>
      </c>
      <c r="J482" s="5">
        <f>+$C482*BI482</f>
        <v>14.95365996913373</v>
      </c>
      <c r="K482" s="5">
        <f>+$C482*BJ482</f>
        <v>10.154924832655615</v>
      </c>
      <c r="L482" s="5">
        <f>+$C482*BK482</f>
        <v>15.052646479124196</v>
      </c>
      <c r="M482" s="5">
        <f>+$C482*BL482</f>
        <v>13.108920074057229</v>
      </c>
      <c r="N482" s="5">
        <f>+$C482*BM482</f>
        <v>13.384704303488785</v>
      </c>
      <c r="O482" s="5">
        <f>+$C482*BN482</f>
        <v>13.07312422907048</v>
      </c>
      <c r="P482" s="5">
        <v>0</v>
      </c>
      <c r="Q482" s="5">
        <f>+$P482*BC482</f>
        <v>0</v>
      </c>
      <c r="R482" s="5">
        <f>+$P482*BD482</f>
        <v>0</v>
      </c>
      <c r="S482" s="5">
        <f>+$P482*BE482</f>
        <v>0</v>
      </c>
      <c r="T482" s="5">
        <f>+$P482*BF482</f>
        <v>0</v>
      </c>
      <c r="U482" s="5">
        <f>+$P482*BG482</f>
        <v>0</v>
      </c>
      <c r="V482" s="5">
        <f>+$P482*BH482</f>
        <v>0</v>
      </c>
      <c r="W482" s="5">
        <f>+$P482*BI482</f>
        <v>0</v>
      </c>
      <c r="X482" s="5">
        <f>+$P482*BJ482</f>
        <v>0</v>
      </c>
      <c r="Y482" s="5">
        <f>+$P482*BK482</f>
        <v>0</v>
      </c>
      <c r="Z482" s="5">
        <f>+$P482*BL482</f>
        <v>0</v>
      </c>
      <c r="AA482" s="5">
        <f>+$P482*BM482</f>
        <v>0</v>
      </c>
      <c r="AB482" s="5">
        <f>+$P482*BN482</f>
        <v>0</v>
      </c>
      <c r="AC482" s="5">
        <v>0</v>
      </c>
      <c r="AD482" s="5">
        <f>+$AC482*BC482</f>
        <v>0</v>
      </c>
      <c r="AE482" s="5">
        <f>+$AC482*BD482</f>
        <v>0</v>
      </c>
      <c r="AF482" s="5">
        <f>+$AC482*BE482</f>
        <v>0</v>
      </c>
      <c r="AG482" s="5">
        <f>+$AC482*BF482</f>
        <v>0</v>
      </c>
      <c r="AH482" s="5">
        <f>+$AC482*BG482</f>
        <v>0</v>
      </c>
      <c r="AI482" s="5">
        <f>+$AC482*BH482</f>
        <v>0</v>
      </c>
      <c r="AJ482" s="5">
        <f>+$AC482*BI482</f>
        <v>0</v>
      </c>
      <c r="AK482" s="5">
        <f>+$AC482*BJ482</f>
        <v>0</v>
      </c>
      <c r="AL482" s="5">
        <f>+$AC482*BK482</f>
        <v>0</v>
      </c>
      <c r="AM482" s="5">
        <f>+$AC482*BL482</f>
        <v>0</v>
      </c>
      <c r="AN482" s="5">
        <f>+$AC482*BM482</f>
        <v>0</v>
      </c>
      <c r="AO482" s="5">
        <f>+$AC482*BN482</f>
        <v>0</v>
      </c>
      <c r="AP482" s="5">
        <f>+AC482+P482+C482</f>
        <v>176.77</v>
      </c>
      <c r="AQ482" s="1">
        <v>15.81456708969046</v>
      </c>
      <c r="AR482" s="1">
        <v>18.912737270713368</v>
      </c>
      <c r="AS482" s="1">
        <v>16.737911082172953</v>
      </c>
      <c r="AT482" s="1">
        <v>12.678323591190058</v>
      </c>
      <c r="AU482" s="1">
        <v>18.386588391624841</v>
      </c>
      <c r="AV482" s="1">
        <v>15.06778878781474</v>
      </c>
      <c r="AW482" s="1">
        <v>15.001032541304994</v>
      </c>
      <c r="AX482" s="1">
        <v>10.18709521171477</v>
      </c>
      <c r="AY482" s="1">
        <v>15.100332636437706</v>
      </c>
      <c r="AZ482" s="1">
        <v>13.150448587048526</v>
      </c>
      <c r="BA482" s="1">
        <v>13.427106489436364</v>
      </c>
      <c r="BB482" s="1">
        <v>13.114539342315256</v>
      </c>
      <c r="BC482" s="2">
        <v>8.9181565948742242E-2</v>
      </c>
      <c r="BD482" s="2">
        <v>0.10665277883445198</v>
      </c>
      <c r="BE482" s="2">
        <v>9.438849084854764E-2</v>
      </c>
      <c r="BF482" s="2">
        <v>7.149564986855049E-2</v>
      </c>
      <c r="BG482" s="2">
        <v>0.10368571810536763</v>
      </c>
      <c r="BH482" s="2">
        <v>8.4970330952544637E-2</v>
      </c>
      <c r="BI482" s="2">
        <v>8.4593878877262704E-2</v>
      </c>
      <c r="BJ482" s="2">
        <v>5.7447105462779965E-2</v>
      </c>
      <c r="BK482" s="2">
        <v>8.5153852345557474E-2</v>
      </c>
      <c r="BL482" s="2">
        <v>7.4158058913035174E-2</v>
      </c>
      <c r="BM482" s="2">
        <v>7.5718189192107169E-2</v>
      </c>
      <c r="BN482" s="2">
        <v>7.3955559365675619E-2</v>
      </c>
    </row>
    <row r="483" spans="1:66" x14ac:dyDescent="0.25">
      <c r="A483" s="8">
        <v>4810</v>
      </c>
      <c r="B483" s="8" t="s">
        <v>513</v>
      </c>
      <c r="C483" s="5">
        <v>0</v>
      </c>
      <c r="D483" s="5">
        <f>+$C483*BC483</f>
        <v>0</v>
      </c>
      <c r="E483" s="5">
        <f>+$C483*BD483</f>
        <v>0</v>
      </c>
      <c r="F483" s="5">
        <f>+$C483*BE483</f>
        <v>0</v>
      </c>
      <c r="G483" s="5">
        <f>+$C483*BF483</f>
        <v>0</v>
      </c>
      <c r="H483" s="5">
        <f>+$C483*BG483</f>
        <v>0</v>
      </c>
      <c r="I483" s="5">
        <f>+$C483*BH483</f>
        <v>0</v>
      </c>
      <c r="J483" s="5">
        <f>+$C483*BI483</f>
        <v>0</v>
      </c>
      <c r="K483" s="5">
        <f>+$C483*BJ483</f>
        <v>0</v>
      </c>
      <c r="L483" s="5">
        <f>+$C483*BK483</f>
        <v>0</v>
      </c>
      <c r="M483" s="5">
        <f>+$C483*BL483</f>
        <v>0</v>
      </c>
      <c r="N483" s="5">
        <f>+$C483*BM483</f>
        <v>0</v>
      </c>
      <c r="O483" s="5">
        <f>+$C483*BN483</f>
        <v>0</v>
      </c>
      <c r="P483" s="5">
        <v>0</v>
      </c>
      <c r="Q483" s="5">
        <f>+$P483*BC483</f>
        <v>0</v>
      </c>
      <c r="R483" s="5">
        <f>+$P483*BD483</f>
        <v>0</v>
      </c>
      <c r="S483" s="5">
        <f>+$P483*BE483</f>
        <v>0</v>
      </c>
      <c r="T483" s="5">
        <f>+$P483*BF483</f>
        <v>0</v>
      </c>
      <c r="U483" s="5">
        <f>+$P483*BG483</f>
        <v>0</v>
      </c>
      <c r="V483" s="5">
        <f>+$P483*BH483</f>
        <v>0</v>
      </c>
      <c r="W483" s="5">
        <f>+$P483*BI483</f>
        <v>0</v>
      </c>
      <c r="X483" s="5">
        <f>+$P483*BJ483</f>
        <v>0</v>
      </c>
      <c r="Y483" s="5">
        <f>+$P483*BK483</f>
        <v>0</v>
      </c>
      <c r="Z483" s="5">
        <f>+$P483*BL483</f>
        <v>0</v>
      </c>
      <c r="AA483" s="5">
        <f>+$P483*BM483</f>
        <v>0</v>
      </c>
      <c r="AB483" s="5">
        <f>+$P483*BN483</f>
        <v>0</v>
      </c>
      <c r="AC483" s="5">
        <v>0</v>
      </c>
      <c r="AD483" s="5">
        <f>+$AC483*BC483</f>
        <v>0</v>
      </c>
      <c r="AE483" s="5">
        <f>+$AC483*BD483</f>
        <v>0</v>
      </c>
      <c r="AF483" s="5">
        <f>+$AC483*BE483</f>
        <v>0</v>
      </c>
      <c r="AG483" s="5">
        <f>+$AC483*BF483</f>
        <v>0</v>
      </c>
      <c r="AH483" s="5">
        <f>+$AC483*BG483</f>
        <v>0</v>
      </c>
      <c r="AI483" s="5">
        <f>+$AC483*BH483</f>
        <v>0</v>
      </c>
      <c r="AJ483" s="5">
        <f>+$AC483*BI483</f>
        <v>0</v>
      </c>
      <c r="AK483" s="5">
        <f>+$AC483*BJ483</f>
        <v>0</v>
      </c>
      <c r="AL483" s="5">
        <f>+$AC483*BK483</f>
        <v>0</v>
      </c>
      <c r="AM483" s="5">
        <f>+$AC483*BL483</f>
        <v>0</v>
      </c>
      <c r="AN483" s="5">
        <f>+$AC483*BM483</f>
        <v>0</v>
      </c>
      <c r="AO483" s="5">
        <f>+$AC483*BN483</f>
        <v>0</v>
      </c>
      <c r="AP483" s="5">
        <f>+AC483+P483+C483</f>
        <v>0</v>
      </c>
      <c r="AQ483" s="1">
        <v>15.764625412759168</v>
      </c>
      <c r="AR483" s="1">
        <v>18.85301171456608</v>
      </c>
      <c r="AS483" s="1">
        <v>16.685053527297768</v>
      </c>
      <c r="AT483" s="1">
        <v>12.638286027263671</v>
      </c>
      <c r="AU483" s="1">
        <v>18.328524389485835</v>
      </c>
      <c r="AV483" s="1">
        <v>15.020205402481317</v>
      </c>
      <c r="AW483" s="1">
        <v>14.95365996913373</v>
      </c>
      <c r="AX483" s="1">
        <v>10.154924832655615</v>
      </c>
      <c r="AY483" s="1">
        <v>15.052646479124196</v>
      </c>
      <c r="AZ483" s="1">
        <v>13.108920074057229</v>
      </c>
      <c r="BA483" s="1">
        <v>13.384704303488785</v>
      </c>
      <c r="BB483" s="1">
        <v>13.07312422907048</v>
      </c>
      <c r="BC483" s="2">
        <v>8.9181565948742242E-2</v>
      </c>
      <c r="BD483" s="2">
        <v>0.10665277883445198</v>
      </c>
      <c r="BE483" s="2">
        <v>9.438849084854764E-2</v>
      </c>
      <c r="BF483" s="2">
        <v>7.149564986855049E-2</v>
      </c>
      <c r="BG483" s="2">
        <v>0.10368571810536763</v>
      </c>
      <c r="BH483" s="2">
        <v>8.4970330952544637E-2</v>
      </c>
      <c r="BI483" s="2">
        <v>8.4593878877262704E-2</v>
      </c>
      <c r="BJ483" s="2">
        <v>5.7447105462779965E-2</v>
      </c>
      <c r="BK483" s="2">
        <v>8.5153852345557474E-2</v>
      </c>
      <c r="BL483" s="2">
        <v>7.4158058913035174E-2</v>
      </c>
      <c r="BM483" s="2">
        <v>7.5718189192107169E-2</v>
      </c>
      <c r="BN483" s="2">
        <v>7.3955559365675619E-2</v>
      </c>
    </row>
    <row r="484" spans="1:66" x14ac:dyDescent="0.25">
      <c r="A484" s="8">
        <v>2319</v>
      </c>
      <c r="B484" s="8" t="s">
        <v>512</v>
      </c>
      <c r="C484" s="5">
        <v>0</v>
      </c>
      <c r="D484" s="5">
        <f>+$C484*BC484</f>
        <v>0</v>
      </c>
      <c r="E484" s="5">
        <f>+$C484*BD484</f>
        <v>0</v>
      </c>
      <c r="F484" s="5">
        <f>+$C484*BE484</f>
        <v>0</v>
      </c>
      <c r="G484" s="5">
        <f>+$C484*BF484</f>
        <v>0</v>
      </c>
      <c r="H484" s="5">
        <f>+$C484*BG484</f>
        <v>0</v>
      </c>
      <c r="I484" s="5">
        <f>+$C484*BH484</f>
        <v>0</v>
      </c>
      <c r="J484" s="5">
        <f>+$C484*BI484</f>
        <v>0</v>
      </c>
      <c r="K484" s="5">
        <f>+$C484*BJ484</f>
        <v>0</v>
      </c>
      <c r="L484" s="5">
        <f>+$C484*BK484</f>
        <v>0</v>
      </c>
      <c r="M484" s="5">
        <f>+$C484*BL484</f>
        <v>0</v>
      </c>
      <c r="N484" s="5">
        <f>+$C484*BM484</f>
        <v>0</v>
      </c>
      <c r="O484" s="5">
        <f>+$C484*BN484</f>
        <v>0</v>
      </c>
      <c r="P484" s="5">
        <v>0</v>
      </c>
      <c r="Q484" s="5">
        <f>+$P484*BC484</f>
        <v>0</v>
      </c>
      <c r="R484" s="5">
        <f>+$P484*BD484</f>
        <v>0</v>
      </c>
      <c r="S484" s="5">
        <f>+$P484*BE484</f>
        <v>0</v>
      </c>
      <c r="T484" s="5">
        <f>+$P484*BF484</f>
        <v>0</v>
      </c>
      <c r="U484" s="5">
        <f>+$P484*BG484</f>
        <v>0</v>
      </c>
      <c r="V484" s="5">
        <f>+$P484*BH484</f>
        <v>0</v>
      </c>
      <c r="W484" s="5">
        <f>+$P484*BI484</f>
        <v>0</v>
      </c>
      <c r="X484" s="5">
        <f>+$P484*BJ484</f>
        <v>0</v>
      </c>
      <c r="Y484" s="5">
        <f>+$P484*BK484</f>
        <v>0</v>
      </c>
      <c r="Z484" s="5">
        <f>+$P484*BL484</f>
        <v>0</v>
      </c>
      <c r="AA484" s="5">
        <f>+$P484*BM484</f>
        <v>0</v>
      </c>
      <c r="AB484" s="5">
        <f>+$P484*BN484</f>
        <v>0</v>
      </c>
      <c r="AC484" s="5">
        <v>0</v>
      </c>
      <c r="AD484" s="5">
        <f>+$AC484*BC484</f>
        <v>0</v>
      </c>
      <c r="AE484" s="5">
        <f>+$AC484*BD484</f>
        <v>0</v>
      </c>
      <c r="AF484" s="5">
        <f>+$AC484*BE484</f>
        <v>0</v>
      </c>
      <c r="AG484" s="5">
        <f>+$AC484*BF484</f>
        <v>0</v>
      </c>
      <c r="AH484" s="5">
        <f>+$AC484*BG484</f>
        <v>0</v>
      </c>
      <c r="AI484" s="5">
        <f>+$AC484*BH484</f>
        <v>0</v>
      </c>
      <c r="AJ484" s="5">
        <f>+$AC484*BI484</f>
        <v>0</v>
      </c>
      <c r="AK484" s="5">
        <f>+$AC484*BJ484</f>
        <v>0</v>
      </c>
      <c r="AL484" s="5">
        <f>+$AC484*BK484</f>
        <v>0</v>
      </c>
      <c r="AM484" s="5">
        <f>+$AC484*BL484</f>
        <v>0</v>
      </c>
      <c r="AN484" s="5">
        <f>+$AC484*BM484</f>
        <v>0</v>
      </c>
      <c r="AO484" s="5">
        <f>+$AC484*BN484</f>
        <v>0</v>
      </c>
      <c r="AP484" s="5">
        <f>+AC484+P484+C484</f>
        <v>0</v>
      </c>
      <c r="AQ484" s="1">
        <v>15.526243086978182</v>
      </c>
      <c r="AR484" s="1">
        <v>18.56792883674159</v>
      </c>
      <c r="AS484" s="1">
        <v>16.432753091259602</v>
      </c>
      <c r="AT484" s="1">
        <v>12.447178155165037</v>
      </c>
      <c r="AU484" s="1">
        <v>18.051372464990191</v>
      </c>
      <c r="AV484" s="1">
        <v>14.793079707845166</v>
      </c>
      <c r="AW484" s="1">
        <v>14.727540530894808</v>
      </c>
      <c r="AX484" s="1">
        <v>10.001368719753605</v>
      </c>
      <c r="AY484" s="1">
        <v>14.825030231804522</v>
      </c>
      <c r="AZ484" s="1">
        <v>12.910695582582687</v>
      </c>
      <c r="BA484" s="1">
        <v>13.182309583778284</v>
      </c>
      <c r="BB484" s="1">
        <v>12.875441018886031</v>
      </c>
      <c r="BC484" s="2">
        <v>8.9181565948742242E-2</v>
      </c>
      <c r="BD484" s="2">
        <v>0.10665277883445198</v>
      </c>
      <c r="BE484" s="2">
        <v>9.438849084854764E-2</v>
      </c>
      <c r="BF484" s="2">
        <v>7.149564986855049E-2</v>
      </c>
      <c r="BG484" s="2">
        <v>0.10368571810536763</v>
      </c>
      <c r="BH484" s="2">
        <v>8.4970330952544637E-2</v>
      </c>
      <c r="BI484" s="2">
        <v>8.4593878877262704E-2</v>
      </c>
      <c r="BJ484" s="2">
        <v>5.7447105462779965E-2</v>
      </c>
      <c r="BK484" s="2">
        <v>8.5153852345557474E-2</v>
      </c>
      <c r="BL484" s="2">
        <v>7.4158058913035174E-2</v>
      </c>
      <c r="BM484" s="2">
        <v>7.5718189192107169E-2</v>
      </c>
      <c r="BN484" s="2">
        <v>7.3955559365675619E-2</v>
      </c>
    </row>
    <row r="485" spans="1:66" x14ac:dyDescent="0.25">
      <c r="A485" s="8">
        <v>6640</v>
      </c>
      <c r="B485" s="8" t="s">
        <v>511</v>
      </c>
      <c r="C485" s="5">
        <v>0</v>
      </c>
      <c r="D485" s="5">
        <f>+$C485*BC485</f>
        <v>0</v>
      </c>
      <c r="E485" s="5">
        <f>+$C485*BD485</f>
        <v>0</v>
      </c>
      <c r="F485" s="5">
        <f>+$C485*BE485</f>
        <v>0</v>
      </c>
      <c r="G485" s="5">
        <f>+$C485*BF485</f>
        <v>0</v>
      </c>
      <c r="H485" s="5">
        <f>+$C485*BG485</f>
        <v>0</v>
      </c>
      <c r="I485" s="5">
        <f>+$C485*BH485</f>
        <v>0</v>
      </c>
      <c r="J485" s="5">
        <f>+$C485*BI485</f>
        <v>0</v>
      </c>
      <c r="K485" s="5">
        <f>+$C485*BJ485</f>
        <v>0</v>
      </c>
      <c r="L485" s="5">
        <f>+$C485*BK485</f>
        <v>0</v>
      </c>
      <c r="M485" s="5">
        <f>+$C485*BL485</f>
        <v>0</v>
      </c>
      <c r="N485" s="5">
        <f>+$C485*BM485</f>
        <v>0</v>
      </c>
      <c r="O485" s="5">
        <f>+$C485*BN485</f>
        <v>0</v>
      </c>
      <c r="P485" s="5">
        <v>0</v>
      </c>
      <c r="Q485" s="5">
        <f>+$P485*BC485</f>
        <v>0</v>
      </c>
      <c r="R485" s="5">
        <f>+$P485*BD485</f>
        <v>0</v>
      </c>
      <c r="S485" s="5">
        <f>+$P485*BE485</f>
        <v>0</v>
      </c>
      <c r="T485" s="5">
        <f>+$P485*BF485</f>
        <v>0</v>
      </c>
      <c r="U485" s="5">
        <f>+$P485*BG485</f>
        <v>0</v>
      </c>
      <c r="V485" s="5">
        <f>+$P485*BH485</f>
        <v>0</v>
      </c>
      <c r="W485" s="5">
        <f>+$P485*BI485</f>
        <v>0</v>
      </c>
      <c r="X485" s="5">
        <f>+$P485*BJ485</f>
        <v>0</v>
      </c>
      <c r="Y485" s="5">
        <f>+$P485*BK485</f>
        <v>0</v>
      </c>
      <c r="Z485" s="5">
        <f>+$P485*BL485</f>
        <v>0</v>
      </c>
      <c r="AA485" s="5">
        <f>+$P485*BM485</f>
        <v>0</v>
      </c>
      <c r="AB485" s="5">
        <f>+$P485*BN485</f>
        <v>0</v>
      </c>
      <c r="AC485" s="5">
        <v>0</v>
      </c>
      <c r="AD485" s="5">
        <f>+$AC485*BC485</f>
        <v>0</v>
      </c>
      <c r="AE485" s="5">
        <f>+$AC485*BD485</f>
        <v>0</v>
      </c>
      <c r="AF485" s="5">
        <f>+$AC485*BE485</f>
        <v>0</v>
      </c>
      <c r="AG485" s="5">
        <f>+$AC485*BF485</f>
        <v>0</v>
      </c>
      <c r="AH485" s="5">
        <f>+$AC485*BG485</f>
        <v>0</v>
      </c>
      <c r="AI485" s="5">
        <f>+$AC485*BH485</f>
        <v>0</v>
      </c>
      <c r="AJ485" s="5">
        <f>+$AC485*BI485</f>
        <v>0</v>
      </c>
      <c r="AK485" s="5">
        <f>+$AC485*BJ485</f>
        <v>0</v>
      </c>
      <c r="AL485" s="5">
        <f>+$AC485*BK485</f>
        <v>0</v>
      </c>
      <c r="AM485" s="5">
        <f>+$AC485*BL485</f>
        <v>0</v>
      </c>
      <c r="AN485" s="5">
        <f>+$AC485*BM485</f>
        <v>0</v>
      </c>
      <c r="AO485" s="5">
        <f>+$AC485*BN485</f>
        <v>0</v>
      </c>
      <c r="AP485" s="5">
        <f>+AC485+P485+C485</f>
        <v>0</v>
      </c>
      <c r="AQ485" s="1">
        <v>15.309442700156788</v>
      </c>
      <c r="AR485" s="1">
        <v>18.308655931395037</v>
      </c>
      <c r="AS485" s="1">
        <v>16.20329467000678</v>
      </c>
      <c r="AT485" s="1">
        <v>12.273372230334591</v>
      </c>
      <c r="AU485" s="1">
        <v>17.79931248427604</v>
      </c>
      <c r="AV485" s="1">
        <v>14.58651683329953</v>
      </c>
      <c r="AW485" s="1">
        <v>14.521892811344182</v>
      </c>
      <c r="AX485" s="1">
        <v>9.8617148063735875</v>
      </c>
      <c r="AY485" s="1">
        <v>14.618021216752471</v>
      </c>
      <c r="AZ485" s="1">
        <v>12.730417341365099</v>
      </c>
      <c r="BA485" s="1">
        <v>12.998238665852272</v>
      </c>
      <c r="BB485" s="1">
        <v>12.695655054068073</v>
      </c>
      <c r="BC485" s="2">
        <v>8.9181565948742242E-2</v>
      </c>
      <c r="BD485" s="2">
        <v>0.10665277883445198</v>
      </c>
      <c r="BE485" s="2">
        <v>9.438849084854764E-2</v>
      </c>
      <c r="BF485" s="2">
        <v>7.149564986855049E-2</v>
      </c>
      <c r="BG485" s="2">
        <v>0.10368571810536763</v>
      </c>
      <c r="BH485" s="2">
        <v>8.4970330952544637E-2</v>
      </c>
      <c r="BI485" s="2">
        <v>8.4593878877262704E-2</v>
      </c>
      <c r="BJ485" s="2">
        <v>5.7447105462779965E-2</v>
      </c>
      <c r="BK485" s="2">
        <v>8.5153852345557474E-2</v>
      </c>
      <c r="BL485" s="2">
        <v>7.4158058913035174E-2</v>
      </c>
      <c r="BM485" s="2">
        <v>7.5718189192107169E-2</v>
      </c>
      <c r="BN485" s="2">
        <v>7.3955559365675619E-2</v>
      </c>
    </row>
    <row r="486" spans="1:66" x14ac:dyDescent="0.25">
      <c r="A486" s="8">
        <v>4549</v>
      </c>
      <c r="B486" s="8" t="s">
        <v>510</v>
      </c>
      <c r="C486" s="5">
        <v>0</v>
      </c>
      <c r="D486" s="5">
        <f>+$C486*BC486</f>
        <v>0</v>
      </c>
      <c r="E486" s="5">
        <f>+$C486*BD486</f>
        <v>0</v>
      </c>
      <c r="F486" s="5">
        <f>+$C486*BE486</f>
        <v>0</v>
      </c>
      <c r="G486" s="5">
        <f>+$C486*BF486</f>
        <v>0</v>
      </c>
      <c r="H486" s="5">
        <f>+$C486*BG486</f>
        <v>0</v>
      </c>
      <c r="I486" s="5">
        <f>+$C486*BH486</f>
        <v>0</v>
      </c>
      <c r="J486" s="5">
        <f>+$C486*BI486</f>
        <v>0</v>
      </c>
      <c r="K486" s="5">
        <f>+$C486*BJ486</f>
        <v>0</v>
      </c>
      <c r="L486" s="5">
        <f>+$C486*BK486</f>
        <v>0</v>
      </c>
      <c r="M486" s="5">
        <f>+$C486*BL486</f>
        <v>0</v>
      </c>
      <c r="N486" s="5">
        <f>+$C486*BM486</f>
        <v>0</v>
      </c>
      <c r="O486" s="5">
        <f>+$C486*BN486</f>
        <v>0</v>
      </c>
      <c r="P486" s="5">
        <v>0</v>
      </c>
      <c r="Q486" s="5">
        <f>+$P486*BC486</f>
        <v>0</v>
      </c>
      <c r="R486" s="5">
        <f>+$P486*BD486</f>
        <v>0</v>
      </c>
      <c r="S486" s="5">
        <f>+$P486*BE486</f>
        <v>0</v>
      </c>
      <c r="T486" s="5">
        <f>+$P486*BF486</f>
        <v>0</v>
      </c>
      <c r="U486" s="5">
        <f>+$P486*BG486</f>
        <v>0</v>
      </c>
      <c r="V486" s="5">
        <f>+$P486*BH486</f>
        <v>0</v>
      </c>
      <c r="W486" s="5">
        <f>+$P486*BI486</f>
        <v>0</v>
      </c>
      <c r="X486" s="5">
        <f>+$P486*BJ486</f>
        <v>0</v>
      </c>
      <c r="Y486" s="5">
        <f>+$P486*BK486</f>
        <v>0</v>
      </c>
      <c r="Z486" s="5">
        <f>+$P486*BL486</f>
        <v>0</v>
      </c>
      <c r="AA486" s="5">
        <f>+$P486*BM486</f>
        <v>0</v>
      </c>
      <c r="AB486" s="5">
        <f>+$P486*BN486</f>
        <v>0</v>
      </c>
      <c r="AC486" s="5">
        <v>0</v>
      </c>
      <c r="AD486" s="5">
        <f>+$AC486*BC486</f>
        <v>0</v>
      </c>
      <c r="AE486" s="5">
        <f>+$AC486*BD486</f>
        <v>0</v>
      </c>
      <c r="AF486" s="5">
        <f>+$AC486*BE486</f>
        <v>0</v>
      </c>
      <c r="AG486" s="5">
        <f>+$AC486*BF486</f>
        <v>0</v>
      </c>
      <c r="AH486" s="5">
        <f>+$AC486*BG486</f>
        <v>0</v>
      </c>
      <c r="AI486" s="5">
        <f>+$AC486*BH486</f>
        <v>0</v>
      </c>
      <c r="AJ486" s="5">
        <f>+$AC486*BI486</f>
        <v>0</v>
      </c>
      <c r="AK486" s="5">
        <f>+$AC486*BJ486</f>
        <v>0</v>
      </c>
      <c r="AL486" s="5">
        <f>+$AC486*BK486</f>
        <v>0</v>
      </c>
      <c r="AM486" s="5">
        <f>+$AC486*BL486</f>
        <v>0</v>
      </c>
      <c r="AN486" s="5">
        <f>+$AC486*BM486</f>
        <v>0</v>
      </c>
      <c r="AO486" s="5">
        <f>+$AC486*BN486</f>
        <v>0</v>
      </c>
      <c r="AP486" s="5">
        <f>+AC486+P486+C486</f>
        <v>0</v>
      </c>
      <c r="AQ486" s="1">
        <v>13.89680669552871</v>
      </c>
      <c r="AR486" s="1">
        <v>16.619275914657319</v>
      </c>
      <c r="AS486" s="1">
        <v>14.708180974965787</v>
      </c>
      <c r="AT486" s="1">
        <v>11.14088113641675</v>
      </c>
      <c r="AU486" s="1">
        <v>16.156930709487018</v>
      </c>
      <c r="AV486" s="1">
        <v>13.240586791011223</v>
      </c>
      <c r="AW486" s="1">
        <v>13.181925769928339</v>
      </c>
      <c r="AX486" s="1">
        <v>8.9517526558431513</v>
      </c>
      <c r="AY486" s="1">
        <v>13.269184195598841</v>
      </c>
      <c r="AZ486" s="1">
        <v>11.555753688182621</v>
      </c>
      <c r="BA486" s="1">
        <v>11.798862549049293</v>
      </c>
      <c r="BB486" s="1">
        <v>11.524198993715771</v>
      </c>
      <c r="BC486" s="2">
        <v>8.9181565948742242E-2</v>
      </c>
      <c r="BD486" s="2">
        <v>0.10665277883445198</v>
      </c>
      <c r="BE486" s="2">
        <v>9.438849084854764E-2</v>
      </c>
      <c r="BF486" s="2">
        <v>7.149564986855049E-2</v>
      </c>
      <c r="BG486" s="2">
        <v>0.10368571810536763</v>
      </c>
      <c r="BH486" s="2">
        <v>8.4970330952544637E-2</v>
      </c>
      <c r="BI486" s="2">
        <v>8.4593878877262704E-2</v>
      </c>
      <c r="BJ486" s="2">
        <v>5.7447105462779965E-2</v>
      </c>
      <c r="BK486" s="2">
        <v>8.5153852345557474E-2</v>
      </c>
      <c r="BL486" s="2">
        <v>7.4158058913035174E-2</v>
      </c>
      <c r="BM486" s="2">
        <v>7.5718189192107169E-2</v>
      </c>
      <c r="BN486" s="2">
        <v>7.3955559365675619E-2</v>
      </c>
    </row>
    <row r="487" spans="1:66" x14ac:dyDescent="0.25">
      <c r="A487" s="8">
        <v>3857</v>
      </c>
      <c r="B487" s="8" t="s">
        <v>509</v>
      </c>
      <c r="C487" s="5">
        <v>200</v>
      </c>
      <c r="D487" s="5">
        <f>+$C487*BC487</f>
        <v>17.836313189748449</v>
      </c>
      <c r="E487" s="5">
        <f>+$C487*BD487</f>
        <v>21.330555766890395</v>
      </c>
      <c r="F487" s="5">
        <f>+$C487*BE487</f>
        <v>18.877698169709529</v>
      </c>
      <c r="G487" s="5">
        <f>+$C487*BF487</f>
        <v>14.299129973710098</v>
      </c>
      <c r="H487" s="5">
        <f>+$C487*BG487</f>
        <v>20.737143621073525</v>
      </c>
      <c r="I487" s="5">
        <f>+$C487*BH487</f>
        <v>16.994066190508928</v>
      </c>
      <c r="J487" s="5">
        <f>+$C487*BI487</f>
        <v>16.918775775452541</v>
      </c>
      <c r="K487" s="5">
        <f>+$C487*BJ487</f>
        <v>11.489421092555993</v>
      </c>
      <c r="L487" s="5">
        <f>+$C487*BK487</f>
        <v>17.030770469111495</v>
      </c>
      <c r="M487" s="5">
        <f>+$C487*BL487</f>
        <v>14.831611782607034</v>
      </c>
      <c r="N487" s="5">
        <f>+$C487*BM487</f>
        <v>15.143637838421434</v>
      </c>
      <c r="O487" s="5">
        <f>+$C487*BN487</f>
        <v>14.791111873135124</v>
      </c>
      <c r="P487" s="5">
        <v>0</v>
      </c>
      <c r="Q487" s="5">
        <f>+$P487*BC487</f>
        <v>0</v>
      </c>
      <c r="R487" s="5">
        <f>+$P487*BD487</f>
        <v>0</v>
      </c>
      <c r="S487" s="5">
        <f>+$P487*BE487</f>
        <v>0</v>
      </c>
      <c r="T487" s="5">
        <f>+$P487*BF487</f>
        <v>0</v>
      </c>
      <c r="U487" s="5">
        <f>+$P487*BG487</f>
        <v>0</v>
      </c>
      <c r="V487" s="5">
        <f>+$P487*BH487</f>
        <v>0</v>
      </c>
      <c r="W487" s="5">
        <f>+$P487*BI487</f>
        <v>0</v>
      </c>
      <c r="X487" s="5">
        <f>+$P487*BJ487</f>
        <v>0</v>
      </c>
      <c r="Y487" s="5">
        <f>+$P487*BK487</f>
        <v>0</v>
      </c>
      <c r="Z487" s="5">
        <f>+$P487*BL487</f>
        <v>0</v>
      </c>
      <c r="AA487" s="5">
        <f>+$P487*BM487</f>
        <v>0</v>
      </c>
      <c r="AB487" s="5">
        <f>+$P487*BN487</f>
        <v>0</v>
      </c>
      <c r="AC487" s="5">
        <v>0</v>
      </c>
      <c r="AD487" s="5">
        <f>+$AC487*BC487</f>
        <v>0</v>
      </c>
      <c r="AE487" s="5">
        <f>+$AC487*BD487</f>
        <v>0</v>
      </c>
      <c r="AF487" s="5">
        <f>+$AC487*BE487</f>
        <v>0</v>
      </c>
      <c r="AG487" s="5">
        <f>+$AC487*BF487</f>
        <v>0</v>
      </c>
      <c r="AH487" s="5">
        <f>+$AC487*BG487</f>
        <v>0</v>
      </c>
      <c r="AI487" s="5">
        <f>+$AC487*BH487</f>
        <v>0</v>
      </c>
      <c r="AJ487" s="5">
        <f>+$AC487*BI487</f>
        <v>0</v>
      </c>
      <c r="AK487" s="5">
        <f>+$AC487*BJ487</f>
        <v>0</v>
      </c>
      <c r="AL487" s="5">
        <f>+$AC487*BK487</f>
        <v>0</v>
      </c>
      <c r="AM487" s="5">
        <f>+$AC487*BL487</f>
        <v>0</v>
      </c>
      <c r="AN487" s="5">
        <f>+$AC487*BM487</f>
        <v>0</v>
      </c>
      <c r="AO487" s="5">
        <f>+$AC487*BN487</f>
        <v>0</v>
      </c>
      <c r="AP487" s="5">
        <f>+AC487+P487+C487</f>
        <v>200</v>
      </c>
      <c r="AQ487" s="1">
        <v>13.743771128360668</v>
      </c>
      <c r="AR487" s="1">
        <v>16.436259746177395</v>
      </c>
      <c r="AS487" s="1">
        <v>14.546210324669678</v>
      </c>
      <c r="AT487" s="1">
        <v>11.018194601242318</v>
      </c>
      <c r="AU487" s="1">
        <v>15.979006017218207</v>
      </c>
      <c r="AV487" s="1">
        <v>13.094777703096655</v>
      </c>
      <c r="AW487" s="1">
        <v>13.036762673774957</v>
      </c>
      <c r="AX487" s="1">
        <v>8.8531734228690215</v>
      </c>
      <c r="AY487" s="1">
        <v>13.123060184973863</v>
      </c>
      <c r="AZ487" s="1">
        <v>11.428498459087852</v>
      </c>
      <c r="BA487" s="1">
        <v>11.668930136395637</v>
      </c>
      <c r="BB487" s="1">
        <v>11.397291253844271</v>
      </c>
      <c r="BC487" s="2">
        <v>8.9181565948742242E-2</v>
      </c>
      <c r="BD487" s="2">
        <v>0.10665277883445198</v>
      </c>
      <c r="BE487" s="2">
        <v>9.438849084854764E-2</v>
      </c>
      <c r="BF487" s="2">
        <v>7.149564986855049E-2</v>
      </c>
      <c r="BG487" s="2">
        <v>0.10368571810536763</v>
      </c>
      <c r="BH487" s="2">
        <v>8.4970330952544637E-2</v>
      </c>
      <c r="BI487" s="2">
        <v>8.4593878877262704E-2</v>
      </c>
      <c r="BJ487" s="2">
        <v>5.7447105462779965E-2</v>
      </c>
      <c r="BK487" s="2">
        <v>8.5153852345557474E-2</v>
      </c>
      <c r="BL487" s="2">
        <v>7.4158058913035174E-2</v>
      </c>
      <c r="BM487" s="2">
        <v>7.5718189192107169E-2</v>
      </c>
      <c r="BN487" s="2">
        <v>7.3955559365675619E-2</v>
      </c>
    </row>
    <row r="488" spans="1:66" x14ac:dyDescent="0.25">
      <c r="A488" s="8">
        <v>1523</v>
      </c>
      <c r="B488" s="8" t="s">
        <v>508</v>
      </c>
      <c r="C488" s="5">
        <v>0</v>
      </c>
      <c r="D488" s="5">
        <f>+$C488*BC488</f>
        <v>0</v>
      </c>
      <c r="E488" s="5">
        <f>+$C488*BD488</f>
        <v>0</v>
      </c>
      <c r="F488" s="5">
        <f>+$C488*BE488</f>
        <v>0</v>
      </c>
      <c r="G488" s="5">
        <f>+$C488*BF488</f>
        <v>0</v>
      </c>
      <c r="H488" s="5">
        <f>+$C488*BG488</f>
        <v>0</v>
      </c>
      <c r="I488" s="5">
        <f>+$C488*BH488</f>
        <v>0</v>
      </c>
      <c r="J488" s="5">
        <f>+$C488*BI488</f>
        <v>0</v>
      </c>
      <c r="K488" s="5">
        <f>+$C488*BJ488</f>
        <v>0</v>
      </c>
      <c r="L488" s="5">
        <f>+$C488*BK488</f>
        <v>0</v>
      </c>
      <c r="M488" s="5">
        <f>+$C488*BL488</f>
        <v>0</v>
      </c>
      <c r="N488" s="5">
        <f>+$C488*BM488</f>
        <v>0</v>
      </c>
      <c r="O488" s="5">
        <f>+$C488*BN488</f>
        <v>0</v>
      </c>
      <c r="P488" s="5">
        <v>0</v>
      </c>
      <c r="Q488" s="5">
        <f>+$P488*BC488</f>
        <v>0</v>
      </c>
      <c r="R488" s="5">
        <f>+$P488*BD488</f>
        <v>0</v>
      </c>
      <c r="S488" s="5">
        <f>+$P488*BE488</f>
        <v>0</v>
      </c>
      <c r="T488" s="5">
        <f>+$P488*BF488</f>
        <v>0</v>
      </c>
      <c r="U488" s="5">
        <f>+$P488*BG488</f>
        <v>0</v>
      </c>
      <c r="V488" s="5">
        <f>+$P488*BH488</f>
        <v>0</v>
      </c>
      <c r="W488" s="5">
        <f>+$P488*BI488</f>
        <v>0</v>
      </c>
      <c r="X488" s="5">
        <f>+$P488*BJ488</f>
        <v>0</v>
      </c>
      <c r="Y488" s="5">
        <f>+$P488*BK488</f>
        <v>0</v>
      </c>
      <c r="Z488" s="5">
        <f>+$P488*BL488</f>
        <v>0</v>
      </c>
      <c r="AA488" s="5">
        <f>+$P488*BM488</f>
        <v>0</v>
      </c>
      <c r="AB488" s="5">
        <f>+$P488*BN488</f>
        <v>0</v>
      </c>
      <c r="AC488" s="5">
        <v>0</v>
      </c>
      <c r="AD488" s="5">
        <f>+$AC488*BC488</f>
        <v>0</v>
      </c>
      <c r="AE488" s="5">
        <f>+$AC488*BD488</f>
        <v>0</v>
      </c>
      <c r="AF488" s="5">
        <f>+$AC488*BE488</f>
        <v>0</v>
      </c>
      <c r="AG488" s="5">
        <f>+$AC488*BF488</f>
        <v>0</v>
      </c>
      <c r="AH488" s="5">
        <f>+$AC488*BG488</f>
        <v>0</v>
      </c>
      <c r="AI488" s="5">
        <f>+$AC488*BH488</f>
        <v>0</v>
      </c>
      <c r="AJ488" s="5">
        <f>+$AC488*BI488</f>
        <v>0</v>
      </c>
      <c r="AK488" s="5">
        <f>+$AC488*BJ488</f>
        <v>0</v>
      </c>
      <c r="AL488" s="5">
        <f>+$AC488*BK488</f>
        <v>0</v>
      </c>
      <c r="AM488" s="5">
        <f>+$AC488*BL488</f>
        <v>0</v>
      </c>
      <c r="AN488" s="5">
        <f>+$AC488*BM488</f>
        <v>0</v>
      </c>
      <c r="AO488" s="5">
        <f>+$AC488*BN488</f>
        <v>0</v>
      </c>
      <c r="AP488" s="5">
        <f>+AC488+P488+C488</f>
        <v>0</v>
      </c>
      <c r="AQ488" s="1">
        <v>13.377234892311336</v>
      </c>
      <c r="AR488" s="1">
        <v>15.997916825167797</v>
      </c>
      <c r="AS488" s="1">
        <v>14.158273627282146</v>
      </c>
      <c r="AT488" s="1">
        <v>10.724347480282573</v>
      </c>
      <c r="AU488" s="1">
        <v>15.552857715805144</v>
      </c>
      <c r="AV488" s="1">
        <v>12.745549642881695</v>
      </c>
      <c r="AW488" s="1">
        <v>12.689081831589405</v>
      </c>
      <c r="AX488" s="1">
        <v>8.6170658194169949</v>
      </c>
      <c r="AY488" s="1">
        <v>12.773077851833621</v>
      </c>
      <c r="AZ488" s="1">
        <v>11.123708836955275</v>
      </c>
      <c r="BA488" s="1">
        <v>11.357728378816075</v>
      </c>
      <c r="BB488" s="1">
        <v>11.093333904851344</v>
      </c>
      <c r="BC488" s="2">
        <v>8.9181565948742242E-2</v>
      </c>
      <c r="BD488" s="2">
        <v>0.10665277883445198</v>
      </c>
      <c r="BE488" s="2">
        <v>9.438849084854764E-2</v>
      </c>
      <c r="BF488" s="2">
        <v>7.149564986855049E-2</v>
      </c>
      <c r="BG488" s="2">
        <v>0.10368571810536763</v>
      </c>
      <c r="BH488" s="2">
        <v>8.4970330952544637E-2</v>
      </c>
      <c r="BI488" s="2">
        <v>8.4593878877262704E-2</v>
      </c>
      <c r="BJ488" s="2">
        <v>5.7447105462779965E-2</v>
      </c>
      <c r="BK488" s="2">
        <v>8.5153852345557474E-2</v>
      </c>
      <c r="BL488" s="2">
        <v>7.4158058913035174E-2</v>
      </c>
      <c r="BM488" s="2">
        <v>7.5718189192107169E-2</v>
      </c>
      <c r="BN488" s="2">
        <v>7.3955559365675619E-2</v>
      </c>
    </row>
    <row r="489" spans="1:66" x14ac:dyDescent="0.25">
      <c r="A489" s="8">
        <v>6714</v>
      </c>
      <c r="B489" s="8" t="s">
        <v>507</v>
      </c>
      <c r="C489" s="5">
        <v>0</v>
      </c>
      <c r="D489" s="5">
        <f>+$C489*BC489</f>
        <v>0</v>
      </c>
      <c r="E489" s="5">
        <f>+$C489*BD489</f>
        <v>0</v>
      </c>
      <c r="F489" s="5">
        <f>+$C489*BE489</f>
        <v>0</v>
      </c>
      <c r="G489" s="5">
        <f>+$C489*BF489</f>
        <v>0</v>
      </c>
      <c r="H489" s="5">
        <f>+$C489*BG489</f>
        <v>0</v>
      </c>
      <c r="I489" s="5">
        <f>+$C489*BH489</f>
        <v>0</v>
      </c>
      <c r="J489" s="5">
        <f>+$C489*BI489</f>
        <v>0</v>
      </c>
      <c r="K489" s="5">
        <f>+$C489*BJ489</f>
        <v>0</v>
      </c>
      <c r="L489" s="5">
        <f>+$C489*BK489</f>
        <v>0</v>
      </c>
      <c r="M489" s="5">
        <f>+$C489*BL489</f>
        <v>0</v>
      </c>
      <c r="N489" s="5">
        <f>+$C489*BM489</f>
        <v>0</v>
      </c>
      <c r="O489" s="5">
        <f>+$C489*BN489</f>
        <v>0</v>
      </c>
      <c r="P489" s="5">
        <v>0</v>
      </c>
      <c r="Q489" s="5">
        <f>+$P489*BC489</f>
        <v>0</v>
      </c>
      <c r="R489" s="5">
        <f>+$P489*BD489</f>
        <v>0</v>
      </c>
      <c r="S489" s="5">
        <f>+$P489*BE489</f>
        <v>0</v>
      </c>
      <c r="T489" s="5">
        <f>+$P489*BF489</f>
        <v>0</v>
      </c>
      <c r="U489" s="5">
        <f>+$P489*BG489</f>
        <v>0</v>
      </c>
      <c r="V489" s="5">
        <f>+$P489*BH489</f>
        <v>0</v>
      </c>
      <c r="W489" s="5">
        <f>+$P489*BI489</f>
        <v>0</v>
      </c>
      <c r="X489" s="5">
        <f>+$P489*BJ489</f>
        <v>0</v>
      </c>
      <c r="Y489" s="5">
        <f>+$P489*BK489</f>
        <v>0</v>
      </c>
      <c r="Z489" s="5">
        <f>+$P489*BL489</f>
        <v>0</v>
      </c>
      <c r="AA489" s="5">
        <f>+$P489*BM489</f>
        <v>0</v>
      </c>
      <c r="AB489" s="5">
        <f>+$P489*BN489</f>
        <v>0</v>
      </c>
      <c r="AC489" s="5">
        <v>0</v>
      </c>
      <c r="AD489" s="5">
        <f>+$AC489*BC489</f>
        <v>0</v>
      </c>
      <c r="AE489" s="5">
        <f>+$AC489*BD489</f>
        <v>0</v>
      </c>
      <c r="AF489" s="5">
        <f>+$AC489*BE489</f>
        <v>0</v>
      </c>
      <c r="AG489" s="5">
        <f>+$AC489*BF489</f>
        <v>0</v>
      </c>
      <c r="AH489" s="5">
        <f>+$AC489*BG489</f>
        <v>0</v>
      </c>
      <c r="AI489" s="5">
        <f>+$AC489*BH489</f>
        <v>0</v>
      </c>
      <c r="AJ489" s="5">
        <f>+$AC489*BI489</f>
        <v>0</v>
      </c>
      <c r="AK489" s="5">
        <f>+$AC489*BJ489</f>
        <v>0</v>
      </c>
      <c r="AL489" s="5">
        <f>+$AC489*BK489</f>
        <v>0</v>
      </c>
      <c r="AM489" s="5">
        <f>+$AC489*BL489</f>
        <v>0</v>
      </c>
      <c r="AN489" s="5">
        <f>+$AC489*BM489</f>
        <v>0</v>
      </c>
      <c r="AO489" s="5">
        <f>+$AC489*BN489</f>
        <v>0</v>
      </c>
      <c r="AP489" s="5">
        <f>+AC489+P489+C489</f>
        <v>0</v>
      </c>
      <c r="AQ489" s="1">
        <v>12.814677574306671</v>
      </c>
      <c r="AR489" s="1">
        <v>15.325151096280075</v>
      </c>
      <c r="AS489" s="1">
        <v>13.562871027009509</v>
      </c>
      <c r="AT489" s="1">
        <v>10.273352920911757</v>
      </c>
      <c r="AU489" s="1">
        <v>14.898808205996486</v>
      </c>
      <c r="AV489" s="1">
        <v>12.209556795233045</v>
      </c>
      <c r="AW489" s="1">
        <v>12.155463643631633</v>
      </c>
      <c r="AX489" s="1">
        <v>8.2546894781577791</v>
      </c>
      <c r="AY489" s="1">
        <v>12.235927351237844</v>
      </c>
      <c r="AZ489" s="1">
        <v>10.655919801331851</v>
      </c>
      <c r="BA489" s="1">
        <v>10.880098041392264</v>
      </c>
      <c r="BB489" s="1">
        <v>10.626822236372661</v>
      </c>
      <c r="BC489" s="2">
        <v>8.9181565948742242E-2</v>
      </c>
      <c r="BD489" s="2">
        <v>0.10665277883445198</v>
      </c>
      <c r="BE489" s="2">
        <v>9.438849084854764E-2</v>
      </c>
      <c r="BF489" s="2">
        <v>7.149564986855049E-2</v>
      </c>
      <c r="BG489" s="2">
        <v>0.10368571810536763</v>
      </c>
      <c r="BH489" s="2">
        <v>8.4970330952544637E-2</v>
      </c>
      <c r="BI489" s="2">
        <v>8.4593878877262704E-2</v>
      </c>
      <c r="BJ489" s="2">
        <v>5.7447105462779965E-2</v>
      </c>
      <c r="BK489" s="2">
        <v>8.5153852345557474E-2</v>
      </c>
      <c r="BL489" s="2">
        <v>7.4158058913035174E-2</v>
      </c>
      <c r="BM489" s="2">
        <v>7.5718189192107169E-2</v>
      </c>
      <c r="BN489" s="2">
        <v>7.3955559365675619E-2</v>
      </c>
    </row>
    <row r="490" spans="1:66" x14ac:dyDescent="0.25">
      <c r="A490" s="8">
        <v>4430</v>
      </c>
      <c r="B490" s="8" t="s">
        <v>506</v>
      </c>
      <c r="C490" s="5">
        <v>0</v>
      </c>
      <c r="D490" s="5">
        <f>+$C490*BC490</f>
        <v>0</v>
      </c>
      <c r="E490" s="5">
        <f>+$C490*BD490</f>
        <v>0</v>
      </c>
      <c r="F490" s="5">
        <f>+$C490*BE490</f>
        <v>0</v>
      </c>
      <c r="G490" s="5">
        <f>+$C490*BF490</f>
        <v>0</v>
      </c>
      <c r="H490" s="5">
        <f>+$C490*BG490</f>
        <v>0</v>
      </c>
      <c r="I490" s="5">
        <f>+$C490*BH490</f>
        <v>0</v>
      </c>
      <c r="J490" s="5">
        <f>+$C490*BI490</f>
        <v>0</v>
      </c>
      <c r="K490" s="5">
        <f>+$C490*BJ490</f>
        <v>0</v>
      </c>
      <c r="L490" s="5">
        <f>+$C490*BK490</f>
        <v>0</v>
      </c>
      <c r="M490" s="5">
        <f>+$C490*BL490</f>
        <v>0</v>
      </c>
      <c r="N490" s="5">
        <f>+$C490*BM490</f>
        <v>0</v>
      </c>
      <c r="O490" s="5">
        <f>+$C490*BN490</f>
        <v>0</v>
      </c>
      <c r="P490" s="5">
        <v>0</v>
      </c>
      <c r="Q490" s="5">
        <f>+$P490*BC490</f>
        <v>0</v>
      </c>
      <c r="R490" s="5">
        <f>+$P490*BD490</f>
        <v>0</v>
      </c>
      <c r="S490" s="5">
        <f>+$P490*BE490</f>
        <v>0</v>
      </c>
      <c r="T490" s="5">
        <f>+$P490*BF490</f>
        <v>0</v>
      </c>
      <c r="U490" s="5">
        <f>+$P490*BG490</f>
        <v>0</v>
      </c>
      <c r="V490" s="5">
        <f>+$P490*BH490</f>
        <v>0</v>
      </c>
      <c r="W490" s="5">
        <f>+$P490*BI490</f>
        <v>0</v>
      </c>
      <c r="X490" s="5">
        <f>+$P490*BJ490</f>
        <v>0</v>
      </c>
      <c r="Y490" s="5">
        <f>+$P490*BK490</f>
        <v>0</v>
      </c>
      <c r="Z490" s="5">
        <f>+$P490*BL490</f>
        <v>0</v>
      </c>
      <c r="AA490" s="5">
        <f>+$P490*BM490</f>
        <v>0</v>
      </c>
      <c r="AB490" s="5">
        <f>+$P490*BN490</f>
        <v>0</v>
      </c>
      <c r="AC490" s="5">
        <v>0</v>
      </c>
      <c r="AD490" s="5">
        <f>+$AC490*BC490</f>
        <v>0</v>
      </c>
      <c r="AE490" s="5">
        <f>+$AC490*BD490</f>
        <v>0</v>
      </c>
      <c r="AF490" s="5">
        <f>+$AC490*BE490</f>
        <v>0</v>
      </c>
      <c r="AG490" s="5">
        <f>+$AC490*BF490</f>
        <v>0</v>
      </c>
      <c r="AH490" s="5">
        <f>+$AC490*BG490</f>
        <v>0</v>
      </c>
      <c r="AI490" s="5">
        <f>+$AC490*BH490</f>
        <v>0</v>
      </c>
      <c r="AJ490" s="5">
        <f>+$AC490*BI490</f>
        <v>0</v>
      </c>
      <c r="AK490" s="5">
        <f>+$AC490*BJ490</f>
        <v>0</v>
      </c>
      <c r="AL490" s="5">
        <f>+$AC490*BK490</f>
        <v>0</v>
      </c>
      <c r="AM490" s="5">
        <f>+$AC490*BL490</f>
        <v>0</v>
      </c>
      <c r="AN490" s="5">
        <f>+$AC490*BM490</f>
        <v>0</v>
      </c>
      <c r="AO490" s="5">
        <f>+$AC490*BN490</f>
        <v>0</v>
      </c>
      <c r="AP490" s="5">
        <f>+AC490+P490+C490</f>
        <v>0</v>
      </c>
      <c r="AQ490" s="1">
        <v>12.385981786791065</v>
      </c>
      <c r="AR490" s="1">
        <v>14.812471188422863</v>
      </c>
      <c r="AS490" s="1">
        <v>13.109145551500538</v>
      </c>
      <c r="AT490" s="1">
        <v>9.9296733319936337</v>
      </c>
      <c r="AU490" s="1">
        <v>14.400390959063982</v>
      </c>
      <c r="AV490" s="1">
        <v>11.801104414344161</v>
      </c>
      <c r="AW490" s="1">
        <v>11.748820867868631</v>
      </c>
      <c r="AX490" s="1">
        <v>7.9785412421981947</v>
      </c>
      <c r="AY490" s="1">
        <v>11.82659278301275</v>
      </c>
      <c r="AZ490" s="1">
        <v>10.29944201213689</v>
      </c>
      <c r="BA490" s="1">
        <v>10.516120705945804</v>
      </c>
      <c r="BB490" s="1">
        <v>10.271317862501858</v>
      </c>
      <c r="BC490" s="2">
        <v>8.9181565948742242E-2</v>
      </c>
      <c r="BD490" s="2">
        <v>0.10665277883445198</v>
      </c>
      <c r="BE490" s="2">
        <v>9.438849084854764E-2</v>
      </c>
      <c r="BF490" s="2">
        <v>7.149564986855049E-2</v>
      </c>
      <c r="BG490" s="2">
        <v>0.10368571810536763</v>
      </c>
      <c r="BH490" s="2">
        <v>8.4970330952544637E-2</v>
      </c>
      <c r="BI490" s="2">
        <v>8.4593878877262704E-2</v>
      </c>
      <c r="BJ490" s="2">
        <v>5.7447105462779965E-2</v>
      </c>
      <c r="BK490" s="2">
        <v>8.5153852345557474E-2</v>
      </c>
      <c r="BL490" s="2">
        <v>7.4158058913035174E-2</v>
      </c>
      <c r="BM490" s="2">
        <v>7.5718189192107169E-2</v>
      </c>
      <c r="BN490" s="2">
        <v>7.3955559365675619E-2</v>
      </c>
    </row>
    <row r="491" spans="1:66" x14ac:dyDescent="0.25">
      <c r="A491" s="8">
        <v>3408</v>
      </c>
      <c r="B491" s="8" t="s">
        <v>505</v>
      </c>
      <c r="C491" s="5">
        <v>0</v>
      </c>
      <c r="D491" s="5">
        <f>+$C491*BC491</f>
        <v>0</v>
      </c>
      <c r="E491" s="5">
        <f>+$C491*BD491</f>
        <v>0</v>
      </c>
      <c r="F491" s="5">
        <f>+$C491*BE491</f>
        <v>0</v>
      </c>
      <c r="G491" s="5">
        <f>+$C491*BF491</f>
        <v>0</v>
      </c>
      <c r="H491" s="5">
        <f>+$C491*BG491</f>
        <v>0</v>
      </c>
      <c r="I491" s="5">
        <f>+$C491*BH491</f>
        <v>0</v>
      </c>
      <c r="J491" s="5">
        <f>+$C491*BI491</f>
        <v>0</v>
      </c>
      <c r="K491" s="5">
        <f>+$C491*BJ491</f>
        <v>0</v>
      </c>
      <c r="L491" s="5">
        <f>+$C491*BK491</f>
        <v>0</v>
      </c>
      <c r="M491" s="5">
        <f>+$C491*BL491</f>
        <v>0</v>
      </c>
      <c r="N491" s="5">
        <f>+$C491*BM491</f>
        <v>0</v>
      </c>
      <c r="O491" s="5">
        <f>+$C491*BN491</f>
        <v>0</v>
      </c>
      <c r="P491" s="5">
        <v>0</v>
      </c>
      <c r="Q491" s="5">
        <f>+$P491*BC491</f>
        <v>0</v>
      </c>
      <c r="R491" s="5">
        <f>+$P491*BD491</f>
        <v>0</v>
      </c>
      <c r="S491" s="5">
        <f>+$P491*BE491</f>
        <v>0</v>
      </c>
      <c r="T491" s="5">
        <f>+$P491*BF491</f>
        <v>0</v>
      </c>
      <c r="U491" s="5">
        <f>+$P491*BG491</f>
        <v>0</v>
      </c>
      <c r="V491" s="5">
        <f>+$P491*BH491</f>
        <v>0</v>
      </c>
      <c r="W491" s="5">
        <f>+$P491*BI491</f>
        <v>0</v>
      </c>
      <c r="X491" s="5">
        <f>+$P491*BJ491</f>
        <v>0</v>
      </c>
      <c r="Y491" s="5">
        <f>+$P491*BK491</f>
        <v>0</v>
      </c>
      <c r="Z491" s="5">
        <f>+$P491*BL491</f>
        <v>0</v>
      </c>
      <c r="AA491" s="5">
        <f>+$P491*BM491</f>
        <v>0</v>
      </c>
      <c r="AB491" s="5">
        <f>+$P491*BN491</f>
        <v>0</v>
      </c>
      <c r="AC491" s="5">
        <v>0</v>
      </c>
      <c r="AD491" s="5">
        <f>+$AC491*BC491</f>
        <v>0</v>
      </c>
      <c r="AE491" s="5">
        <f>+$AC491*BD491</f>
        <v>0</v>
      </c>
      <c r="AF491" s="5">
        <f>+$AC491*BE491</f>
        <v>0</v>
      </c>
      <c r="AG491" s="5">
        <f>+$AC491*BF491</f>
        <v>0</v>
      </c>
      <c r="AH491" s="5">
        <f>+$AC491*BG491</f>
        <v>0</v>
      </c>
      <c r="AI491" s="5">
        <f>+$AC491*BH491</f>
        <v>0</v>
      </c>
      <c r="AJ491" s="5">
        <f>+$AC491*BI491</f>
        <v>0</v>
      </c>
      <c r="AK491" s="5">
        <f>+$AC491*BJ491</f>
        <v>0</v>
      </c>
      <c r="AL491" s="5">
        <f>+$AC491*BK491</f>
        <v>0</v>
      </c>
      <c r="AM491" s="5">
        <f>+$AC491*BL491</f>
        <v>0</v>
      </c>
      <c r="AN491" s="5">
        <f>+$AC491*BM491</f>
        <v>0</v>
      </c>
      <c r="AO491" s="5">
        <f>+$AC491*BN491</f>
        <v>0</v>
      </c>
      <c r="AP491" s="5">
        <f>+AC491+P491+C491</f>
        <v>0</v>
      </c>
      <c r="AQ491" s="1">
        <v>11.407035737371723</v>
      </c>
      <c r="AR491" s="1">
        <v>13.641743635157086</v>
      </c>
      <c r="AS491" s="1">
        <v>12.073043087456034</v>
      </c>
      <c r="AT491" s="1">
        <v>9.144865583386558</v>
      </c>
      <c r="AU491" s="1">
        <v>13.262232831421365</v>
      </c>
      <c r="AV491" s="1">
        <v>10.86838509147808</v>
      </c>
      <c r="AW491" s="1">
        <v>10.820233859432919</v>
      </c>
      <c r="AX491" s="1">
        <v>7.3479443655332606</v>
      </c>
      <c r="AY491" s="1">
        <v>10.891858945815567</v>
      </c>
      <c r="AZ491" s="1">
        <v>9.485408999448504</v>
      </c>
      <c r="BA491" s="1">
        <v>9.6849621431840447</v>
      </c>
      <c r="BB491" s="1">
        <v>9.4595076873448374</v>
      </c>
      <c r="BC491" s="2">
        <v>8.9181565948742242E-2</v>
      </c>
      <c r="BD491" s="2">
        <v>0.10665277883445198</v>
      </c>
      <c r="BE491" s="2">
        <v>9.438849084854764E-2</v>
      </c>
      <c r="BF491" s="2">
        <v>7.149564986855049E-2</v>
      </c>
      <c r="BG491" s="2">
        <v>0.10368571810536763</v>
      </c>
      <c r="BH491" s="2">
        <v>8.4970330952544637E-2</v>
      </c>
      <c r="BI491" s="2">
        <v>8.4593878877262704E-2</v>
      </c>
      <c r="BJ491" s="2">
        <v>5.7447105462779965E-2</v>
      </c>
      <c r="BK491" s="2">
        <v>8.5153852345557474E-2</v>
      </c>
      <c r="BL491" s="2">
        <v>7.4158058913035174E-2</v>
      </c>
      <c r="BM491" s="2">
        <v>7.5718189192107169E-2</v>
      </c>
      <c r="BN491" s="2">
        <v>7.3955559365675619E-2</v>
      </c>
    </row>
    <row r="492" spans="1:66" x14ac:dyDescent="0.25">
      <c r="A492" s="8">
        <v>5370</v>
      </c>
      <c r="B492" s="8" t="s">
        <v>504</v>
      </c>
      <c r="C492" s="5">
        <v>125.57600000000001</v>
      </c>
      <c r="D492" s="5">
        <f>+$C492*BC492</f>
        <v>11.199064325579256</v>
      </c>
      <c r="E492" s="5">
        <f>+$C492*BD492</f>
        <v>13.393029354915143</v>
      </c>
      <c r="F492" s="5">
        <f>+$C492*BE492</f>
        <v>11.852929126797219</v>
      </c>
      <c r="G492" s="5">
        <f>+$C492*BF492</f>
        <v>8.9781377278930972</v>
      </c>
      <c r="H492" s="5">
        <f>+$C492*BG492</f>
        <v>13.020437736799646</v>
      </c>
      <c r="I492" s="5">
        <f>+$C492*BH492</f>
        <v>10.670234279696746</v>
      </c>
      <c r="J492" s="5">
        <f>+$C492*BI492</f>
        <v>10.622960933891141</v>
      </c>
      <c r="K492" s="5">
        <f>+$C492*BJ492</f>
        <v>7.2139777155940576</v>
      </c>
      <c r="L492" s="5">
        <f>+$C492*BK492</f>
        <v>10.693280162145726</v>
      </c>
      <c r="M492" s="5">
        <f>+$C492*BL492</f>
        <v>9.3124724060633053</v>
      </c>
      <c r="N492" s="5">
        <f>+$C492*BM492</f>
        <v>9.5083873259880498</v>
      </c>
      <c r="O492" s="5">
        <f>+$C492*BN492</f>
        <v>9.2870433229040827</v>
      </c>
      <c r="P492" s="5">
        <v>0</v>
      </c>
      <c r="Q492" s="5">
        <f>+$P492*BC492</f>
        <v>0</v>
      </c>
      <c r="R492" s="5">
        <f>+$P492*BD492</f>
        <v>0</v>
      </c>
      <c r="S492" s="5">
        <f>+$P492*BE492</f>
        <v>0</v>
      </c>
      <c r="T492" s="5">
        <f>+$P492*BF492</f>
        <v>0</v>
      </c>
      <c r="U492" s="5">
        <f>+$P492*BG492</f>
        <v>0</v>
      </c>
      <c r="V492" s="5">
        <f>+$P492*BH492</f>
        <v>0</v>
      </c>
      <c r="W492" s="5">
        <f>+$P492*BI492</f>
        <v>0</v>
      </c>
      <c r="X492" s="5">
        <f>+$P492*BJ492</f>
        <v>0</v>
      </c>
      <c r="Y492" s="5">
        <f>+$P492*BK492</f>
        <v>0</v>
      </c>
      <c r="Z492" s="5">
        <f>+$P492*BL492</f>
        <v>0</v>
      </c>
      <c r="AA492" s="5">
        <f>+$P492*BM492</f>
        <v>0</v>
      </c>
      <c r="AB492" s="5">
        <f>+$P492*BN492</f>
        <v>0</v>
      </c>
      <c r="AC492" s="5">
        <v>0</v>
      </c>
      <c r="AD492" s="5">
        <f>+$AC492*BC492</f>
        <v>0</v>
      </c>
      <c r="AE492" s="5">
        <f>+$AC492*BD492</f>
        <v>0</v>
      </c>
      <c r="AF492" s="5">
        <f>+$AC492*BE492</f>
        <v>0</v>
      </c>
      <c r="AG492" s="5">
        <f>+$AC492*BF492</f>
        <v>0</v>
      </c>
      <c r="AH492" s="5">
        <f>+$AC492*BG492</f>
        <v>0</v>
      </c>
      <c r="AI492" s="5">
        <f>+$AC492*BH492</f>
        <v>0</v>
      </c>
      <c r="AJ492" s="5">
        <f>+$AC492*BI492</f>
        <v>0</v>
      </c>
      <c r="AK492" s="5">
        <f>+$AC492*BJ492</f>
        <v>0</v>
      </c>
      <c r="AL492" s="5">
        <f>+$AC492*BK492</f>
        <v>0</v>
      </c>
      <c r="AM492" s="5">
        <f>+$AC492*BL492</f>
        <v>0</v>
      </c>
      <c r="AN492" s="5">
        <f>+$AC492*BM492</f>
        <v>0</v>
      </c>
      <c r="AO492" s="5">
        <f>+$AC492*BN492</f>
        <v>0</v>
      </c>
      <c r="AP492" s="5">
        <f>+AC492+P492+C492</f>
        <v>125.57600000000001</v>
      </c>
      <c r="AQ492" s="1">
        <v>58.634204164319563</v>
      </c>
      <c r="AR492" s="1">
        <v>70.121002500287148</v>
      </c>
      <c r="AS492" s="1">
        <v>62.057601078194622</v>
      </c>
      <c r="AT492" s="1">
        <v>47.00624491907589</v>
      </c>
      <c r="AU492" s="1">
        <v>68.170249082736063</v>
      </c>
      <c r="AV492" s="1">
        <v>55.865443491369525</v>
      </c>
      <c r="AW492" s="1">
        <v>55.617937545433911</v>
      </c>
      <c r="AX492" s="1">
        <v>37.769748428613944</v>
      </c>
      <c r="AY492" s="1">
        <v>55.986103301633676</v>
      </c>
      <c r="AZ492" s="1">
        <v>48.756698993553236</v>
      </c>
      <c r="BA492" s="1">
        <v>49.782437848134705</v>
      </c>
      <c r="BB492" s="1">
        <v>48.623561616150752</v>
      </c>
      <c r="BC492" s="2">
        <v>8.9181565948742242E-2</v>
      </c>
      <c r="BD492" s="2">
        <v>0.10665277883445198</v>
      </c>
      <c r="BE492" s="2">
        <v>9.438849084854764E-2</v>
      </c>
      <c r="BF492" s="2">
        <v>7.149564986855049E-2</v>
      </c>
      <c r="BG492" s="2">
        <v>0.10368571810536763</v>
      </c>
      <c r="BH492" s="2">
        <v>8.4970330952544637E-2</v>
      </c>
      <c r="BI492" s="2">
        <v>8.4593878877262704E-2</v>
      </c>
      <c r="BJ492" s="2">
        <v>5.7447105462779965E-2</v>
      </c>
      <c r="BK492" s="2">
        <v>8.5153852345557474E-2</v>
      </c>
      <c r="BL492" s="2">
        <v>7.4158058913035174E-2</v>
      </c>
      <c r="BM492" s="2">
        <v>7.5718189192107169E-2</v>
      </c>
      <c r="BN492" s="2">
        <v>7.3955559365675619E-2</v>
      </c>
    </row>
    <row r="493" spans="1:66" x14ac:dyDescent="0.25">
      <c r="A493" s="8">
        <v>6610</v>
      </c>
      <c r="B493" s="8" t="s">
        <v>503</v>
      </c>
      <c r="C493" s="5">
        <v>0</v>
      </c>
      <c r="D493" s="5">
        <f>+$C493*BC493</f>
        <v>0</v>
      </c>
      <c r="E493" s="5">
        <f>+$C493*BD493</f>
        <v>0</v>
      </c>
      <c r="F493" s="5">
        <f>+$C493*BE493</f>
        <v>0</v>
      </c>
      <c r="G493" s="5">
        <f>+$C493*BF493</f>
        <v>0</v>
      </c>
      <c r="H493" s="5">
        <f>+$C493*BG493</f>
        <v>0</v>
      </c>
      <c r="I493" s="5">
        <f>+$C493*BH493</f>
        <v>0</v>
      </c>
      <c r="J493" s="5">
        <f>+$C493*BI493</f>
        <v>0</v>
      </c>
      <c r="K493" s="5">
        <f>+$C493*BJ493</f>
        <v>0</v>
      </c>
      <c r="L493" s="5">
        <f>+$C493*BK493</f>
        <v>0</v>
      </c>
      <c r="M493" s="5">
        <f>+$C493*BL493</f>
        <v>0</v>
      </c>
      <c r="N493" s="5">
        <f>+$C493*BM493</f>
        <v>0</v>
      </c>
      <c r="O493" s="5">
        <f>+$C493*BN493</f>
        <v>0</v>
      </c>
      <c r="P493" s="5">
        <v>0</v>
      </c>
      <c r="Q493" s="5">
        <f>+$P493*BC493</f>
        <v>0</v>
      </c>
      <c r="R493" s="5">
        <f>+$P493*BD493</f>
        <v>0</v>
      </c>
      <c r="S493" s="5">
        <f>+$P493*BE493</f>
        <v>0</v>
      </c>
      <c r="T493" s="5">
        <f>+$P493*BF493</f>
        <v>0</v>
      </c>
      <c r="U493" s="5">
        <f>+$P493*BG493</f>
        <v>0</v>
      </c>
      <c r="V493" s="5">
        <f>+$P493*BH493</f>
        <v>0</v>
      </c>
      <c r="W493" s="5">
        <f>+$P493*BI493</f>
        <v>0</v>
      </c>
      <c r="X493" s="5">
        <f>+$P493*BJ493</f>
        <v>0</v>
      </c>
      <c r="Y493" s="5">
        <f>+$P493*BK493</f>
        <v>0</v>
      </c>
      <c r="Z493" s="5">
        <f>+$P493*BL493</f>
        <v>0</v>
      </c>
      <c r="AA493" s="5">
        <f>+$P493*BM493</f>
        <v>0</v>
      </c>
      <c r="AB493" s="5">
        <f>+$P493*BN493</f>
        <v>0</v>
      </c>
      <c r="AC493" s="5">
        <v>0</v>
      </c>
      <c r="AD493" s="5">
        <f>+$AC493*BC493</f>
        <v>0</v>
      </c>
      <c r="AE493" s="5">
        <f>+$AC493*BD493</f>
        <v>0</v>
      </c>
      <c r="AF493" s="5">
        <f>+$AC493*BE493</f>
        <v>0</v>
      </c>
      <c r="AG493" s="5">
        <f>+$AC493*BF493</f>
        <v>0</v>
      </c>
      <c r="AH493" s="5">
        <f>+$AC493*BG493</f>
        <v>0</v>
      </c>
      <c r="AI493" s="5">
        <f>+$AC493*BH493</f>
        <v>0</v>
      </c>
      <c r="AJ493" s="5">
        <f>+$AC493*BI493</f>
        <v>0</v>
      </c>
      <c r="AK493" s="5">
        <f>+$AC493*BJ493</f>
        <v>0</v>
      </c>
      <c r="AL493" s="5">
        <f>+$AC493*BK493</f>
        <v>0</v>
      </c>
      <c r="AM493" s="5">
        <f>+$AC493*BL493</f>
        <v>0</v>
      </c>
      <c r="AN493" s="5">
        <f>+$AC493*BM493</f>
        <v>0</v>
      </c>
      <c r="AO493" s="5">
        <f>+$AC493*BN493</f>
        <v>0</v>
      </c>
      <c r="AP493" s="5">
        <f>+AC493+P493+C493</f>
        <v>0</v>
      </c>
      <c r="AQ493" s="1">
        <v>31.937345671299781</v>
      </c>
      <c r="AR493" s="1">
        <v>38.194066545078613</v>
      </c>
      <c r="AS493" s="1">
        <v>33.802028788718488</v>
      </c>
      <c r="AT493" s="1">
        <v>25.603736148325829</v>
      </c>
      <c r="AU493" s="1">
        <v>37.131514625021836</v>
      </c>
      <c r="AV493" s="1">
        <v>30.42923503940148</v>
      </c>
      <c r="AW493" s="1">
        <v>30.294421528009813</v>
      </c>
      <c r="AX493" s="1">
        <v>20.572727619908914</v>
      </c>
      <c r="AY493" s="1">
        <v>30.494956986581663</v>
      </c>
      <c r="AZ493" s="1">
        <v>26.557187425700508</v>
      </c>
      <c r="BA493" s="1">
        <v>27.115895040720655</v>
      </c>
      <c r="BB493" s="1">
        <v>26.484669097798292</v>
      </c>
      <c r="BC493" s="2">
        <v>8.9181565948742242E-2</v>
      </c>
      <c r="BD493" s="2">
        <v>0.10665277883445198</v>
      </c>
      <c r="BE493" s="2">
        <v>9.438849084854764E-2</v>
      </c>
      <c r="BF493" s="2">
        <v>7.149564986855049E-2</v>
      </c>
      <c r="BG493" s="2">
        <v>0.10368571810536763</v>
      </c>
      <c r="BH493" s="2">
        <v>8.4970330952544637E-2</v>
      </c>
      <c r="BI493" s="2">
        <v>8.4593878877262704E-2</v>
      </c>
      <c r="BJ493" s="2">
        <v>5.7447105462779965E-2</v>
      </c>
      <c r="BK493" s="2">
        <v>8.5153852345557474E-2</v>
      </c>
      <c r="BL493" s="2">
        <v>7.4158058913035174E-2</v>
      </c>
      <c r="BM493" s="2">
        <v>7.5718189192107169E-2</v>
      </c>
      <c r="BN493" s="2">
        <v>7.3955559365675619E-2</v>
      </c>
    </row>
    <row r="494" spans="1:66" x14ac:dyDescent="0.25">
      <c r="A494" s="8">
        <v>6648</v>
      </c>
      <c r="B494" s="8" t="s">
        <v>502</v>
      </c>
      <c r="C494" s="5">
        <v>0</v>
      </c>
      <c r="D494" s="5">
        <f>+$C494*BC494</f>
        <v>0</v>
      </c>
      <c r="E494" s="5">
        <f>+$C494*BD494</f>
        <v>0</v>
      </c>
      <c r="F494" s="5">
        <f>+$C494*BE494</f>
        <v>0</v>
      </c>
      <c r="G494" s="5">
        <f>+$C494*BF494</f>
        <v>0</v>
      </c>
      <c r="H494" s="5">
        <f>+$C494*BG494</f>
        <v>0</v>
      </c>
      <c r="I494" s="5">
        <f>+$C494*BH494</f>
        <v>0</v>
      </c>
      <c r="J494" s="5">
        <f>+$C494*BI494</f>
        <v>0</v>
      </c>
      <c r="K494" s="5">
        <f>+$C494*BJ494</f>
        <v>0</v>
      </c>
      <c r="L494" s="5">
        <f>+$C494*BK494</f>
        <v>0</v>
      </c>
      <c r="M494" s="5">
        <f>+$C494*BL494</f>
        <v>0</v>
      </c>
      <c r="N494" s="5">
        <f>+$C494*BM494</f>
        <v>0</v>
      </c>
      <c r="O494" s="5">
        <f>+$C494*BN494</f>
        <v>0</v>
      </c>
      <c r="P494" s="5">
        <v>0</v>
      </c>
      <c r="Q494" s="5">
        <f>+$P494*BC494</f>
        <v>0</v>
      </c>
      <c r="R494" s="5">
        <f>+$P494*BD494</f>
        <v>0</v>
      </c>
      <c r="S494" s="5">
        <f>+$P494*BE494</f>
        <v>0</v>
      </c>
      <c r="T494" s="5">
        <f>+$P494*BF494</f>
        <v>0</v>
      </c>
      <c r="U494" s="5">
        <f>+$P494*BG494</f>
        <v>0</v>
      </c>
      <c r="V494" s="5">
        <f>+$P494*BH494</f>
        <v>0</v>
      </c>
      <c r="W494" s="5">
        <f>+$P494*BI494</f>
        <v>0</v>
      </c>
      <c r="X494" s="5">
        <f>+$P494*BJ494</f>
        <v>0</v>
      </c>
      <c r="Y494" s="5">
        <f>+$P494*BK494</f>
        <v>0</v>
      </c>
      <c r="Z494" s="5">
        <f>+$P494*BL494</f>
        <v>0</v>
      </c>
      <c r="AA494" s="5">
        <f>+$P494*BM494</f>
        <v>0</v>
      </c>
      <c r="AB494" s="5">
        <f>+$P494*BN494</f>
        <v>0</v>
      </c>
      <c r="AC494" s="5">
        <v>0</v>
      </c>
      <c r="AD494" s="5">
        <f>+$AC494*BC494</f>
        <v>0</v>
      </c>
      <c r="AE494" s="5">
        <f>+$AC494*BD494</f>
        <v>0</v>
      </c>
      <c r="AF494" s="5">
        <f>+$AC494*BE494</f>
        <v>0</v>
      </c>
      <c r="AG494" s="5">
        <f>+$AC494*BF494</f>
        <v>0</v>
      </c>
      <c r="AH494" s="5">
        <f>+$AC494*BG494</f>
        <v>0</v>
      </c>
      <c r="AI494" s="5">
        <f>+$AC494*BH494</f>
        <v>0</v>
      </c>
      <c r="AJ494" s="5">
        <f>+$AC494*BI494</f>
        <v>0</v>
      </c>
      <c r="AK494" s="5">
        <f>+$AC494*BJ494</f>
        <v>0</v>
      </c>
      <c r="AL494" s="5">
        <f>+$AC494*BK494</f>
        <v>0</v>
      </c>
      <c r="AM494" s="5">
        <f>+$AC494*BL494</f>
        <v>0</v>
      </c>
      <c r="AN494" s="5">
        <f>+$AC494*BM494</f>
        <v>0</v>
      </c>
      <c r="AO494" s="5">
        <f>+$AC494*BN494</f>
        <v>0</v>
      </c>
      <c r="AP494" s="5">
        <f>+AC494+P494+C494</f>
        <v>0</v>
      </c>
      <c r="AQ494" s="1">
        <v>10.880151045746553</v>
      </c>
      <c r="AR494" s="1">
        <v>13.011639017803143</v>
      </c>
      <c r="AS494" s="1">
        <v>11.515395883522812</v>
      </c>
      <c r="AT494" s="1">
        <v>8.722469283963159</v>
      </c>
      <c r="AU494" s="1">
        <v>12.64965760885485</v>
      </c>
      <c r="AV494" s="1">
        <v>10.366380376210445</v>
      </c>
      <c r="AW494" s="1">
        <v>10.32045322302605</v>
      </c>
      <c r="AX494" s="1">
        <v>7.0085468664591559</v>
      </c>
      <c r="AY494" s="1">
        <v>10.388769986158012</v>
      </c>
      <c r="AZ494" s="1">
        <v>9.0472831873902919</v>
      </c>
      <c r="BA494" s="1">
        <v>9.2376190814370744</v>
      </c>
      <c r="BB494" s="1">
        <v>9.0225782426124255</v>
      </c>
      <c r="BC494" s="2">
        <v>8.9181565948742242E-2</v>
      </c>
      <c r="BD494" s="2">
        <v>0.10665277883445198</v>
      </c>
      <c r="BE494" s="2">
        <v>9.438849084854764E-2</v>
      </c>
      <c r="BF494" s="2">
        <v>7.149564986855049E-2</v>
      </c>
      <c r="BG494" s="2">
        <v>0.10368571810536763</v>
      </c>
      <c r="BH494" s="2">
        <v>8.4970330952544637E-2</v>
      </c>
      <c r="BI494" s="2">
        <v>8.4593878877262704E-2</v>
      </c>
      <c r="BJ494" s="2">
        <v>5.7447105462779965E-2</v>
      </c>
      <c r="BK494" s="2">
        <v>8.5153852345557474E-2</v>
      </c>
      <c r="BL494" s="2">
        <v>7.4158058913035174E-2</v>
      </c>
      <c r="BM494" s="2">
        <v>7.5718189192107169E-2</v>
      </c>
      <c r="BN494" s="2">
        <v>7.3955559365675619E-2</v>
      </c>
    </row>
    <row r="495" spans="1:66" x14ac:dyDescent="0.25">
      <c r="A495" s="8">
        <v>4817</v>
      </c>
      <c r="B495" s="8" t="s">
        <v>501</v>
      </c>
      <c r="C495" s="5">
        <v>0</v>
      </c>
      <c r="D495" s="5">
        <f>+$C495*BC495</f>
        <v>0</v>
      </c>
      <c r="E495" s="5">
        <f>+$C495*BD495</f>
        <v>0</v>
      </c>
      <c r="F495" s="5">
        <f>+$C495*BE495</f>
        <v>0</v>
      </c>
      <c r="G495" s="5">
        <f>+$C495*BF495</f>
        <v>0</v>
      </c>
      <c r="H495" s="5">
        <f>+$C495*BG495</f>
        <v>0</v>
      </c>
      <c r="I495" s="5">
        <f>+$C495*BH495</f>
        <v>0</v>
      </c>
      <c r="J495" s="5">
        <f>+$C495*BI495</f>
        <v>0</v>
      </c>
      <c r="K495" s="5">
        <f>+$C495*BJ495</f>
        <v>0</v>
      </c>
      <c r="L495" s="5">
        <f>+$C495*BK495</f>
        <v>0</v>
      </c>
      <c r="M495" s="5">
        <f>+$C495*BL495</f>
        <v>0</v>
      </c>
      <c r="N495" s="5">
        <f>+$C495*BM495</f>
        <v>0</v>
      </c>
      <c r="O495" s="5">
        <f>+$C495*BN495</f>
        <v>0</v>
      </c>
      <c r="P495" s="5">
        <v>0</v>
      </c>
      <c r="Q495" s="5">
        <f>+$P495*BC495</f>
        <v>0</v>
      </c>
      <c r="R495" s="5">
        <f>+$P495*BD495</f>
        <v>0</v>
      </c>
      <c r="S495" s="5">
        <f>+$P495*BE495</f>
        <v>0</v>
      </c>
      <c r="T495" s="5">
        <f>+$P495*BF495</f>
        <v>0</v>
      </c>
      <c r="U495" s="5">
        <f>+$P495*BG495</f>
        <v>0</v>
      </c>
      <c r="V495" s="5">
        <f>+$P495*BH495</f>
        <v>0</v>
      </c>
      <c r="W495" s="5">
        <f>+$P495*BI495</f>
        <v>0</v>
      </c>
      <c r="X495" s="5">
        <f>+$P495*BJ495</f>
        <v>0</v>
      </c>
      <c r="Y495" s="5">
        <f>+$P495*BK495</f>
        <v>0</v>
      </c>
      <c r="Z495" s="5">
        <f>+$P495*BL495</f>
        <v>0</v>
      </c>
      <c r="AA495" s="5">
        <f>+$P495*BM495</f>
        <v>0</v>
      </c>
      <c r="AB495" s="5">
        <f>+$P495*BN495</f>
        <v>0</v>
      </c>
      <c r="AC495" s="5">
        <v>0</v>
      </c>
      <c r="AD495" s="5">
        <f>+$AC495*BC495</f>
        <v>0</v>
      </c>
      <c r="AE495" s="5">
        <f>+$AC495*BD495</f>
        <v>0</v>
      </c>
      <c r="AF495" s="5">
        <f>+$AC495*BE495</f>
        <v>0</v>
      </c>
      <c r="AG495" s="5">
        <f>+$AC495*BF495</f>
        <v>0</v>
      </c>
      <c r="AH495" s="5">
        <f>+$AC495*BG495</f>
        <v>0</v>
      </c>
      <c r="AI495" s="5">
        <f>+$AC495*BH495</f>
        <v>0</v>
      </c>
      <c r="AJ495" s="5">
        <f>+$AC495*BI495</f>
        <v>0</v>
      </c>
      <c r="AK495" s="5">
        <f>+$AC495*BJ495</f>
        <v>0</v>
      </c>
      <c r="AL495" s="5">
        <f>+$AC495*BK495</f>
        <v>0</v>
      </c>
      <c r="AM495" s="5">
        <f>+$AC495*BL495</f>
        <v>0</v>
      </c>
      <c r="AN495" s="5">
        <f>+$AC495*BM495</f>
        <v>0</v>
      </c>
      <c r="AO495" s="5">
        <f>+$AC495*BN495</f>
        <v>0</v>
      </c>
      <c r="AP495" s="5">
        <f>+AC495+P495+C495</f>
        <v>0</v>
      </c>
      <c r="AQ495" s="1">
        <v>10.154213098923792</v>
      </c>
      <c r="AR495" s="1">
        <v>12.143485398090704</v>
      </c>
      <c r="AS495" s="1">
        <v>10.747073568015635</v>
      </c>
      <c r="AT495" s="1">
        <v>8.1404946940331584</v>
      </c>
      <c r="AU495" s="1">
        <v>11.805655863477158</v>
      </c>
      <c r="AV495" s="1">
        <v>9.6747218822567316</v>
      </c>
      <c r="AW495" s="1">
        <v>9.631859048965131</v>
      </c>
      <c r="AX495" s="1">
        <v>6.540927427992127</v>
      </c>
      <c r="AY495" s="1">
        <v>9.6956176280651736</v>
      </c>
      <c r="AZ495" s="1">
        <v>8.4436365878381849</v>
      </c>
      <c r="BA495" s="1">
        <v>8.6212730214133213</v>
      </c>
      <c r="BB495" s="1">
        <v>8.4205799893758257</v>
      </c>
      <c r="BC495" s="2">
        <v>8.9181565948742242E-2</v>
      </c>
      <c r="BD495" s="2">
        <v>0.10665277883445198</v>
      </c>
      <c r="BE495" s="2">
        <v>9.438849084854764E-2</v>
      </c>
      <c r="BF495" s="2">
        <v>7.149564986855049E-2</v>
      </c>
      <c r="BG495" s="2">
        <v>0.10368571810536763</v>
      </c>
      <c r="BH495" s="2">
        <v>8.4970330952544637E-2</v>
      </c>
      <c r="BI495" s="2">
        <v>8.4593878877262704E-2</v>
      </c>
      <c r="BJ495" s="2">
        <v>5.7447105462779965E-2</v>
      </c>
      <c r="BK495" s="2">
        <v>8.5153852345557474E-2</v>
      </c>
      <c r="BL495" s="2">
        <v>7.4158058913035174E-2</v>
      </c>
      <c r="BM495" s="2">
        <v>7.5718189192107169E-2</v>
      </c>
      <c r="BN495" s="2">
        <v>7.3955559365675619E-2</v>
      </c>
    </row>
    <row r="496" spans="1:66" x14ac:dyDescent="0.25">
      <c r="A496" s="8">
        <v>4530</v>
      </c>
      <c r="B496" s="8" t="s">
        <v>500</v>
      </c>
      <c r="C496" s="5">
        <v>0</v>
      </c>
      <c r="D496" s="5">
        <f>+$C496*BC496</f>
        <v>0</v>
      </c>
      <c r="E496" s="5">
        <f>+$C496*BD496</f>
        <v>0</v>
      </c>
      <c r="F496" s="5">
        <f>+$C496*BE496</f>
        <v>0</v>
      </c>
      <c r="G496" s="5">
        <f>+$C496*BF496</f>
        <v>0</v>
      </c>
      <c r="H496" s="5">
        <f>+$C496*BG496</f>
        <v>0</v>
      </c>
      <c r="I496" s="5">
        <f>+$C496*BH496</f>
        <v>0</v>
      </c>
      <c r="J496" s="5">
        <f>+$C496*BI496</f>
        <v>0</v>
      </c>
      <c r="K496" s="5">
        <f>+$C496*BJ496</f>
        <v>0</v>
      </c>
      <c r="L496" s="5">
        <f>+$C496*BK496</f>
        <v>0</v>
      </c>
      <c r="M496" s="5">
        <f>+$C496*BL496</f>
        <v>0</v>
      </c>
      <c r="N496" s="5">
        <f>+$C496*BM496</f>
        <v>0</v>
      </c>
      <c r="O496" s="5">
        <f>+$C496*BN496</f>
        <v>0</v>
      </c>
      <c r="P496" s="5">
        <v>0</v>
      </c>
      <c r="Q496" s="5">
        <f>+$P496*BC496</f>
        <v>0</v>
      </c>
      <c r="R496" s="5">
        <f>+$P496*BD496</f>
        <v>0</v>
      </c>
      <c r="S496" s="5">
        <f>+$P496*BE496</f>
        <v>0</v>
      </c>
      <c r="T496" s="5">
        <f>+$P496*BF496</f>
        <v>0</v>
      </c>
      <c r="U496" s="5">
        <f>+$P496*BG496</f>
        <v>0</v>
      </c>
      <c r="V496" s="5">
        <f>+$P496*BH496</f>
        <v>0</v>
      </c>
      <c r="W496" s="5">
        <f>+$P496*BI496</f>
        <v>0</v>
      </c>
      <c r="X496" s="5">
        <f>+$P496*BJ496</f>
        <v>0</v>
      </c>
      <c r="Y496" s="5">
        <f>+$P496*BK496</f>
        <v>0</v>
      </c>
      <c r="Z496" s="5">
        <f>+$P496*BL496</f>
        <v>0</v>
      </c>
      <c r="AA496" s="5">
        <f>+$P496*BM496</f>
        <v>0</v>
      </c>
      <c r="AB496" s="5">
        <f>+$P496*BN496</f>
        <v>0</v>
      </c>
      <c r="AC496" s="5">
        <v>0</v>
      </c>
      <c r="AD496" s="5">
        <f>+$AC496*BC496</f>
        <v>0</v>
      </c>
      <c r="AE496" s="5">
        <f>+$AC496*BD496</f>
        <v>0</v>
      </c>
      <c r="AF496" s="5">
        <f>+$AC496*BE496</f>
        <v>0</v>
      </c>
      <c r="AG496" s="5">
        <f>+$AC496*BF496</f>
        <v>0</v>
      </c>
      <c r="AH496" s="5">
        <f>+$AC496*BG496</f>
        <v>0</v>
      </c>
      <c r="AI496" s="5">
        <f>+$AC496*BH496</f>
        <v>0</v>
      </c>
      <c r="AJ496" s="5">
        <f>+$AC496*BI496</f>
        <v>0</v>
      </c>
      <c r="AK496" s="5">
        <f>+$AC496*BJ496</f>
        <v>0</v>
      </c>
      <c r="AL496" s="5">
        <f>+$AC496*BK496</f>
        <v>0</v>
      </c>
      <c r="AM496" s="5">
        <f>+$AC496*BL496</f>
        <v>0</v>
      </c>
      <c r="AN496" s="5">
        <f>+$AC496*BM496</f>
        <v>0</v>
      </c>
      <c r="AO496" s="5">
        <f>+$AC496*BN496</f>
        <v>0</v>
      </c>
      <c r="AP496" s="5">
        <f>+AC496+P496+C496</f>
        <v>0</v>
      </c>
      <c r="AQ496" s="1">
        <v>10.127726173837015</v>
      </c>
      <c r="AR496" s="1">
        <v>12.111809522776872</v>
      </c>
      <c r="AS496" s="1">
        <v>10.719040186233617</v>
      </c>
      <c r="AT496" s="1">
        <v>8.1192604860221991</v>
      </c>
      <c r="AU496" s="1">
        <v>11.774861205199864</v>
      </c>
      <c r="AV496" s="1">
        <v>9.6494856939638272</v>
      </c>
      <c r="AW496" s="1">
        <v>9.6067346669385838</v>
      </c>
      <c r="AX496" s="1">
        <v>6.5238656376696813</v>
      </c>
      <c r="AY496" s="1">
        <v>9.6703269339185436</v>
      </c>
      <c r="AZ496" s="1">
        <v>8.4216116443410129</v>
      </c>
      <c r="BA496" s="1">
        <v>8.598784719223266</v>
      </c>
      <c r="BB496" s="1">
        <v>8.3986151882442197</v>
      </c>
      <c r="BC496" s="2">
        <v>8.9181565948742242E-2</v>
      </c>
      <c r="BD496" s="2">
        <v>0.10665277883445198</v>
      </c>
      <c r="BE496" s="2">
        <v>9.438849084854764E-2</v>
      </c>
      <c r="BF496" s="2">
        <v>7.149564986855049E-2</v>
      </c>
      <c r="BG496" s="2">
        <v>0.10368571810536763</v>
      </c>
      <c r="BH496" s="2">
        <v>8.4970330952544637E-2</v>
      </c>
      <c r="BI496" s="2">
        <v>8.4593878877262704E-2</v>
      </c>
      <c r="BJ496" s="2">
        <v>5.7447105462779965E-2</v>
      </c>
      <c r="BK496" s="2">
        <v>8.5153852345557474E-2</v>
      </c>
      <c r="BL496" s="2">
        <v>7.4158058913035174E-2</v>
      </c>
      <c r="BM496" s="2">
        <v>7.5718189192107169E-2</v>
      </c>
      <c r="BN496" s="2">
        <v>7.3955559365675619E-2</v>
      </c>
    </row>
    <row r="497" spans="1:66" x14ac:dyDescent="0.25">
      <c r="A497" s="8">
        <v>6837</v>
      </c>
      <c r="B497" s="8" t="s">
        <v>499</v>
      </c>
      <c r="C497" s="5">
        <v>0</v>
      </c>
      <c r="D497" s="5">
        <f>+$C497*BC497</f>
        <v>0</v>
      </c>
      <c r="E497" s="5">
        <f>+$C497*BD497</f>
        <v>0</v>
      </c>
      <c r="F497" s="5">
        <f>+$C497*BE497</f>
        <v>0</v>
      </c>
      <c r="G497" s="5">
        <f>+$C497*BF497</f>
        <v>0</v>
      </c>
      <c r="H497" s="5">
        <f>+$C497*BG497</f>
        <v>0</v>
      </c>
      <c r="I497" s="5">
        <f>+$C497*BH497</f>
        <v>0</v>
      </c>
      <c r="J497" s="5">
        <f>+$C497*BI497</f>
        <v>0</v>
      </c>
      <c r="K497" s="5">
        <f>+$C497*BJ497</f>
        <v>0</v>
      </c>
      <c r="L497" s="5">
        <f>+$C497*BK497</f>
        <v>0</v>
      </c>
      <c r="M497" s="5">
        <f>+$C497*BL497</f>
        <v>0</v>
      </c>
      <c r="N497" s="5">
        <f>+$C497*BM497</f>
        <v>0</v>
      </c>
      <c r="O497" s="5">
        <f>+$C497*BN497</f>
        <v>0</v>
      </c>
      <c r="P497" s="5">
        <v>0</v>
      </c>
      <c r="Q497" s="5">
        <f>+$P497*BC497</f>
        <v>0</v>
      </c>
      <c r="R497" s="5">
        <f>+$P497*BD497</f>
        <v>0</v>
      </c>
      <c r="S497" s="5">
        <f>+$P497*BE497</f>
        <v>0</v>
      </c>
      <c r="T497" s="5">
        <f>+$P497*BF497</f>
        <v>0</v>
      </c>
      <c r="U497" s="5">
        <f>+$P497*BG497</f>
        <v>0</v>
      </c>
      <c r="V497" s="5">
        <f>+$P497*BH497</f>
        <v>0</v>
      </c>
      <c r="W497" s="5">
        <f>+$P497*BI497</f>
        <v>0</v>
      </c>
      <c r="X497" s="5">
        <f>+$P497*BJ497</f>
        <v>0</v>
      </c>
      <c r="Y497" s="5">
        <f>+$P497*BK497</f>
        <v>0</v>
      </c>
      <c r="Z497" s="5">
        <f>+$P497*BL497</f>
        <v>0</v>
      </c>
      <c r="AA497" s="5">
        <f>+$P497*BM497</f>
        <v>0</v>
      </c>
      <c r="AB497" s="5">
        <f>+$P497*BN497</f>
        <v>0</v>
      </c>
      <c r="AC497" s="5">
        <v>0</v>
      </c>
      <c r="AD497" s="5">
        <f>+$AC497*BC497</f>
        <v>0</v>
      </c>
      <c r="AE497" s="5">
        <f>+$AC497*BD497</f>
        <v>0</v>
      </c>
      <c r="AF497" s="5">
        <f>+$AC497*BE497</f>
        <v>0</v>
      </c>
      <c r="AG497" s="5">
        <f>+$AC497*BF497</f>
        <v>0</v>
      </c>
      <c r="AH497" s="5">
        <f>+$AC497*BG497</f>
        <v>0</v>
      </c>
      <c r="AI497" s="5">
        <f>+$AC497*BH497</f>
        <v>0</v>
      </c>
      <c r="AJ497" s="5">
        <f>+$AC497*BI497</f>
        <v>0</v>
      </c>
      <c r="AK497" s="5">
        <f>+$AC497*BJ497</f>
        <v>0</v>
      </c>
      <c r="AL497" s="5">
        <f>+$AC497*BK497</f>
        <v>0</v>
      </c>
      <c r="AM497" s="5">
        <f>+$AC497*BL497</f>
        <v>0</v>
      </c>
      <c r="AN497" s="5">
        <f>+$AC497*BM497</f>
        <v>0</v>
      </c>
      <c r="AO497" s="5">
        <f>+$AC497*BN497</f>
        <v>0</v>
      </c>
      <c r="AP497" s="5">
        <f>+AC497+P497+C497</f>
        <v>0</v>
      </c>
      <c r="AQ497" s="1">
        <v>9.7952572959801056</v>
      </c>
      <c r="AR497" s="1">
        <v>11.714207963282036</v>
      </c>
      <c r="AS497" s="1">
        <v>10.367159892350232</v>
      </c>
      <c r="AT497" s="1">
        <v>7.8527247033122443</v>
      </c>
      <c r="AU497" s="1">
        <v>11.388320848103056</v>
      </c>
      <c r="AV497" s="1">
        <v>9.3327163001727413</v>
      </c>
      <c r="AW497" s="1">
        <v>9.2913686864841516</v>
      </c>
      <c r="AX497" s="1">
        <v>6.309702828504439</v>
      </c>
      <c r="AY497" s="1">
        <v>9.3528733723743063</v>
      </c>
      <c r="AZ497" s="1">
        <v>8.1451504007132201</v>
      </c>
      <c r="BA497" s="1">
        <v>8.3165073099150923</v>
      </c>
      <c r="BB497" s="1">
        <v>8.1229088629289841</v>
      </c>
      <c r="BC497" s="2">
        <v>8.9181565948742242E-2</v>
      </c>
      <c r="BD497" s="2">
        <v>0.10665277883445198</v>
      </c>
      <c r="BE497" s="2">
        <v>9.438849084854764E-2</v>
      </c>
      <c r="BF497" s="2">
        <v>7.149564986855049E-2</v>
      </c>
      <c r="BG497" s="2">
        <v>0.10368571810536763</v>
      </c>
      <c r="BH497" s="2">
        <v>8.4970330952544637E-2</v>
      </c>
      <c r="BI497" s="2">
        <v>8.4593878877262704E-2</v>
      </c>
      <c r="BJ497" s="2">
        <v>5.7447105462779965E-2</v>
      </c>
      <c r="BK497" s="2">
        <v>8.5153852345557474E-2</v>
      </c>
      <c r="BL497" s="2">
        <v>7.4158058913035174E-2</v>
      </c>
      <c r="BM497" s="2">
        <v>7.5718189192107169E-2</v>
      </c>
      <c r="BN497" s="2">
        <v>7.3955559365675619E-2</v>
      </c>
    </row>
    <row r="498" spans="1:66" x14ac:dyDescent="0.25">
      <c r="A498" s="8">
        <v>5545</v>
      </c>
      <c r="B498" s="8" t="s">
        <v>498</v>
      </c>
      <c r="C498" s="5">
        <v>0</v>
      </c>
      <c r="D498" s="5">
        <f>+$C498*BC498</f>
        <v>0</v>
      </c>
      <c r="E498" s="5">
        <f>+$C498*BD498</f>
        <v>0</v>
      </c>
      <c r="F498" s="5">
        <f>+$C498*BE498</f>
        <v>0</v>
      </c>
      <c r="G498" s="5">
        <f>+$C498*BF498</f>
        <v>0</v>
      </c>
      <c r="H498" s="5">
        <f>+$C498*BG498</f>
        <v>0</v>
      </c>
      <c r="I498" s="5">
        <f>+$C498*BH498</f>
        <v>0</v>
      </c>
      <c r="J498" s="5">
        <f>+$C498*BI498</f>
        <v>0</v>
      </c>
      <c r="K498" s="5">
        <f>+$C498*BJ498</f>
        <v>0</v>
      </c>
      <c r="L498" s="5">
        <f>+$C498*BK498</f>
        <v>0</v>
      </c>
      <c r="M498" s="5">
        <f>+$C498*BL498</f>
        <v>0</v>
      </c>
      <c r="N498" s="5">
        <f>+$C498*BM498</f>
        <v>0</v>
      </c>
      <c r="O498" s="5">
        <f>+$C498*BN498</f>
        <v>0</v>
      </c>
      <c r="P498" s="5">
        <v>0</v>
      </c>
      <c r="Q498" s="5">
        <f>+$P498*BC498</f>
        <v>0</v>
      </c>
      <c r="R498" s="5">
        <f>+$P498*BD498</f>
        <v>0</v>
      </c>
      <c r="S498" s="5">
        <f>+$P498*BE498</f>
        <v>0</v>
      </c>
      <c r="T498" s="5">
        <f>+$P498*BF498</f>
        <v>0</v>
      </c>
      <c r="U498" s="5">
        <f>+$P498*BG498</f>
        <v>0</v>
      </c>
      <c r="V498" s="5">
        <f>+$P498*BH498</f>
        <v>0</v>
      </c>
      <c r="W498" s="5">
        <f>+$P498*BI498</f>
        <v>0</v>
      </c>
      <c r="X498" s="5">
        <f>+$P498*BJ498</f>
        <v>0</v>
      </c>
      <c r="Y498" s="5">
        <f>+$P498*BK498</f>
        <v>0</v>
      </c>
      <c r="Z498" s="5">
        <f>+$P498*BL498</f>
        <v>0</v>
      </c>
      <c r="AA498" s="5">
        <f>+$P498*BM498</f>
        <v>0</v>
      </c>
      <c r="AB498" s="5">
        <f>+$P498*BN498</f>
        <v>0</v>
      </c>
      <c r="AC498" s="5">
        <v>0</v>
      </c>
      <c r="AD498" s="5">
        <f>+$AC498*BC498</f>
        <v>0</v>
      </c>
      <c r="AE498" s="5">
        <f>+$AC498*BD498</f>
        <v>0</v>
      </c>
      <c r="AF498" s="5">
        <f>+$AC498*BE498</f>
        <v>0</v>
      </c>
      <c r="AG498" s="5">
        <f>+$AC498*BF498</f>
        <v>0</v>
      </c>
      <c r="AH498" s="5">
        <f>+$AC498*BG498</f>
        <v>0</v>
      </c>
      <c r="AI498" s="5">
        <f>+$AC498*BH498</f>
        <v>0</v>
      </c>
      <c r="AJ498" s="5">
        <f>+$AC498*BI498</f>
        <v>0</v>
      </c>
      <c r="AK498" s="5">
        <f>+$AC498*BJ498</f>
        <v>0</v>
      </c>
      <c r="AL498" s="5">
        <f>+$AC498*BK498</f>
        <v>0</v>
      </c>
      <c r="AM498" s="5">
        <f>+$AC498*BL498</f>
        <v>0</v>
      </c>
      <c r="AN498" s="5">
        <f>+$AC498*BM498</f>
        <v>0</v>
      </c>
      <c r="AO498" s="5">
        <f>+$AC498*BN498</f>
        <v>0</v>
      </c>
      <c r="AP498" s="5">
        <f>+AC498+P498+C498</f>
        <v>0</v>
      </c>
      <c r="AQ498" s="1">
        <v>9.2124557625050727</v>
      </c>
      <c r="AR498" s="1">
        <v>11.017232053598889</v>
      </c>
      <c r="AS498" s="1">
        <v>9.7503311046549701</v>
      </c>
      <c r="AT498" s="1">
        <v>7.385500631421265</v>
      </c>
      <c r="AU498" s="1">
        <v>10.710734680284476</v>
      </c>
      <c r="AV498" s="1">
        <v>8.7774351873978613</v>
      </c>
      <c r="AW498" s="1">
        <v>8.7385476880212369</v>
      </c>
      <c r="AX498" s="1">
        <v>5.9342859943051707</v>
      </c>
      <c r="AY498" s="1">
        <v>8.796392947296086</v>
      </c>
      <c r="AZ498" s="1">
        <v>7.6605274857165329</v>
      </c>
      <c r="BA498" s="1">
        <v>7.8216889435446699</v>
      </c>
      <c r="BB498" s="1">
        <v>7.6396092824742912</v>
      </c>
      <c r="BC498" s="2">
        <v>8.9181565948742242E-2</v>
      </c>
      <c r="BD498" s="2">
        <v>0.10665277883445198</v>
      </c>
      <c r="BE498" s="2">
        <v>9.438849084854764E-2</v>
      </c>
      <c r="BF498" s="2">
        <v>7.149564986855049E-2</v>
      </c>
      <c r="BG498" s="2">
        <v>0.10368571810536763</v>
      </c>
      <c r="BH498" s="2">
        <v>8.4970330952544637E-2</v>
      </c>
      <c r="BI498" s="2">
        <v>8.4593878877262704E-2</v>
      </c>
      <c r="BJ498" s="2">
        <v>5.7447105462779965E-2</v>
      </c>
      <c r="BK498" s="2">
        <v>8.5153852345557474E-2</v>
      </c>
      <c r="BL498" s="2">
        <v>7.4158058913035174E-2</v>
      </c>
      <c r="BM498" s="2">
        <v>7.5718189192107169E-2</v>
      </c>
      <c r="BN498" s="2">
        <v>7.3955559365675619E-2</v>
      </c>
    </row>
    <row r="499" spans="1:66" x14ac:dyDescent="0.25">
      <c r="A499" s="8">
        <v>6575</v>
      </c>
      <c r="B499" s="8" t="s">
        <v>497</v>
      </c>
      <c r="C499" s="5">
        <v>0</v>
      </c>
      <c r="D499" s="5">
        <f>+$C499*BC499</f>
        <v>0</v>
      </c>
      <c r="E499" s="5">
        <f>+$C499*BD499</f>
        <v>0</v>
      </c>
      <c r="F499" s="5">
        <f>+$C499*BE499</f>
        <v>0</v>
      </c>
      <c r="G499" s="5">
        <f>+$C499*BF499</f>
        <v>0</v>
      </c>
      <c r="H499" s="5">
        <f>+$C499*BG499</f>
        <v>0</v>
      </c>
      <c r="I499" s="5">
        <f>+$C499*BH499</f>
        <v>0</v>
      </c>
      <c r="J499" s="5">
        <f>+$C499*BI499</f>
        <v>0</v>
      </c>
      <c r="K499" s="5">
        <f>+$C499*BJ499</f>
        <v>0</v>
      </c>
      <c r="L499" s="5">
        <f>+$C499*BK499</f>
        <v>0</v>
      </c>
      <c r="M499" s="5">
        <f>+$C499*BL499</f>
        <v>0</v>
      </c>
      <c r="N499" s="5">
        <f>+$C499*BM499</f>
        <v>0</v>
      </c>
      <c r="O499" s="5">
        <f>+$C499*BN499</f>
        <v>0</v>
      </c>
      <c r="P499" s="5">
        <v>0</v>
      </c>
      <c r="Q499" s="5">
        <f>+$P499*BC499</f>
        <v>0</v>
      </c>
      <c r="R499" s="5">
        <f>+$P499*BD499</f>
        <v>0</v>
      </c>
      <c r="S499" s="5">
        <f>+$P499*BE499</f>
        <v>0</v>
      </c>
      <c r="T499" s="5">
        <f>+$P499*BF499</f>
        <v>0</v>
      </c>
      <c r="U499" s="5">
        <f>+$P499*BG499</f>
        <v>0</v>
      </c>
      <c r="V499" s="5">
        <f>+$P499*BH499</f>
        <v>0</v>
      </c>
      <c r="W499" s="5">
        <f>+$P499*BI499</f>
        <v>0</v>
      </c>
      <c r="X499" s="5">
        <f>+$P499*BJ499</f>
        <v>0</v>
      </c>
      <c r="Y499" s="5">
        <f>+$P499*BK499</f>
        <v>0</v>
      </c>
      <c r="Z499" s="5">
        <f>+$P499*BL499</f>
        <v>0</v>
      </c>
      <c r="AA499" s="5">
        <f>+$P499*BM499</f>
        <v>0</v>
      </c>
      <c r="AB499" s="5">
        <f>+$P499*BN499</f>
        <v>0</v>
      </c>
      <c r="AC499" s="5">
        <v>0</v>
      </c>
      <c r="AD499" s="5">
        <f>+$AC499*BC499</f>
        <v>0</v>
      </c>
      <c r="AE499" s="5">
        <f>+$AC499*BD499</f>
        <v>0</v>
      </c>
      <c r="AF499" s="5">
        <f>+$AC499*BE499</f>
        <v>0</v>
      </c>
      <c r="AG499" s="5">
        <f>+$AC499*BF499</f>
        <v>0</v>
      </c>
      <c r="AH499" s="5">
        <f>+$AC499*BG499</f>
        <v>0</v>
      </c>
      <c r="AI499" s="5">
        <f>+$AC499*BH499</f>
        <v>0</v>
      </c>
      <c r="AJ499" s="5">
        <f>+$AC499*BI499</f>
        <v>0</v>
      </c>
      <c r="AK499" s="5">
        <f>+$AC499*BJ499</f>
        <v>0</v>
      </c>
      <c r="AL499" s="5">
        <f>+$AC499*BK499</f>
        <v>0</v>
      </c>
      <c r="AM499" s="5">
        <f>+$AC499*BL499</f>
        <v>0</v>
      </c>
      <c r="AN499" s="5">
        <f>+$AC499*BM499</f>
        <v>0</v>
      </c>
      <c r="AO499" s="5">
        <f>+$AC499*BN499</f>
        <v>0</v>
      </c>
      <c r="AP499" s="5">
        <f>+AC499+P499+C499</f>
        <v>0</v>
      </c>
      <c r="AQ499" s="1">
        <v>8.9181565948742243</v>
      </c>
      <c r="AR499" s="1">
        <v>10.665277883445198</v>
      </c>
      <c r="AS499" s="1">
        <v>9.4388490848547644</v>
      </c>
      <c r="AT499" s="1">
        <v>7.149564986855049</v>
      </c>
      <c r="AU499" s="1">
        <v>10.368571810536762</v>
      </c>
      <c r="AV499" s="1">
        <v>8.4970330952544639</v>
      </c>
      <c r="AW499" s="1">
        <v>8.4593878877262707</v>
      </c>
      <c r="AX499" s="1">
        <v>5.7447105462779966</v>
      </c>
      <c r="AY499" s="1">
        <v>8.5153852345557475</v>
      </c>
      <c r="AZ499" s="1">
        <v>7.415805891303517</v>
      </c>
      <c r="BA499" s="1">
        <v>7.5718189192107168</v>
      </c>
      <c r="BB499" s="1">
        <v>7.395555936567562</v>
      </c>
      <c r="BC499" s="2">
        <v>8.9181565948742242E-2</v>
      </c>
      <c r="BD499" s="2">
        <v>0.10665277883445198</v>
      </c>
      <c r="BE499" s="2">
        <v>9.438849084854764E-2</v>
      </c>
      <c r="BF499" s="2">
        <v>7.149564986855049E-2</v>
      </c>
      <c r="BG499" s="2">
        <v>0.10368571810536763</v>
      </c>
      <c r="BH499" s="2">
        <v>8.4970330952544637E-2</v>
      </c>
      <c r="BI499" s="2">
        <v>8.4593878877262704E-2</v>
      </c>
      <c r="BJ499" s="2">
        <v>5.7447105462779965E-2</v>
      </c>
      <c r="BK499" s="2">
        <v>8.5153852345557474E-2</v>
      </c>
      <c r="BL499" s="2">
        <v>7.4158058913035174E-2</v>
      </c>
      <c r="BM499" s="2">
        <v>7.5718189192107169E-2</v>
      </c>
      <c r="BN499" s="2">
        <v>7.3955559365675619E-2</v>
      </c>
    </row>
    <row r="500" spans="1:66" x14ac:dyDescent="0.25">
      <c r="A500" s="8">
        <v>6659</v>
      </c>
      <c r="B500" s="8" t="s">
        <v>496</v>
      </c>
      <c r="C500" s="5">
        <v>100</v>
      </c>
      <c r="D500" s="5">
        <f>+$C500*BC500</f>
        <v>8.9181565948742243</v>
      </c>
      <c r="E500" s="5">
        <f>+$C500*BD500</f>
        <v>10.665277883445198</v>
      </c>
      <c r="F500" s="5">
        <f>+$C500*BE500</f>
        <v>9.4388490848547644</v>
      </c>
      <c r="G500" s="5">
        <f>+$C500*BF500</f>
        <v>7.149564986855049</v>
      </c>
      <c r="H500" s="5">
        <f>+$C500*BG500</f>
        <v>10.368571810536762</v>
      </c>
      <c r="I500" s="5">
        <f>+$C500*BH500</f>
        <v>8.4970330952544639</v>
      </c>
      <c r="J500" s="5">
        <f>+$C500*BI500</f>
        <v>8.4593878877262707</v>
      </c>
      <c r="K500" s="5">
        <f>+$C500*BJ500</f>
        <v>5.7447105462779966</v>
      </c>
      <c r="L500" s="5">
        <f>+$C500*BK500</f>
        <v>8.5153852345557475</v>
      </c>
      <c r="M500" s="5">
        <f>+$C500*BL500</f>
        <v>7.415805891303517</v>
      </c>
      <c r="N500" s="5">
        <f>+$C500*BM500</f>
        <v>7.5718189192107168</v>
      </c>
      <c r="O500" s="5">
        <f>+$C500*BN500</f>
        <v>7.395555936567562</v>
      </c>
      <c r="P500" s="5">
        <v>0</v>
      </c>
      <c r="Q500" s="5">
        <f>+$P500*BC500</f>
        <v>0</v>
      </c>
      <c r="R500" s="5">
        <f>+$P500*BD500</f>
        <v>0</v>
      </c>
      <c r="S500" s="5">
        <f>+$P500*BE500</f>
        <v>0</v>
      </c>
      <c r="T500" s="5">
        <f>+$P500*BF500</f>
        <v>0</v>
      </c>
      <c r="U500" s="5">
        <f>+$P500*BG500</f>
        <v>0</v>
      </c>
      <c r="V500" s="5">
        <f>+$P500*BH500</f>
        <v>0</v>
      </c>
      <c r="W500" s="5">
        <f>+$P500*BI500</f>
        <v>0</v>
      </c>
      <c r="X500" s="5">
        <f>+$P500*BJ500</f>
        <v>0</v>
      </c>
      <c r="Y500" s="5">
        <f>+$P500*BK500</f>
        <v>0</v>
      </c>
      <c r="Z500" s="5">
        <f>+$P500*BL500</f>
        <v>0</v>
      </c>
      <c r="AA500" s="5">
        <f>+$P500*BM500</f>
        <v>0</v>
      </c>
      <c r="AB500" s="5">
        <f>+$P500*BN500</f>
        <v>0</v>
      </c>
      <c r="AC500" s="5">
        <v>0</v>
      </c>
      <c r="AD500" s="5">
        <f>+$AC500*BC500</f>
        <v>0</v>
      </c>
      <c r="AE500" s="5">
        <f>+$AC500*BD500</f>
        <v>0</v>
      </c>
      <c r="AF500" s="5">
        <f>+$AC500*BE500</f>
        <v>0</v>
      </c>
      <c r="AG500" s="5">
        <f>+$AC500*BF500</f>
        <v>0</v>
      </c>
      <c r="AH500" s="5">
        <f>+$AC500*BG500</f>
        <v>0</v>
      </c>
      <c r="AI500" s="5">
        <f>+$AC500*BH500</f>
        <v>0</v>
      </c>
      <c r="AJ500" s="5">
        <f>+$AC500*BI500</f>
        <v>0</v>
      </c>
      <c r="AK500" s="5">
        <f>+$AC500*BJ500</f>
        <v>0</v>
      </c>
      <c r="AL500" s="5">
        <f>+$AC500*BK500</f>
        <v>0</v>
      </c>
      <c r="AM500" s="5">
        <f>+$AC500*BL500</f>
        <v>0</v>
      </c>
      <c r="AN500" s="5">
        <f>+$AC500*BM500</f>
        <v>0</v>
      </c>
      <c r="AO500" s="5">
        <f>+$AC500*BN500</f>
        <v>0</v>
      </c>
      <c r="AP500" s="5">
        <f>+AC500+P500+C500</f>
        <v>100</v>
      </c>
      <c r="AQ500" s="1">
        <v>8.9181565948742243</v>
      </c>
      <c r="AR500" s="1">
        <v>10.665277883445198</v>
      </c>
      <c r="AS500" s="1">
        <v>9.4388490848547644</v>
      </c>
      <c r="AT500" s="1">
        <v>7.149564986855049</v>
      </c>
      <c r="AU500" s="1">
        <v>10.368571810536762</v>
      </c>
      <c r="AV500" s="1">
        <v>8.4970330952544639</v>
      </c>
      <c r="AW500" s="1">
        <v>8.4593878877262707</v>
      </c>
      <c r="AX500" s="1">
        <v>5.7447105462779966</v>
      </c>
      <c r="AY500" s="1">
        <v>8.5153852345557475</v>
      </c>
      <c r="AZ500" s="1">
        <v>7.415805891303517</v>
      </c>
      <c r="BA500" s="1">
        <v>7.5718189192107168</v>
      </c>
      <c r="BB500" s="1">
        <v>7.395555936567562</v>
      </c>
      <c r="BC500" s="2">
        <v>8.9181565948742242E-2</v>
      </c>
      <c r="BD500" s="2">
        <v>0.10665277883445198</v>
      </c>
      <c r="BE500" s="2">
        <v>9.438849084854764E-2</v>
      </c>
      <c r="BF500" s="2">
        <v>7.149564986855049E-2</v>
      </c>
      <c r="BG500" s="2">
        <v>0.10368571810536763</v>
      </c>
      <c r="BH500" s="2">
        <v>8.4970330952544637E-2</v>
      </c>
      <c r="BI500" s="2">
        <v>8.4593878877262704E-2</v>
      </c>
      <c r="BJ500" s="2">
        <v>5.7447105462779965E-2</v>
      </c>
      <c r="BK500" s="2">
        <v>8.5153852345557474E-2</v>
      </c>
      <c r="BL500" s="2">
        <v>7.4158058913035174E-2</v>
      </c>
      <c r="BM500" s="2">
        <v>7.5718189192107169E-2</v>
      </c>
      <c r="BN500" s="2">
        <v>7.3955559365675619E-2</v>
      </c>
    </row>
    <row r="501" spans="1:66" x14ac:dyDescent="0.25">
      <c r="A501" s="8">
        <v>2708</v>
      </c>
      <c r="B501" s="8" t="s">
        <v>495</v>
      </c>
      <c r="C501" s="5">
        <v>0</v>
      </c>
      <c r="D501" s="5">
        <f>+$C501*BC501</f>
        <v>0</v>
      </c>
      <c r="E501" s="5">
        <f>+$C501*BD501</f>
        <v>0</v>
      </c>
      <c r="F501" s="5">
        <f>+$C501*BE501</f>
        <v>0</v>
      </c>
      <c r="G501" s="5">
        <f>+$C501*BF501</f>
        <v>0</v>
      </c>
      <c r="H501" s="5">
        <f>+$C501*BG501</f>
        <v>0</v>
      </c>
      <c r="I501" s="5">
        <f>+$C501*BH501</f>
        <v>0</v>
      </c>
      <c r="J501" s="5">
        <f>+$C501*BI501</f>
        <v>0</v>
      </c>
      <c r="K501" s="5">
        <f>+$C501*BJ501</f>
        <v>0</v>
      </c>
      <c r="L501" s="5">
        <f>+$C501*BK501</f>
        <v>0</v>
      </c>
      <c r="M501" s="5">
        <f>+$C501*BL501</f>
        <v>0</v>
      </c>
      <c r="N501" s="5">
        <f>+$C501*BM501</f>
        <v>0</v>
      </c>
      <c r="O501" s="5">
        <f>+$C501*BN501</f>
        <v>0</v>
      </c>
      <c r="P501" s="5">
        <v>0</v>
      </c>
      <c r="Q501" s="5">
        <f>+$P501*BC501</f>
        <v>0</v>
      </c>
      <c r="R501" s="5">
        <f>+$P501*BD501</f>
        <v>0</v>
      </c>
      <c r="S501" s="5">
        <f>+$P501*BE501</f>
        <v>0</v>
      </c>
      <c r="T501" s="5">
        <f>+$P501*BF501</f>
        <v>0</v>
      </c>
      <c r="U501" s="5">
        <f>+$P501*BG501</f>
        <v>0</v>
      </c>
      <c r="V501" s="5">
        <f>+$P501*BH501</f>
        <v>0</v>
      </c>
      <c r="W501" s="5">
        <f>+$P501*BI501</f>
        <v>0</v>
      </c>
      <c r="X501" s="5">
        <f>+$P501*BJ501</f>
        <v>0</v>
      </c>
      <c r="Y501" s="5">
        <f>+$P501*BK501</f>
        <v>0</v>
      </c>
      <c r="Z501" s="5">
        <f>+$P501*BL501</f>
        <v>0</v>
      </c>
      <c r="AA501" s="5">
        <f>+$P501*BM501</f>
        <v>0</v>
      </c>
      <c r="AB501" s="5">
        <f>+$P501*BN501</f>
        <v>0</v>
      </c>
      <c r="AC501" s="5">
        <v>0</v>
      </c>
      <c r="AD501" s="5">
        <f>+$AC501*BC501</f>
        <v>0</v>
      </c>
      <c r="AE501" s="5">
        <f>+$AC501*BD501</f>
        <v>0</v>
      </c>
      <c r="AF501" s="5">
        <f>+$AC501*BE501</f>
        <v>0</v>
      </c>
      <c r="AG501" s="5">
        <f>+$AC501*BF501</f>
        <v>0</v>
      </c>
      <c r="AH501" s="5">
        <f>+$AC501*BG501</f>
        <v>0</v>
      </c>
      <c r="AI501" s="5">
        <f>+$AC501*BH501</f>
        <v>0</v>
      </c>
      <c r="AJ501" s="5">
        <f>+$AC501*BI501</f>
        <v>0</v>
      </c>
      <c r="AK501" s="5">
        <f>+$AC501*BJ501</f>
        <v>0</v>
      </c>
      <c r="AL501" s="5">
        <f>+$AC501*BK501</f>
        <v>0</v>
      </c>
      <c r="AM501" s="5">
        <f>+$AC501*BL501</f>
        <v>0</v>
      </c>
      <c r="AN501" s="5">
        <f>+$AC501*BM501</f>
        <v>0</v>
      </c>
      <c r="AO501" s="5">
        <f>+$AC501*BN501</f>
        <v>0</v>
      </c>
      <c r="AP501" s="5">
        <f>+AC501+P501+C501</f>
        <v>0</v>
      </c>
      <c r="AQ501" s="1">
        <v>7.2480534093521278</v>
      </c>
      <c r="AR501" s="1">
        <v>8.6679912942124151</v>
      </c>
      <c r="AS501" s="1">
        <v>7.6712358167340122</v>
      </c>
      <c r="AT501" s="1">
        <v>5.8106659517667039</v>
      </c>
      <c r="AU501" s="1">
        <v>8.4268493675775424</v>
      </c>
      <c r="AV501" s="1">
        <v>6.9057937075061604</v>
      </c>
      <c r="AW501" s="1">
        <v>6.8751983179917717</v>
      </c>
      <c r="AX501" s="1">
        <v>4.6688986022765162</v>
      </c>
      <c r="AY501" s="1">
        <v>6.9207090416804924</v>
      </c>
      <c r="AZ501" s="1">
        <v>6.0270479220391078</v>
      </c>
      <c r="BA501" s="1">
        <v>6.1538443902101259</v>
      </c>
      <c r="BB501" s="1">
        <v>6.0105901763265539</v>
      </c>
      <c r="BC501" s="2">
        <v>8.9181565948742242E-2</v>
      </c>
      <c r="BD501" s="2">
        <v>0.10665277883445198</v>
      </c>
      <c r="BE501" s="2">
        <v>9.438849084854764E-2</v>
      </c>
      <c r="BF501" s="2">
        <v>7.149564986855049E-2</v>
      </c>
      <c r="BG501" s="2">
        <v>0.10368571810536763</v>
      </c>
      <c r="BH501" s="2">
        <v>8.4970330952544637E-2</v>
      </c>
      <c r="BI501" s="2">
        <v>8.4593878877262704E-2</v>
      </c>
      <c r="BJ501" s="2">
        <v>5.7447105462779965E-2</v>
      </c>
      <c r="BK501" s="2">
        <v>8.5153852345557474E-2</v>
      </c>
      <c r="BL501" s="2">
        <v>7.4158058913035174E-2</v>
      </c>
      <c r="BM501" s="2">
        <v>7.5718189192107169E-2</v>
      </c>
      <c r="BN501" s="2">
        <v>7.3955559365675619E-2</v>
      </c>
    </row>
    <row r="502" spans="1:66" x14ac:dyDescent="0.25">
      <c r="A502" s="8">
        <v>4694</v>
      </c>
      <c r="B502" s="8" t="s">
        <v>494</v>
      </c>
      <c r="C502" s="5">
        <v>0</v>
      </c>
      <c r="D502" s="5">
        <f>+$C502*BC502</f>
        <v>0</v>
      </c>
      <c r="E502" s="5">
        <f>+$C502*BD502</f>
        <v>0</v>
      </c>
      <c r="F502" s="5">
        <f>+$C502*BE502</f>
        <v>0</v>
      </c>
      <c r="G502" s="5">
        <f>+$C502*BF502</f>
        <v>0</v>
      </c>
      <c r="H502" s="5">
        <f>+$C502*BG502</f>
        <v>0</v>
      </c>
      <c r="I502" s="5">
        <f>+$C502*BH502</f>
        <v>0</v>
      </c>
      <c r="J502" s="5">
        <f>+$C502*BI502</f>
        <v>0</v>
      </c>
      <c r="K502" s="5">
        <f>+$C502*BJ502</f>
        <v>0</v>
      </c>
      <c r="L502" s="5">
        <f>+$C502*BK502</f>
        <v>0</v>
      </c>
      <c r="M502" s="5">
        <f>+$C502*BL502</f>
        <v>0</v>
      </c>
      <c r="N502" s="5">
        <f>+$C502*BM502</f>
        <v>0</v>
      </c>
      <c r="O502" s="5">
        <f>+$C502*BN502</f>
        <v>0</v>
      </c>
      <c r="P502" s="5">
        <v>1500</v>
      </c>
      <c r="Q502" s="5">
        <f>+$P502*BC502</f>
        <v>133.77234892311336</v>
      </c>
      <c r="R502" s="5">
        <f>+$P502*BD502</f>
        <v>159.97916825167798</v>
      </c>
      <c r="S502" s="5">
        <f>+$P502*BE502</f>
        <v>141.58273627282145</v>
      </c>
      <c r="T502" s="5">
        <f>+$P502*BF502</f>
        <v>107.24347480282573</v>
      </c>
      <c r="U502" s="5">
        <f>+$P502*BG502</f>
        <v>155.52857715805143</v>
      </c>
      <c r="V502" s="5">
        <f>+$P502*BH502</f>
        <v>127.45549642881696</v>
      </c>
      <c r="W502" s="5">
        <f>+$P502*BI502</f>
        <v>126.89081831589405</v>
      </c>
      <c r="X502" s="5">
        <f>+$P502*BJ502</f>
        <v>86.170658194169945</v>
      </c>
      <c r="Y502" s="5">
        <f>+$P502*BK502</f>
        <v>127.73077851833621</v>
      </c>
      <c r="Z502" s="5">
        <f>+$P502*BL502</f>
        <v>111.23708836955277</v>
      </c>
      <c r="AA502" s="5">
        <f>+$P502*BM502</f>
        <v>113.57728378816076</v>
      </c>
      <c r="AB502" s="5">
        <f>+$P502*BN502</f>
        <v>110.93333904851343</v>
      </c>
      <c r="AC502" s="5">
        <v>0</v>
      </c>
      <c r="AD502" s="5">
        <f>+$AC502*BC502</f>
        <v>0</v>
      </c>
      <c r="AE502" s="5">
        <f>+$AC502*BD502</f>
        <v>0</v>
      </c>
      <c r="AF502" s="5">
        <f>+$AC502*BE502</f>
        <v>0</v>
      </c>
      <c r="AG502" s="5">
        <f>+$AC502*BF502</f>
        <v>0</v>
      </c>
      <c r="AH502" s="5">
        <f>+$AC502*BG502</f>
        <v>0</v>
      </c>
      <c r="AI502" s="5">
        <f>+$AC502*BH502</f>
        <v>0</v>
      </c>
      <c r="AJ502" s="5">
        <f>+$AC502*BI502</f>
        <v>0</v>
      </c>
      <c r="AK502" s="5">
        <f>+$AC502*BJ502</f>
        <v>0</v>
      </c>
      <c r="AL502" s="5">
        <f>+$AC502*BK502</f>
        <v>0</v>
      </c>
      <c r="AM502" s="5">
        <f>+$AC502*BL502</f>
        <v>0</v>
      </c>
      <c r="AN502" s="5">
        <f>+$AC502*BM502</f>
        <v>0</v>
      </c>
      <c r="AO502" s="5">
        <f>+$AC502*BN502</f>
        <v>0</v>
      </c>
      <c r="AP502" s="5">
        <f>+AC502+P502+C502</f>
        <v>1500</v>
      </c>
      <c r="AQ502" s="1">
        <v>29.363208951755283</v>
      </c>
      <c r="AR502" s="1">
        <v>35.115640736800984</v>
      </c>
      <c r="AS502" s="1">
        <v>31.077599388866009</v>
      </c>
      <c r="AT502" s="1">
        <v>23.540085710519985</v>
      </c>
      <c r="AU502" s="1">
        <v>34.1387300576285</v>
      </c>
      <c r="AV502" s="1">
        <v>27.976651406787227</v>
      </c>
      <c r="AW502" s="1">
        <v>27.8527038080965</v>
      </c>
      <c r="AX502" s="1">
        <v>18.914574367831229</v>
      </c>
      <c r="AY502" s="1">
        <v>28.037076192479489</v>
      </c>
      <c r="AZ502" s="1">
        <v>24.416689213234658</v>
      </c>
      <c r="BA502" s="1">
        <v>24.930365227879669</v>
      </c>
      <c r="BB502" s="1">
        <v>24.350015832267431</v>
      </c>
      <c r="BC502" s="2">
        <v>8.9181565948742242E-2</v>
      </c>
      <c r="BD502" s="2">
        <v>0.10665277883445198</v>
      </c>
      <c r="BE502" s="2">
        <v>9.438849084854764E-2</v>
      </c>
      <c r="BF502" s="2">
        <v>7.149564986855049E-2</v>
      </c>
      <c r="BG502" s="2">
        <v>0.10368571810536763</v>
      </c>
      <c r="BH502" s="2">
        <v>8.4970330952544637E-2</v>
      </c>
      <c r="BI502" s="2">
        <v>8.4593878877262704E-2</v>
      </c>
      <c r="BJ502" s="2">
        <v>5.7447105462779965E-2</v>
      </c>
      <c r="BK502" s="2">
        <v>8.5153852345557474E-2</v>
      </c>
      <c r="BL502" s="2">
        <v>7.4158058913035174E-2</v>
      </c>
      <c r="BM502" s="2">
        <v>7.5718189192107169E-2</v>
      </c>
      <c r="BN502" s="2">
        <v>7.3955559365675619E-2</v>
      </c>
    </row>
    <row r="503" spans="1:66" x14ac:dyDescent="0.25">
      <c r="A503" s="8">
        <v>6607</v>
      </c>
      <c r="B503" s="8" t="s">
        <v>493</v>
      </c>
      <c r="C503" s="5">
        <v>0</v>
      </c>
      <c r="D503" s="5">
        <f>+$C503*BC503</f>
        <v>0</v>
      </c>
      <c r="E503" s="5">
        <f>+$C503*BD503</f>
        <v>0</v>
      </c>
      <c r="F503" s="5">
        <f>+$C503*BE503</f>
        <v>0</v>
      </c>
      <c r="G503" s="5">
        <f>+$C503*BF503</f>
        <v>0</v>
      </c>
      <c r="H503" s="5">
        <f>+$C503*BG503</f>
        <v>0</v>
      </c>
      <c r="I503" s="5">
        <f>+$C503*BH503</f>
        <v>0</v>
      </c>
      <c r="J503" s="5">
        <f>+$C503*BI503</f>
        <v>0</v>
      </c>
      <c r="K503" s="5">
        <f>+$C503*BJ503</f>
        <v>0</v>
      </c>
      <c r="L503" s="5">
        <f>+$C503*BK503</f>
        <v>0</v>
      </c>
      <c r="M503" s="5">
        <f>+$C503*BL503</f>
        <v>0</v>
      </c>
      <c r="N503" s="5">
        <f>+$C503*BM503</f>
        <v>0</v>
      </c>
      <c r="O503" s="5">
        <f>+$C503*BN503</f>
        <v>0</v>
      </c>
      <c r="P503" s="5">
        <v>0</v>
      </c>
      <c r="Q503" s="5">
        <f>+$P503*BC503</f>
        <v>0</v>
      </c>
      <c r="R503" s="5">
        <f>+$P503*BD503</f>
        <v>0</v>
      </c>
      <c r="S503" s="5">
        <f>+$P503*BE503</f>
        <v>0</v>
      </c>
      <c r="T503" s="5">
        <f>+$P503*BF503</f>
        <v>0</v>
      </c>
      <c r="U503" s="5">
        <f>+$P503*BG503</f>
        <v>0</v>
      </c>
      <c r="V503" s="5">
        <f>+$P503*BH503</f>
        <v>0</v>
      </c>
      <c r="W503" s="5">
        <f>+$P503*BI503</f>
        <v>0</v>
      </c>
      <c r="X503" s="5">
        <f>+$P503*BJ503</f>
        <v>0</v>
      </c>
      <c r="Y503" s="5">
        <f>+$P503*BK503</f>
        <v>0</v>
      </c>
      <c r="Z503" s="5">
        <f>+$P503*BL503</f>
        <v>0</v>
      </c>
      <c r="AA503" s="5">
        <f>+$P503*BM503</f>
        <v>0</v>
      </c>
      <c r="AB503" s="5">
        <f>+$P503*BN503</f>
        <v>0</v>
      </c>
      <c r="AC503" s="5">
        <v>0</v>
      </c>
      <c r="AD503" s="5">
        <f>+$AC503*BC503</f>
        <v>0</v>
      </c>
      <c r="AE503" s="5">
        <f>+$AC503*BD503</f>
        <v>0</v>
      </c>
      <c r="AF503" s="5">
        <f>+$AC503*BE503</f>
        <v>0</v>
      </c>
      <c r="AG503" s="5">
        <f>+$AC503*BF503</f>
        <v>0</v>
      </c>
      <c r="AH503" s="5">
        <f>+$AC503*BG503</f>
        <v>0</v>
      </c>
      <c r="AI503" s="5">
        <f>+$AC503*BH503</f>
        <v>0</v>
      </c>
      <c r="AJ503" s="5">
        <f>+$AC503*BI503</f>
        <v>0</v>
      </c>
      <c r="AK503" s="5">
        <f>+$AC503*BJ503</f>
        <v>0</v>
      </c>
      <c r="AL503" s="5">
        <f>+$AC503*BK503</f>
        <v>0</v>
      </c>
      <c r="AM503" s="5">
        <f>+$AC503*BL503</f>
        <v>0</v>
      </c>
      <c r="AN503" s="5">
        <f>+$AC503*BM503</f>
        <v>0</v>
      </c>
      <c r="AO503" s="5">
        <f>+$AC503*BN503</f>
        <v>0</v>
      </c>
      <c r="AP503" s="5">
        <f>+AC503+P503+C503</f>
        <v>0</v>
      </c>
      <c r="AQ503" s="1">
        <v>133.97086708891527</v>
      </c>
      <c r="AR503" s="1">
        <v>160.21657733736347</v>
      </c>
      <c r="AS503" s="1">
        <v>141.79284505345035</v>
      </c>
      <c r="AT503" s="1">
        <v>107.40262411943314</v>
      </c>
      <c r="AU503" s="1">
        <v>155.759381566554</v>
      </c>
      <c r="AV503" s="1">
        <v>127.64464038551733</v>
      </c>
      <c r="AW503" s="1">
        <v>127.07912429027485</v>
      </c>
      <c r="AX503" s="1">
        <v>86.298535450930103</v>
      </c>
      <c r="AY503" s="1">
        <v>127.92033099365743</v>
      </c>
      <c r="AZ503" s="1">
        <v>111.40216420869318</v>
      </c>
      <c r="BA503" s="1">
        <v>113.74583247730239</v>
      </c>
      <c r="BB503" s="1">
        <v>111.09796412366143</v>
      </c>
      <c r="BC503" s="2">
        <v>8.9181565948742242E-2</v>
      </c>
      <c r="BD503" s="2">
        <v>0.10665277883445198</v>
      </c>
      <c r="BE503" s="2">
        <v>9.438849084854764E-2</v>
      </c>
      <c r="BF503" s="2">
        <v>7.149564986855049E-2</v>
      </c>
      <c r="BG503" s="2">
        <v>0.10368571810536763</v>
      </c>
      <c r="BH503" s="2">
        <v>8.4970330952544637E-2</v>
      </c>
      <c r="BI503" s="2">
        <v>8.4593878877262704E-2</v>
      </c>
      <c r="BJ503" s="2">
        <v>5.7447105462779965E-2</v>
      </c>
      <c r="BK503" s="2">
        <v>8.5153852345557474E-2</v>
      </c>
      <c r="BL503" s="2">
        <v>7.4158058913035174E-2</v>
      </c>
      <c r="BM503" s="2">
        <v>7.5718189192107169E-2</v>
      </c>
      <c r="BN503" s="2">
        <v>7.3955559365675619E-2</v>
      </c>
    </row>
    <row r="504" spans="1:66" x14ac:dyDescent="0.25">
      <c r="A504" s="8">
        <v>2552</v>
      </c>
      <c r="B504" s="8" t="s">
        <v>492</v>
      </c>
      <c r="C504" s="5">
        <v>0</v>
      </c>
      <c r="D504" s="5">
        <f>+$C504*BC504</f>
        <v>0</v>
      </c>
      <c r="E504" s="5">
        <f>+$C504*BD504</f>
        <v>0</v>
      </c>
      <c r="F504" s="5">
        <f>+$C504*BE504</f>
        <v>0</v>
      </c>
      <c r="G504" s="5">
        <f>+$C504*BF504</f>
        <v>0</v>
      </c>
      <c r="H504" s="5">
        <f>+$C504*BG504</f>
        <v>0</v>
      </c>
      <c r="I504" s="5">
        <f>+$C504*BH504</f>
        <v>0</v>
      </c>
      <c r="J504" s="5">
        <f>+$C504*BI504</f>
        <v>0</v>
      </c>
      <c r="K504" s="5">
        <f>+$C504*BJ504</f>
        <v>0</v>
      </c>
      <c r="L504" s="5">
        <f>+$C504*BK504</f>
        <v>0</v>
      </c>
      <c r="M504" s="5">
        <f>+$C504*BL504</f>
        <v>0</v>
      </c>
      <c r="N504" s="5">
        <f>+$C504*BM504</f>
        <v>0</v>
      </c>
      <c r="O504" s="5">
        <f>+$C504*BN504</f>
        <v>0</v>
      </c>
      <c r="P504" s="5">
        <v>0</v>
      </c>
      <c r="Q504" s="5">
        <f>+$P504*BC504</f>
        <v>0</v>
      </c>
      <c r="R504" s="5">
        <f>+$P504*BD504</f>
        <v>0</v>
      </c>
      <c r="S504" s="5">
        <f>+$P504*BE504</f>
        <v>0</v>
      </c>
      <c r="T504" s="5">
        <f>+$P504*BF504</f>
        <v>0</v>
      </c>
      <c r="U504" s="5">
        <f>+$P504*BG504</f>
        <v>0</v>
      </c>
      <c r="V504" s="5">
        <f>+$P504*BH504</f>
        <v>0</v>
      </c>
      <c r="W504" s="5">
        <f>+$P504*BI504</f>
        <v>0</v>
      </c>
      <c r="X504" s="5">
        <f>+$P504*BJ504</f>
        <v>0</v>
      </c>
      <c r="Y504" s="5">
        <f>+$P504*BK504</f>
        <v>0</v>
      </c>
      <c r="Z504" s="5">
        <f>+$P504*BL504</f>
        <v>0</v>
      </c>
      <c r="AA504" s="5">
        <f>+$P504*BM504</f>
        <v>0</v>
      </c>
      <c r="AB504" s="5">
        <f>+$P504*BN504</f>
        <v>0</v>
      </c>
      <c r="AC504" s="5">
        <v>0</v>
      </c>
      <c r="AD504" s="5">
        <f>+$AC504*BC504</f>
        <v>0</v>
      </c>
      <c r="AE504" s="5">
        <f>+$AC504*BD504</f>
        <v>0</v>
      </c>
      <c r="AF504" s="5">
        <f>+$AC504*BE504</f>
        <v>0</v>
      </c>
      <c r="AG504" s="5">
        <f>+$AC504*BF504</f>
        <v>0</v>
      </c>
      <c r="AH504" s="5">
        <f>+$AC504*BG504</f>
        <v>0</v>
      </c>
      <c r="AI504" s="5">
        <f>+$AC504*BH504</f>
        <v>0</v>
      </c>
      <c r="AJ504" s="5">
        <f>+$AC504*BI504</f>
        <v>0</v>
      </c>
      <c r="AK504" s="5">
        <f>+$AC504*BJ504</f>
        <v>0</v>
      </c>
      <c r="AL504" s="5">
        <f>+$AC504*BK504</f>
        <v>0</v>
      </c>
      <c r="AM504" s="5">
        <f>+$AC504*BL504</f>
        <v>0</v>
      </c>
      <c r="AN504" s="5">
        <f>+$AC504*BM504</f>
        <v>0</v>
      </c>
      <c r="AO504" s="5">
        <f>+$AC504*BN504</f>
        <v>0</v>
      </c>
      <c r="AP504" s="5">
        <f>+AC504+P504+C504</f>
        <v>0</v>
      </c>
      <c r="AQ504" s="1">
        <v>5.7682636855646487</v>
      </c>
      <c r="AR504" s="1">
        <v>6.898301735012355</v>
      </c>
      <c r="AS504" s="1">
        <v>6.1050475880840622</v>
      </c>
      <c r="AT504" s="1">
        <v>4.624338633497846</v>
      </c>
      <c r="AU504" s="1">
        <v>6.7063922470551791</v>
      </c>
      <c r="AV504" s="1">
        <v>5.4958810060105874</v>
      </c>
      <c r="AW504" s="1">
        <v>5.4715320857813525</v>
      </c>
      <c r="AX504" s="1">
        <v>3.7156787813326084</v>
      </c>
      <c r="AY504" s="1">
        <v>5.5077511697106578</v>
      </c>
      <c r="AZ504" s="1">
        <v>4.796543250495116</v>
      </c>
      <c r="BA504" s="1">
        <v>4.8974524769454924</v>
      </c>
      <c r="BB504" s="1">
        <v>4.7834455797718993</v>
      </c>
      <c r="BC504" s="2">
        <v>8.9181565948742242E-2</v>
      </c>
      <c r="BD504" s="2">
        <v>0.10665277883445198</v>
      </c>
      <c r="BE504" s="2">
        <v>9.438849084854764E-2</v>
      </c>
      <c r="BF504" s="2">
        <v>7.149564986855049E-2</v>
      </c>
      <c r="BG504" s="2">
        <v>0.10368571810536763</v>
      </c>
      <c r="BH504" s="2">
        <v>8.4970330952544637E-2</v>
      </c>
      <c r="BI504" s="2">
        <v>8.4593878877262704E-2</v>
      </c>
      <c r="BJ504" s="2">
        <v>5.7447105462779965E-2</v>
      </c>
      <c r="BK504" s="2">
        <v>8.5153852345557474E-2</v>
      </c>
      <c r="BL504" s="2">
        <v>7.4158058913035174E-2</v>
      </c>
      <c r="BM504" s="2">
        <v>7.5718189192107169E-2</v>
      </c>
      <c r="BN504" s="2">
        <v>7.3955559365675619E-2</v>
      </c>
    </row>
    <row r="505" spans="1:66" x14ac:dyDescent="0.25">
      <c r="A505" s="8">
        <v>846</v>
      </c>
      <c r="B505" s="8" t="s">
        <v>491</v>
      </c>
      <c r="C505" s="5">
        <v>0</v>
      </c>
      <c r="D505" s="5">
        <f>+$C505*BC505</f>
        <v>0</v>
      </c>
      <c r="E505" s="5">
        <f>+$C505*BD505</f>
        <v>0</v>
      </c>
      <c r="F505" s="5">
        <f>+$C505*BE505</f>
        <v>0</v>
      </c>
      <c r="G505" s="5">
        <f>+$C505*BF505</f>
        <v>0</v>
      </c>
      <c r="H505" s="5">
        <f>+$C505*BG505</f>
        <v>0</v>
      </c>
      <c r="I505" s="5">
        <f>+$C505*BH505</f>
        <v>0</v>
      </c>
      <c r="J505" s="5">
        <f>+$C505*BI505</f>
        <v>0</v>
      </c>
      <c r="K505" s="5">
        <f>+$C505*BJ505</f>
        <v>0</v>
      </c>
      <c r="L505" s="5">
        <f>+$C505*BK505</f>
        <v>0</v>
      </c>
      <c r="M505" s="5">
        <f>+$C505*BL505</f>
        <v>0</v>
      </c>
      <c r="N505" s="5">
        <f>+$C505*BM505</f>
        <v>0</v>
      </c>
      <c r="O505" s="5">
        <f>+$C505*BN505</f>
        <v>0</v>
      </c>
      <c r="P505" s="5">
        <v>0</v>
      </c>
      <c r="Q505" s="5">
        <f>+$P505*BC505</f>
        <v>0</v>
      </c>
      <c r="R505" s="5">
        <f>+$P505*BD505</f>
        <v>0</v>
      </c>
      <c r="S505" s="5">
        <f>+$P505*BE505</f>
        <v>0</v>
      </c>
      <c r="T505" s="5">
        <f>+$P505*BF505</f>
        <v>0</v>
      </c>
      <c r="U505" s="5">
        <f>+$P505*BG505</f>
        <v>0</v>
      </c>
      <c r="V505" s="5">
        <f>+$P505*BH505</f>
        <v>0</v>
      </c>
      <c r="W505" s="5">
        <f>+$P505*BI505</f>
        <v>0</v>
      </c>
      <c r="X505" s="5">
        <f>+$P505*BJ505</f>
        <v>0</v>
      </c>
      <c r="Y505" s="5">
        <f>+$P505*BK505</f>
        <v>0</v>
      </c>
      <c r="Z505" s="5">
        <f>+$P505*BL505</f>
        <v>0</v>
      </c>
      <c r="AA505" s="5">
        <f>+$P505*BM505</f>
        <v>0</v>
      </c>
      <c r="AB505" s="5">
        <f>+$P505*BN505</f>
        <v>0</v>
      </c>
      <c r="AC505" s="5">
        <v>0</v>
      </c>
      <c r="AD505" s="5">
        <f>+$AC505*BC505</f>
        <v>0</v>
      </c>
      <c r="AE505" s="5">
        <f>+$AC505*BD505</f>
        <v>0</v>
      </c>
      <c r="AF505" s="5">
        <f>+$AC505*BE505</f>
        <v>0</v>
      </c>
      <c r="AG505" s="5">
        <f>+$AC505*BF505</f>
        <v>0</v>
      </c>
      <c r="AH505" s="5">
        <f>+$AC505*BG505</f>
        <v>0</v>
      </c>
      <c r="AI505" s="5">
        <f>+$AC505*BH505</f>
        <v>0</v>
      </c>
      <c r="AJ505" s="5">
        <f>+$AC505*BI505</f>
        <v>0</v>
      </c>
      <c r="AK505" s="5">
        <f>+$AC505*BJ505</f>
        <v>0</v>
      </c>
      <c r="AL505" s="5">
        <f>+$AC505*BK505</f>
        <v>0</v>
      </c>
      <c r="AM505" s="5">
        <f>+$AC505*BL505</f>
        <v>0</v>
      </c>
      <c r="AN505" s="5">
        <f>+$AC505*BM505</f>
        <v>0</v>
      </c>
      <c r="AO505" s="5">
        <f>+$AC505*BN505</f>
        <v>0</v>
      </c>
      <c r="AP505" s="5">
        <f>+AC505+P505+C505</f>
        <v>0</v>
      </c>
      <c r="AQ505" s="1">
        <v>5.5916841849861392</v>
      </c>
      <c r="AR505" s="1">
        <v>6.6871292329201397</v>
      </c>
      <c r="AS505" s="1">
        <v>5.9181583762039374</v>
      </c>
      <c r="AT505" s="1">
        <v>4.4827772467581157</v>
      </c>
      <c r="AU505" s="1">
        <v>6.5010945252065504</v>
      </c>
      <c r="AV505" s="1">
        <v>5.3276397507245488</v>
      </c>
      <c r="AW505" s="1">
        <v>5.3040362056043717</v>
      </c>
      <c r="AX505" s="1">
        <v>3.6019335125163039</v>
      </c>
      <c r="AY505" s="1">
        <v>5.3391465420664534</v>
      </c>
      <c r="AZ505" s="1">
        <v>4.6497102938473054</v>
      </c>
      <c r="BA505" s="1">
        <v>4.7475304623451198</v>
      </c>
      <c r="BB505" s="1">
        <v>4.6370135722278611</v>
      </c>
      <c r="BC505" s="2">
        <v>8.9181565948742242E-2</v>
      </c>
      <c r="BD505" s="2">
        <v>0.10665277883445198</v>
      </c>
      <c r="BE505" s="2">
        <v>9.438849084854764E-2</v>
      </c>
      <c r="BF505" s="2">
        <v>7.149564986855049E-2</v>
      </c>
      <c r="BG505" s="2">
        <v>0.10368571810536763</v>
      </c>
      <c r="BH505" s="2">
        <v>8.4970330952544637E-2</v>
      </c>
      <c r="BI505" s="2">
        <v>8.4593878877262704E-2</v>
      </c>
      <c r="BJ505" s="2">
        <v>5.7447105462779965E-2</v>
      </c>
      <c r="BK505" s="2">
        <v>8.5153852345557474E-2</v>
      </c>
      <c r="BL505" s="2">
        <v>7.4158058913035174E-2</v>
      </c>
      <c r="BM505" s="2">
        <v>7.5718189192107169E-2</v>
      </c>
      <c r="BN505" s="2">
        <v>7.3955559365675619E-2</v>
      </c>
    </row>
    <row r="506" spans="1:66" x14ac:dyDescent="0.25">
      <c r="A506" s="8">
        <v>3978</v>
      </c>
      <c r="B506" s="8" t="s">
        <v>490</v>
      </c>
      <c r="C506" s="5">
        <v>0</v>
      </c>
      <c r="D506" s="5">
        <f>+$C506*BC506</f>
        <v>0</v>
      </c>
      <c r="E506" s="5">
        <f>+$C506*BD506</f>
        <v>0</v>
      </c>
      <c r="F506" s="5">
        <f>+$C506*BE506</f>
        <v>0</v>
      </c>
      <c r="G506" s="5">
        <f>+$C506*BF506</f>
        <v>0</v>
      </c>
      <c r="H506" s="5">
        <f>+$C506*BG506</f>
        <v>0</v>
      </c>
      <c r="I506" s="5">
        <f>+$C506*BH506</f>
        <v>0</v>
      </c>
      <c r="J506" s="5">
        <f>+$C506*BI506</f>
        <v>0</v>
      </c>
      <c r="K506" s="5">
        <f>+$C506*BJ506</f>
        <v>0</v>
      </c>
      <c r="L506" s="5">
        <f>+$C506*BK506</f>
        <v>0</v>
      </c>
      <c r="M506" s="5">
        <f>+$C506*BL506</f>
        <v>0</v>
      </c>
      <c r="N506" s="5">
        <f>+$C506*BM506</f>
        <v>0</v>
      </c>
      <c r="O506" s="5">
        <f>+$C506*BN506</f>
        <v>0</v>
      </c>
      <c r="P506" s="5">
        <v>0</v>
      </c>
      <c r="Q506" s="5">
        <f>+$P506*BC506</f>
        <v>0</v>
      </c>
      <c r="R506" s="5">
        <f>+$P506*BD506</f>
        <v>0</v>
      </c>
      <c r="S506" s="5">
        <f>+$P506*BE506</f>
        <v>0</v>
      </c>
      <c r="T506" s="5">
        <f>+$P506*BF506</f>
        <v>0</v>
      </c>
      <c r="U506" s="5">
        <f>+$P506*BG506</f>
        <v>0</v>
      </c>
      <c r="V506" s="5">
        <f>+$P506*BH506</f>
        <v>0</v>
      </c>
      <c r="W506" s="5">
        <f>+$P506*BI506</f>
        <v>0</v>
      </c>
      <c r="X506" s="5">
        <f>+$P506*BJ506</f>
        <v>0</v>
      </c>
      <c r="Y506" s="5">
        <f>+$P506*BK506</f>
        <v>0</v>
      </c>
      <c r="Z506" s="5">
        <f>+$P506*BL506</f>
        <v>0</v>
      </c>
      <c r="AA506" s="5">
        <f>+$P506*BM506</f>
        <v>0</v>
      </c>
      <c r="AB506" s="5">
        <f>+$P506*BN506</f>
        <v>0</v>
      </c>
      <c r="AC506" s="5">
        <v>0</v>
      </c>
      <c r="AD506" s="5">
        <f>+$AC506*BC506</f>
        <v>0</v>
      </c>
      <c r="AE506" s="5">
        <f>+$AC506*BD506</f>
        <v>0</v>
      </c>
      <c r="AF506" s="5">
        <f>+$AC506*BE506</f>
        <v>0</v>
      </c>
      <c r="AG506" s="5">
        <f>+$AC506*BF506</f>
        <v>0</v>
      </c>
      <c r="AH506" s="5">
        <f>+$AC506*BG506</f>
        <v>0</v>
      </c>
      <c r="AI506" s="5">
        <f>+$AC506*BH506</f>
        <v>0</v>
      </c>
      <c r="AJ506" s="5">
        <f>+$AC506*BI506</f>
        <v>0</v>
      </c>
      <c r="AK506" s="5">
        <f>+$AC506*BJ506</f>
        <v>0</v>
      </c>
      <c r="AL506" s="5">
        <f>+$AC506*BK506</f>
        <v>0</v>
      </c>
      <c r="AM506" s="5">
        <f>+$AC506*BL506</f>
        <v>0</v>
      </c>
      <c r="AN506" s="5">
        <f>+$AC506*BM506</f>
        <v>0</v>
      </c>
      <c r="AO506" s="5">
        <f>+$AC506*BN506</f>
        <v>0</v>
      </c>
      <c r="AP506" s="5">
        <f>+AC506+P506+C506</f>
        <v>0</v>
      </c>
      <c r="AQ506" s="1">
        <v>4.2231930555026889</v>
      </c>
      <c r="AR506" s="1">
        <v>5.0505423417054738</v>
      </c>
      <c r="AS506" s="1">
        <v>4.4697669841329741</v>
      </c>
      <c r="AT506" s="1">
        <v>3.3856764995252089</v>
      </c>
      <c r="AU506" s="1">
        <v>4.9100371808796845</v>
      </c>
      <c r="AV506" s="1">
        <v>4.0237700222577519</v>
      </c>
      <c r="AW506" s="1">
        <v>4.0059431342327754</v>
      </c>
      <c r="AX506" s="1">
        <v>2.7204076791899454</v>
      </c>
      <c r="AY506" s="1">
        <v>4.0324606778238747</v>
      </c>
      <c r="AZ506" s="1">
        <v>3.511754879826781</v>
      </c>
      <c r="BA506" s="1">
        <v>3.5856348491922354</v>
      </c>
      <c r="BB506" s="1">
        <v>3.502165513761569</v>
      </c>
      <c r="BC506" s="2">
        <v>8.9181565948742242E-2</v>
      </c>
      <c r="BD506" s="2">
        <v>0.10665277883445198</v>
      </c>
      <c r="BE506" s="2">
        <v>9.438849084854764E-2</v>
      </c>
      <c r="BF506" s="2">
        <v>7.149564986855049E-2</v>
      </c>
      <c r="BG506" s="2">
        <v>0.10368571810536763</v>
      </c>
      <c r="BH506" s="2">
        <v>8.4970330952544637E-2</v>
      </c>
      <c r="BI506" s="2">
        <v>8.4593878877262704E-2</v>
      </c>
      <c r="BJ506" s="2">
        <v>5.7447105462779965E-2</v>
      </c>
      <c r="BK506" s="2">
        <v>8.5153852345557474E-2</v>
      </c>
      <c r="BL506" s="2">
        <v>7.4158058913035174E-2</v>
      </c>
      <c r="BM506" s="2">
        <v>7.5718189192107169E-2</v>
      </c>
      <c r="BN506" s="2">
        <v>7.3955559365675619E-2</v>
      </c>
    </row>
    <row r="507" spans="1:66" x14ac:dyDescent="0.25">
      <c r="A507" s="8">
        <v>22356</v>
      </c>
      <c r="B507" s="8" t="s">
        <v>489</v>
      </c>
      <c r="C507" s="5">
        <v>0</v>
      </c>
      <c r="D507" s="5">
        <f>+$C507*BC507</f>
        <v>0</v>
      </c>
      <c r="E507" s="5">
        <f>+$C507*BD507</f>
        <v>0</v>
      </c>
      <c r="F507" s="5">
        <f>+$C507*BE507</f>
        <v>0</v>
      </c>
      <c r="G507" s="5">
        <f>+$C507*BF507</f>
        <v>0</v>
      </c>
      <c r="H507" s="5">
        <f>+$C507*BG507</f>
        <v>0</v>
      </c>
      <c r="I507" s="5">
        <f>+$C507*BH507</f>
        <v>0</v>
      </c>
      <c r="J507" s="5">
        <f>+$C507*BI507</f>
        <v>0</v>
      </c>
      <c r="K507" s="5">
        <f>+$C507*BJ507</f>
        <v>0</v>
      </c>
      <c r="L507" s="5">
        <f>+$C507*BK507</f>
        <v>0</v>
      </c>
      <c r="M507" s="5">
        <f>+$C507*BL507</f>
        <v>0</v>
      </c>
      <c r="N507" s="5">
        <f>+$C507*BM507</f>
        <v>0</v>
      </c>
      <c r="O507" s="5">
        <f>+$C507*BN507</f>
        <v>0</v>
      </c>
      <c r="P507" s="5">
        <v>0</v>
      </c>
      <c r="Q507" s="5">
        <f>+$P507*BC507</f>
        <v>0</v>
      </c>
      <c r="R507" s="5">
        <f>+$P507*BD507</f>
        <v>0</v>
      </c>
      <c r="S507" s="5">
        <f>+$P507*BE507</f>
        <v>0</v>
      </c>
      <c r="T507" s="5">
        <f>+$P507*BF507</f>
        <v>0</v>
      </c>
      <c r="U507" s="5">
        <f>+$P507*BG507</f>
        <v>0</v>
      </c>
      <c r="V507" s="5">
        <f>+$P507*BH507</f>
        <v>0</v>
      </c>
      <c r="W507" s="5">
        <f>+$P507*BI507</f>
        <v>0</v>
      </c>
      <c r="X507" s="5">
        <f>+$P507*BJ507</f>
        <v>0</v>
      </c>
      <c r="Y507" s="5">
        <f>+$P507*BK507</f>
        <v>0</v>
      </c>
      <c r="Z507" s="5">
        <f>+$P507*BL507</f>
        <v>0</v>
      </c>
      <c r="AA507" s="5">
        <f>+$P507*BM507</f>
        <v>0</v>
      </c>
      <c r="AB507" s="5">
        <f>+$P507*BN507</f>
        <v>0</v>
      </c>
      <c r="AC507" s="5">
        <v>0</v>
      </c>
      <c r="AD507" s="5">
        <f>+$AC507*BC507</f>
        <v>0</v>
      </c>
      <c r="AE507" s="5">
        <f>+$AC507*BD507</f>
        <v>0</v>
      </c>
      <c r="AF507" s="5">
        <f>+$AC507*BE507</f>
        <v>0</v>
      </c>
      <c r="AG507" s="5">
        <f>+$AC507*BF507</f>
        <v>0</v>
      </c>
      <c r="AH507" s="5">
        <f>+$AC507*BG507</f>
        <v>0</v>
      </c>
      <c r="AI507" s="5">
        <f>+$AC507*BH507</f>
        <v>0</v>
      </c>
      <c r="AJ507" s="5">
        <f>+$AC507*BI507</f>
        <v>0</v>
      </c>
      <c r="AK507" s="5">
        <f>+$AC507*BJ507</f>
        <v>0</v>
      </c>
      <c r="AL507" s="5">
        <f>+$AC507*BK507</f>
        <v>0</v>
      </c>
      <c r="AM507" s="5">
        <f>+$AC507*BL507</f>
        <v>0</v>
      </c>
      <c r="AN507" s="5">
        <f>+$AC507*BM507</f>
        <v>0</v>
      </c>
      <c r="AO507" s="5">
        <f>+$AC507*BN507</f>
        <v>0</v>
      </c>
      <c r="AP507" s="5">
        <f>+AC507+P507+C507</f>
        <v>0</v>
      </c>
      <c r="AQ507" s="1">
        <v>132.76325950440335</v>
      </c>
      <c r="AR507" s="1">
        <v>158.77239205916615</v>
      </c>
      <c r="AS507" s="1">
        <v>140.51473049887014</v>
      </c>
      <c r="AT507" s="1">
        <v>106.43450152456309</v>
      </c>
      <c r="AU507" s="1">
        <v>154.35537325768919</v>
      </c>
      <c r="AV507" s="1">
        <v>126.49405713408891</v>
      </c>
      <c r="AW507" s="1">
        <v>125.93363857639783</v>
      </c>
      <c r="AX507" s="1">
        <v>85.520644195858594</v>
      </c>
      <c r="AY507" s="1">
        <v>126.76726267904623</v>
      </c>
      <c r="AZ507" s="1">
        <v>110.39798993295176</v>
      </c>
      <c r="BA507" s="1">
        <v>112.72053247745205</v>
      </c>
      <c r="BB507" s="1">
        <v>110.09653189429081</v>
      </c>
      <c r="BC507" s="2">
        <v>8.9181565948742242E-2</v>
      </c>
      <c r="BD507" s="2">
        <v>0.10665277883445198</v>
      </c>
      <c r="BE507" s="2">
        <v>9.438849084854764E-2</v>
      </c>
      <c r="BF507" s="2">
        <v>7.149564986855049E-2</v>
      </c>
      <c r="BG507" s="2">
        <v>0.10368571810536763</v>
      </c>
      <c r="BH507" s="2">
        <v>8.4970330952544637E-2</v>
      </c>
      <c r="BI507" s="2">
        <v>8.4593878877262704E-2</v>
      </c>
      <c r="BJ507" s="2">
        <v>5.7447105462779965E-2</v>
      </c>
      <c r="BK507" s="2">
        <v>8.5153852345557474E-2</v>
      </c>
      <c r="BL507" s="2">
        <v>7.4158058913035174E-2</v>
      </c>
      <c r="BM507" s="2">
        <v>7.5718189192107169E-2</v>
      </c>
      <c r="BN507" s="2">
        <v>7.3955559365675619E-2</v>
      </c>
    </row>
    <row r="508" spans="1:66" x14ac:dyDescent="0.25">
      <c r="A508" s="8">
        <v>5437</v>
      </c>
      <c r="B508" s="8" t="s">
        <v>488</v>
      </c>
      <c r="C508" s="5">
        <v>0</v>
      </c>
      <c r="D508" s="5">
        <f>+$C508*BC508</f>
        <v>0</v>
      </c>
      <c r="E508" s="5">
        <f>+$C508*BD508</f>
        <v>0</v>
      </c>
      <c r="F508" s="5">
        <f>+$C508*BE508</f>
        <v>0</v>
      </c>
      <c r="G508" s="5">
        <f>+$C508*BF508</f>
        <v>0</v>
      </c>
      <c r="H508" s="5">
        <f>+$C508*BG508</f>
        <v>0</v>
      </c>
      <c r="I508" s="5">
        <f>+$C508*BH508</f>
        <v>0</v>
      </c>
      <c r="J508" s="5">
        <f>+$C508*BI508</f>
        <v>0</v>
      </c>
      <c r="K508" s="5">
        <f>+$C508*BJ508</f>
        <v>0</v>
      </c>
      <c r="L508" s="5">
        <f>+$C508*BK508</f>
        <v>0</v>
      </c>
      <c r="M508" s="5">
        <f>+$C508*BL508</f>
        <v>0</v>
      </c>
      <c r="N508" s="5">
        <f>+$C508*BM508</f>
        <v>0</v>
      </c>
      <c r="O508" s="5">
        <f>+$C508*BN508</f>
        <v>0</v>
      </c>
      <c r="P508" s="5">
        <v>0</v>
      </c>
      <c r="Q508" s="5">
        <f>+$P508*BC508</f>
        <v>0</v>
      </c>
      <c r="R508" s="5">
        <f>+$P508*BD508</f>
        <v>0</v>
      </c>
      <c r="S508" s="5">
        <f>+$P508*BE508</f>
        <v>0</v>
      </c>
      <c r="T508" s="5">
        <f>+$P508*BF508</f>
        <v>0</v>
      </c>
      <c r="U508" s="5">
        <f>+$P508*BG508</f>
        <v>0</v>
      </c>
      <c r="V508" s="5">
        <f>+$P508*BH508</f>
        <v>0</v>
      </c>
      <c r="W508" s="5">
        <f>+$P508*BI508</f>
        <v>0</v>
      </c>
      <c r="X508" s="5">
        <f>+$P508*BJ508</f>
        <v>0</v>
      </c>
      <c r="Y508" s="5">
        <f>+$P508*BK508</f>
        <v>0</v>
      </c>
      <c r="Z508" s="5">
        <f>+$P508*BL508</f>
        <v>0</v>
      </c>
      <c r="AA508" s="5">
        <f>+$P508*BM508</f>
        <v>0</v>
      </c>
      <c r="AB508" s="5">
        <f>+$P508*BN508</f>
        <v>0</v>
      </c>
      <c r="AC508" s="5">
        <v>0</v>
      </c>
      <c r="AD508" s="5">
        <f>+$AC508*BC508</f>
        <v>0</v>
      </c>
      <c r="AE508" s="5">
        <f>+$AC508*BD508</f>
        <v>0</v>
      </c>
      <c r="AF508" s="5">
        <f>+$AC508*BE508</f>
        <v>0</v>
      </c>
      <c r="AG508" s="5">
        <f>+$AC508*BF508</f>
        <v>0</v>
      </c>
      <c r="AH508" s="5">
        <f>+$AC508*BG508</f>
        <v>0</v>
      </c>
      <c r="AI508" s="5">
        <f>+$AC508*BH508</f>
        <v>0</v>
      </c>
      <c r="AJ508" s="5">
        <f>+$AC508*BI508</f>
        <v>0</v>
      </c>
      <c r="AK508" s="5">
        <f>+$AC508*BJ508</f>
        <v>0</v>
      </c>
      <c r="AL508" s="5">
        <f>+$AC508*BK508</f>
        <v>0</v>
      </c>
      <c r="AM508" s="5">
        <f>+$AC508*BL508</f>
        <v>0</v>
      </c>
      <c r="AN508" s="5">
        <f>+$AC508*BM508</f>
        <v>0</v>
      </c>
      <c r="AO508" s="5">
        <f>+$AC508*BN508</f>
        <v>0</v>
      </c>
      <c r="AP508" s="5">
        <f>+AC508+P508+C508</f>
        <v>0</v>
      </c>
      <c r="AQ508" s="1">
        <v>2.4927139498332949</v>
      </c>
      <c r="AR508" s="1">
        <v>2.9810518212017678</v>
      </c>
      <c r="AS508" s="1">
        <v>2.6382527077077556</v>
      </c>
      <c r="AT508" s="1">
        <v>1.9983749094758549</v>
      </c>
      <c r="AU508" s="1">
        <v>2.8981195067631309</v>
      </c>
      <c r="AV508" s="1">
        <v>2.3750057204545754</v>
      </c>
      <c r="AW508" s="1">
        <v>2.3644835084983704</v>
      </c>
      <c r="AX508" s="1">
        <v>1.6057040447901632</v>
      </c>
      <c r="AY508" s="1">
        <v>2.3801353269106773</v>
      </c>
      <c r="AZ508" s="1">
        <v>2.0727919046782466</v>
      </c>
      <c r="BA508" s="1">
        <v>2.1163991061085876</v>
      </c>
      <c r="BB508" s="1">
        <v>2.0671318398299996</v>
      </c>
      <c r="BC508" s="2">
        <v>8.9181565948742242E-2</v>
      </c>
      <c r="BD508" s="2">
        <v>0.10665277883445198</v>
      </c>
      <c r="BE508" s="2">
        <v>9.438849084854764E-2</v>
      </c>
      <c r="BF508" s="2">
        <v>7.149564986855049E-2</v>
      </c>
      <c r="BG508" s="2">
        <v>0.10368571810536763</v>
      </c>
      <c r="BH508" s="2">
        <v>8.4970330952544637E-2</v>
      </c>
      <c r="BI508" s="2">
        <v>8.4593878877262704E-2</v>
      </c>
      <c r="BJ508" s="2">
        <v>5.7447105462779965E-2</v>
      </c>
      <c r="BK508" s="2">
        <v>8.5153852345557474E-2</v>
      </c>
      <c r="BL508" s="2">
        <v>7.4158058913035174E-2</v>
      </c>
      <c r="BM508" s="2">
        <v>7.5718189192107169E-2</v>
      </c>
      <c r="BN508" s="2">
        <v>7.3955559365675619E-2</v>
      </c>
    </row>
    <row r="509" spans="1:66" x14ac:dyDescent="0.25">
      <c r="A509" s="8">
        <v>6675</v>
      </c>
      <c r="B509" s="8" t="s">
        <v>487</v>
      </c>
      <c r="C509" s="5">
        <v>0</v>
      </c>
      <c r="D509" s="5">
        <f>+$C509*BC509</f>
        <v>0</v>
      </c>
      <c r="E509" s="5">
        <f>+$C509*BD509</f>
        <v>0</v>
      </c>
      <c r="F509" s="5">
        <f>+$C509*BE509</f>
        <v>0</v>
      </c>
      <c r="G509" s="5">
        <f>+$C509*BF509</f>
        <v>0</v>
      </c>
      <c r="H509" s="5">
        <f>+$C509*BG509</f>
        <v>0</v>
      </c>
      <c r="I509" s="5">
        <f>+$C509*BH509</f>
        <v>0</v>
      </c>
      <c r="J509" s="5">
        <f>+$C509*BI509</f>
        <v>0</v>
      </c>
      <c r="K509" s="5">
        <f>+$C509*BJ509</f>
        <v>0</v>
      </c>
      <c r="L509" s="5">
        <f>+$C509*BK509</f>
        <v>0</v>
      </c>
      <c r="M509" s="5">
        <f>+$C509*BL509</f>
        <v>0</v>
      </c>
      <c r="N509" s="5">
        <f>+$C509*BM509</f>
        <v>0</v>
      </c>
      <c r="O509" s="5">
        <f>+$C509*BN509</f>
        <v>0</v>
      </c>
      <c r="P509" s="5">
        <v>0</v>
      </c>
      <c r="Q509" s="5">
        <f>+$P509*BC509</f>
        <v>0</v>
      </c>
      <c r="R509" s="5">
        <f>+$P509*BD509</f>
        <v>0</v>
      </c>
      <c r="S509" s="5">
        <f>+$P509*BE509</f>
        <v>0</v>
      </c>
      <c r="T509" s="5">
        <f>+$P509*BF509</f>
        <v>0</v>
      </c>
      <c r="U509" s="5">
        <f>+$P509*BG509</f>
        <v>0</v>
      </c>
      <c r="V509" s="5">
        <f>+$P509*BH509</f>
        <v>0</v>
      </c>
      <c r="W509" s="5">
        <f>+$P509*BI509</f>
        <v>0</v>
      </c>
      <c r="X509" s="5">
        <f>+$P509*BJ509</f>
        <v>0</v>
      </c>
      <c r="Y509" s="5">
        <f>+$P509*BK509</f>
        <v>0</v>
      </c>
      <c r="Z509" s="5">
        <f>+$P509*BL509</f>
        <v>0</v>
      </c>
      <c r="AA509" s="5">
        <f>+$P509*BM509</f>
        <v>0</v>
      </c>
      <c r="AB509" s="5">
        <f>+$P509*BN509</f>
        <v>0</v>
      </c>
      <c r="AC509" s="5">
        <v>0</v>
      </c>
      <c r="AD509" s="5">
        <f>+$AC509*BC509</f>
        <v>0</v>
      </c>
      <c r="AE509" s="5">
        <f>+$AC509*BD509</f>
        <v>0</v>
      </c>
      <c r="AF509" s="5">
        <f>+$AC509*BE509</f>
        <v>0</v>
      </c>
      <c r="AG509" s="5">
        <f>+$AC509*BF509</f>
        <v>0</v>
      </c>
      <c r="AH509" s="5">
        <f>+$AC509*BG509</f>
        <v>0</v>
      </c>
      <c r="AI509" s="5">
        <f>+$AC509*BH509</f>
        <v>0</v>
      </c>
      <c r="AJ509" s="5">
        <f>+$AC509*BI509</f>
        <v>0</v>
      </c>
      <c r="AK509" s="5">
        <f>+$AC509*BJ509</f>
        <v>0</v>
      </c>
      <c r="AL509" s="5">
        <f>+$AC509*BK509</f>
        <v>0</v>
      </c>
      <c r="AM509" s="5">
        <f>+$AC509*BL509</f>
        <v>0</v>
      </c>
      <c r="AN509" s="5">
        <f>+$AC509*BM509</f>
        <v>0</v>
      </c>
      <c r="AO509" s="5">
        <f>+$AC509*BN509</f>
        <v>0</v>
      </c>
      <c r="AP509" s="5">
        <f>+AC509+P509+C509</f>
        <v>0</v>
      </c>
      <c r="AQ509" s="1">
        <v>2.0757901290229248</v>
      </c>
      <c r="AR509" s="1">
        <v>2.4824500801507048</v>
      </c>
      <c r="AS509" s="1">
        <v>2.1969865129907951</v>
      </c>
      <c r="AT509" s="1">
        <v>1.6641327463403814</v>
      </c>
      <c r="AU509" s="1">
        <v>2.4133887746205374</v>
      </c>
      <c r="AV509" s="1">
        <v>1.9777694232514293</v>
      </c>
      <c r="AW509" s="1">
        <v>1.969007124747167</v>
      </c>
      <c r="AX509" s="1">
        <v>1.3371388267516666</v>
      </c>
      <c r="AY509" s="1">
        <v>1.982041067195196</v>
      </c>
      <c r="AZ509" s="1">
        <v>1.726102979259807</v>
      </c>
      <c r="BA509" s="1">
        <v>1.7624165716354867</v>
      </c>
      <c r="BB509" s="1">
        <v>1.721389599795466</v>
      </c>
      <c r="BC509" s="2">
        <v>8.9181565948742242E-2</v>
      </c>
      <c r="BD509" s="2">
        <v>0.10665277883445198</v>
      </c>
      <c r="BE509" s="2">
        <v>9.438849084854764E-2</v>
      </c>
      <c r="BF509" s="2">
        <v>7.149564986855049E-2</v>
      </c>
      <c r="BG509" s="2">
        <v>0.10368571810536763</v>
      </c>
      <c r="BH509" s="2">
        <v>8.4970330952544637E-2</v>
      </c>
      <c r="BI509" s="2">
        <v>8.4593878877262704E-2</v>
      </c>
      <c r="BJ509" s="2">
        <v>5.7447105462779965E-2</v>
      </c>
      <c r="BK509" s="2">
        <v>8.5153852345557474E-2</v>
      </c>
      <c r="BL509" s="2">
        <v>7.4158058913035174E-2</v>
      </c>
      <c r="BM509" s="2">
        <v>7.5718189192107169E-2</v>
      </c>
      <c r="BN509" s="2">
        <v>7.3955559365675619E-2</v>
      </c>
    </row>
    <row r="510" spans="1:66" x14ac:dyDescent="0.25">
      <c r="A510" s="8">
        <v>675</v>
      </c>
      <c r="B510" s="8" t="s">
        <v>486</v>
      </c>
      <c r="C510" s="5">
        <v>0</v>
      </c>
      <c r="D510" s="5">
        <f>+$C510*BC510</f>
        <v>0</v>
      </c>
      <c r="E510" s="5">
        <f>+$C510*BD510</f>
        <v>0</v>
      </c>
      <c r="F510" s="5">
        <f>+$C510*BE510</f>
        <v>0</v>
      </c>
      <c r="G510" s="5">
        <f>+$C510*BF510</f>
        <v>0</v>
      </c>
      <c r="H510" s="5">
        <f>+$C510*BG510</f>
        <v>0</v>
      </c>
      <c r="I510" s="5">
        <f>+$C510*BH510</f>
        <v>0</v>
      </c>
      <c r="J510" s="5">
        <f>+$C510*BI510</f>
        <v>0</v>
      </c>
      <c r="K510" s="5">
        <f>+$C510*BJ510</f>
        <v>0</v>
      </c>
      <c r="L510" s="5">
        <f>+$C510*BK510</f>
        <v>0</v>
      </c>
      <c r="M510" s="5">
        <f>+$C510*BL510</f>
        <v>0</v>
      </c>
      <c r="N510" s="5">
        <f>+$C510*BM510</f>
        <v>0</v>
      </c>
      <c r="O510" s="5">
        <f>+$C510*BN510</f>
        <v>0</v>
      </c>
      <c r="P510" s="5">
        <v>0</v>
      </c>
      <c r="Q510" s="5">
        <f>+$P510*BC510</f>
        <v>0</v>
      </c>
      <c r="R510" s="5">
        <f>+$P510*BD510</f>
        <v>0</v>
      </c>
      <c r="S510" s="5">
        <f>+$P510*BE510</f>
        <v>0</v>
      </c>
      <c r="T510" s="5">
        <f>+$P510*BF510</f>
        <v>0</v>
      </c>
      <c r="U510" s="5">
        <f>+$P510*BG510</f>
        <v>0</v>
      </c>
      <c r="V510" s="5">
        <f>+$P510*BH510</f>
        <v>0</v>
      </c>
      <c r="W510" s="5">
        <f>+$P510*BI510</f>
        <v>0</v>
      </c>
      <c r="X510" s="5">
        <f>+$P510*BJ510</f>
        <v>0</v>
      </c>
      <c r="Y510" s="5">
        <f>+$P510*BK510</f>
        <v>0</v>
      </c>
      <c r="Z510" s="5">
        <f>+$P510*BL510</f>
        <v>0</v>
      </c>
      <c r="AA510" s="5">
        <f>+$P510*BM510</f>
        <v>0</v>
      </c>
      <c r="AB510" s="5">
        <f>+$P510*BN510</f>
        <v>0</v>
      </c>
      <c r="AC510" s="5">
        <v>0</v>
      </c>
      <c r="AD510" s="5">
        <f>+$AC510*BC510</f>
        <v>0</v>
      </c>
      <c r="AE510" s="5">
        <f>+$AC510*BD510</f>
        <v>0</v>
      </c>
      <c r="AF510" s="5">
        <f>+$AC510*BE510</f>
        <v>0</v>
      </c>
      <c r="AG510" s="5">
        <f>+$AC510*BF510</f>
        <v>0</v>
      </c>
      <c r="AH510" s="5">
        <f>+$AC510*BG510</f>
        <v>0</v>
      </c>
      <c r="AI510" s="5">
        <f>+$AC510*BH510</f>
        <v>0</v>
      </c>
      <c r="AJ510" s="5">
        <f>+$AC510*BI510</f>
        <v>0</v>
      </c>
      <c r="AK510" s="5">
        <f>+$AC510*BJ510</f>
        <v>0</v>
      </c>
      <c r="AL510" s="5">
        <f>+$AC510*BK510</f>
        <v>0</v>
      </c>
      <c r="AM510" s="5">
        <f>+$AC510*BL510</f>
        <v>0</v>
      </c>
      <c r="AN510" s="5">
        <f>+$AC510*BM510</f>
        <v>0</v>
      </c>
      <c r="AO510" s="5">
        <f>+$AC510*BN510</f>
        <v>0</v>
      </c>
      <c r="AP510" s="5">
        <f>+AC510+P510+C510</f>
        <v>0</v>
      </c>
      <c r="AQ510" s="1">
        <v>0.60233229641780517</v>
      </c>
      <c r="AR510" s="1">
        <v>0.72033286824788889</v>
      </c>
      <c r="AS510" s="1">
        <v>0.63749986719109086</v>
      </c>
      <c r="AT510" s="1">
        <v>0.48288161921219008</v>
      </c>
      <c r="AU510" s="1">
        <v>0.70029334008365307</v>
      </c>
      <c r="AV510" s="1">
        <v>0.57388961525348658</v>
      </c>
      <c r="AW510" s="1">
        <v>0.57134705793703244</v>
      </c>
      <c r="AX510" s="1">
        <v>0.38799775029561595</v>
      </c>
      <c r="AY510" s="1">
        <v>0.57512911874189532</v>
      </c>
      <c r="AZ510" s="1">
        <v>0.50086352989863969</v>
      </c>
      <c r="BA510" s="1">
        <v>0.51140064980349187</v>
      </c>
      <c r="BB510" s="1">
        <v>0.49949584795577323</v>
      </c>
      <c r="BC510" s="2">
        <v>8.9181565948742242E-2</v>
      </c>
      <c r="BD510" s="2">
        <v>0.10665277883445198</v>
      </c>
      <c r="BE510" s="2">
        <v>9.438849084854764E-2</v>
      </c>
      <c r="BF510" s="2">
        <v>7.149564986855049E-2</v>
      </c>
      <c r="BG510" s="2">
        <v>0.10368571810536763</v>
      </c>
      <c r="BH510" s="2">
        <v>8.4970330952544637E-2</v>
      </c>
      <c r="BI510" s="2">
        <v>8.4593878877262704E-2</v>
      </c>
      <c r="BJ510" s="2">
        <v>5.7447105462779965E-2</v>
      </c>
      <c r="BK510" s="2">
        <v>8.5153852345557474E-2</v>
      </c>
      <c r="BL510" s="2">
        <v>7.4158058913035174E-2</v>
      </c>
      <c r="BM510" s="2">
        <v>7.5718189192107169E-2</v>
      </c>
      <c r="BN510" s="2">
        <v>7.3955559365675619E-2</v>
      </c>
    </row>
    <row r="511" spans="1:66" x14ac:dyDescent="0.25">
      <c r="A511" s="8">
        <v>766</v>
      </c>
      <c r="B511" s="8" t="s">
        <v>485</v>
      </c>
      <c r="C511" s="5">
        <v>0</v>
      </c>
      <c r="D511" s="5">
        <f>+$C511*BC511</f>
        <v>0</v>
      </c>
      <c r="E511" s="5">
        <f>+$C511*BD511</f>
        <v>0</v>
      </c>
      <c r="F511" s="5">
        <f>+$C511*BE511</f>
        <v>0</v>
      </c>
      <c r="G511" s="5">
        <f>+$C511*BF511</f>
        <v>0</v>
      </c>
      <c r="H511" s="5">
        <f>+$C511*BG511</f>
        <v>0</v>
      </c>
      <c r="I511" s="5">
        <f>+$C511*BH511</f>
        <v>0</v>
      </c>
      <c r="J511" s="5">
        <f>+$C511*BI511</f>
        <v>0</v>
      </c>
      <c r="K511" s="5">
        <f>+$C511*BJ511</f>
        <v>0</v>
      </c>
      <c r="L511" s="5">
        <f>+$C511*BK511</f>
        <v>0</v>
      </c>
      <c r="M511" s="5">
        <f>+$C511*BL511</f>
        <v>0</v>
      </c>
      <c r="N511" s="5">
        <f>+$C511*BM511</f>
        <v>0</v>
      </c>
      <c r="O511" s="5">
        <f>+$C511*BN511</f>
        <v>0</v>
      </c>
      <c r="P511" s="5">
        <v>0</v>
      </c>
      <c r="Q511" s="5">
        <f>+$P511*BC511</f>
        <v>0</v>
      </c>
      <c r="R511" s="5">
        <f>+$P511*BD511</f>
        <v>0</v>
      </c>
      <c r="S511" s="5">
        <f>+$P511*BE511</f>
        <v>0</v>
      </c>
      <c r="T511" s="5">
        <f>+$P511*BF511</f>
        <v>0</v>
      </c>
      <c r="U511" s="5">
        <f>+$P511*BG511</f>
        <v>0</v>
      </c>
      <c r="V511" s="5">
        <f>+$P511*BH511</f>
        <v>0</v>
      </c>
      <c r="W511" s="5">
        <f>+$P511*BI511</f>
        <v>0</v>
      </c>
      <c r="X511" s="5">
        <f>+$P511*BJ511</f>
        <v>0</v>
      </c>
      <c r="Y511" s="5">
        <f>+$P511*BK511</f>
        <v>0</v>
      </c>
      <c r="Z511" s="5">
        <f>+$P511*BL511</f>
        <v>0</v>
      </c>
      <c r="AA511" s="5">
        <f>+$P511*BM511</f>
        <v>0</v>
      </c>
      <c r="AB511" s="5">
        <f>+$P511*BN511</f>
        <v>0</v>
      </c>
      <c r="AC511" s="5">
        <v>0</v>
      </c>
      <c r="AD511" s="5">
        <f>+$AC511*BC511</f>
        <v>0</v>
      </c>
      <c r="AE511" s="5">
        <f>+$AC511*BD511</f>
        <v>0</v>
      </c>
      <c r="AF511" s="5">
        <f>+$AC511*BE511</f>
        <v>0</v>
      </c>
      <c r="AG511" s="5">
        <f>+$AC511*BF511</f>
        <v>0</v>
      </c>
      <c r="AH511" s="5">
        <f>+$AC511*BG511</f>
        <v>0</v>
      </c>
      <c r="AI511" s="5">
        <f>+$AC511*BH511</f>
        <v>0</v>
      </c>
      <c r="AJ511" s="5">
        <f>+$AC511*BI511</f>
        <v>0</v>
      </c>
      <c r="AK511" s="5">
        <f>+$AC511*BJ511</f>
        <v>0</v>
      </c>
      <c r="AL511" s="5">
        <f>+$AC511*BK511</f>
        <v>0</v>
      </c>
      <c r="AM511" s="5">
        <f>+$AC511*BL511</f>
        <v>0</v>
      </c>
      <c r="AN511" s="5">
        <f>+$AC511*BM511</f>
        <v>0</v>
      </c>
      <c r="AO511" s="5">
        <f>+$AC511*BN511</f>
        <v>0</v>
      </c>
      <c r="AP511" s="5">
        <f>+AC511+P511+C511</f>
        <v>0</v>
      </c>
      <c r="AQ511" s="1">
        <v>12.311515179223868</v>
      </c>
      <c r="AR511" s="1">
        <v>14.723416118096097</v>
      </c>
      <c r="AS511" s="1">
        <v>13.030331161642003</v>
      </c>
      <c r="AT511" s="1">
        <v>9.8699744643533958</v>
      </c>
      <c r="AU511" s="1">
        <v>14.313813384446002</v>
      </c>
      <c r="AV511" s="1">
        <v>11.730154187998789</v>
      </c>
      <c r="AW511" s="1">
        <v>11.678184979006117</v>
      </c>
      <c r="AX511" s="1">
        <v>7.9305729091367745</v>
      </c>
      <c r="AY511" s="1">
        <v>11.75548931630421</v>
      </c>
      <c r="AZ511" s="1">
        <v>10.237520032944508</v>
      </c>
      <c r="BA511" s="1">
        <v>10.452896017970396</v>
      </c>
      <c r="BB511" s="1">
        <v>10.20956497043152</v>
      </c>
      <c r="BC511" s="2">
        <v>8.9181565948742242E-2</v>
      </c>
      <c r="BD511" s="2">
        <v>0.10665277883445198</v>
      </c>
      <c r="BE511" s="2">
        <v>9.438849084854764E-2</v>
      </c>
      <c r="BF511" s="2">
        <v>7.149564986855049E-2</v>
      </c>
      <c r="BG511" s="2">
        <v>0.10368571810536763</v>
      </c>
      <c r="BH511" s="2">
        <v>8.4970330952544637E-2</v>
      </c>
      <c r="BI511" s="2">
        <v>8.4593878877262704E-2</v>
      </c>
      <c r="BJ511" s="2">
        <v>5.7447105462779965E-2</v>
      </c>
      <c r="BK511" s="2">
        <v>8.5153852345557474E-2</v>
      </c>
      <c r="BL511" s="2">
        <v>7.4158058913035174E-2</v>
      </c>
      <c r="BM511" s="2">
        <v>7.5718189192107169E-2</v>
      </c>
      <c r="BN511" s="2">
        <v>7.3955559365675619E-2</v>
      </c>
    </row>
    <row r="512" spans="1:66" x14ac:dyDescent="0.25">
      <c r="A512" s="8">
        <v>775</v>
      </c>
      <c r="B512" s="8" t="s">
        <v>484</v>
      </c>
      <c r="C512" s="5">
        <v>500</v>
      </c>
      <c r="D512" s="5">
        <f>+$C512*BC512</f>
        <v>44.590782974371123</v>
      </c>
      <c r="E512" s="5">
        <f>+$C512*BD512</f>
        <v>53.32638941722599</v>
      </c>
      <c r="F512" s="5">
        <f>+$C512*BE512</f>
        <v>47.194245424273824</v>
      </c>
      <c r="G512" s="5">
        <f>+$C512*BF512</f>
        <v>35.747824934275243</v>
      </c>
      <c r="H512" s="5">
        <f>+$C512*BG512</f>
        <v>51.842859052683814</v>
      </c>
      <c r="I512" s="5">
        <f>+$C512*BH512</f>
        <v>42.485165476272321</v>
      </c>
      <c r="J512" s="5">
        <f>+$C512*BI512</f>
        <v>42.296939438631355</v>
      </c>
      <c r="K512" s="5">
        <f>+$C512*BJ512</f>
        <v>28.723552731389983</v>
      </c>
      <c r="L512" s="5">
        <f>+$C512*BK512</f>
        <v>42.576926172778734</v>
      </c>
      <c r="M512" s="5">
        <f>+$C512*BL512</f>
        <v>37.079029456517588</v>
      </c>
      <c r="N512" s="5">
        <f>+$C512*BM512</f>
        <v>37.859094596053588</v>
      </c>
      <c r="O512" s="5">
        <f>+$C512*BN512</f>
        <v>36.977779682837813</v>
      </c>
      <c r="P512" s="5">
        <v>0</v>
      </c>
      <c r="Q512" s="5">
        <f>+$P512*BC512</f>
        <v>0</v>
      </c>
      <c r="R512" s="5">
        <f>+$P512*BD512</f>
        <v>0</v>
      </c>
      <c r="S512" s="5">
        <f>+$P512*BE512</f>
        <v>0</v>
      </c>
      <c r="T512" s="5">
        <f>+$P512*BF512</f>
        <v>0</v>
      </c>
      <c r="U512" s="5">
        <f>+$P512*BG512</f>
        <v>0</v>
      </c>
      <c r="V512" s="5">
        <f>+$P512*BH512</f>
        <v>0</v>
      </c>
      <c r="W512" s="5">
        <f>+$P512*BI512</f>
        <v>0</v>
      </c>
      <c r="X512" s="5">
        <f>+$P512*BJ512</f>
        <v>0</v>
      </c>
      <c r="Y512" s="5">
        <f>+$P512*BK512</f>
        <v>0</v>
      </c>
      <c r="Z512" s="5">
        <f>+$P512*BL512</f>
        <v>0</v>
      </c>
      <c r="AA512" s="5">
        <f>+$P512*BM512</f>
        <v>0</v>
      </c>
      <c r="AB512" s="5">
        <f>+$P512*BN512</f>
        <v>0</v>
      </c>
      <c r="AC512" s="5">
        <v>0</v>
      </c>
      <c r="AD512" s="5">
        <f>+$AC512*BC512</f>
        <v>0</v>
      </c>
      <c r="AE512" s="5">
        <f>+$AC512*BD512</f>
        <v>0</v>
      </c>
      <c r="AF512" s="5">
        <f>+$AC512*BE512</f>
        <v>0</v>
      </c>
      <c r="AG512" s="5">
        <f>+$AC512*BF512</f>
        <v>0</v>
      </c>
      <c r="AH512" s="5">
        <f>+$AC512*BG512</f>
        <v>0</v>
      </c>
      <c r="AI512" s="5">
        <f>+$AC512*BH512</f>
        <v>0</v>
      </c>
      <c r="AJ512" s="5">
        <f>+$AC512*BI512</f>
        <v>0</v>
      </c>
      <c r="AK512" s="5">
        <f>+$AC512*BJ512</f>
        <v>0</v>
      </c>
      <c r="AL512" s="5">
        <f>+$AC512*BK512</f>
        <v>0</v>
      </c>
      <c r="AM512" s="5">
        <f>+$AC512*BL512</f>
        <v>0</v>
      </c>
      <c r="AN512" s="5">
        <f>+$AC512*BM512</f>
        <v>0</v>
      </c>
      <c r="AO512" s="5">
        <f>+$AC512*BN512</f>
        <v>0</v>
      </c>
      <c r="AP512" s="5">
        <f>+AC512+P512+C512</f>
        <v>500</v>
      </c>
      <c r="AQ512" s="1">
        <v>19.149065840513934</v>
      </c>
      <c r="AR512" s="1">
        <v>22.90048467133353</v>
      </c>
      <c r="AS512" s="1">
        <v>20.26709675500015</v>
      </c>
      <c r="AT512" s="1">
        <v>15.351545939775161</v>
      </c>
      <c r="AU512" s="1">
        <v>22.263397391584537</v>
      </c>
      <c r="AV512" s="1">
        <v>18.244829462130383</v>
      </c>
      <c r="AW512" s="1">
        <v>18.163997672525849</v>
      </c>
      <c r="AX512" s="1">
        <v>12.335042484968113</v>
      </c>
      <c r="AY512" s="1">
        <v>18.284235175638102</v>
      </c>
      <c r="AZ512" s="1">
        <v>15.923218409806912</v>
      </c>
      <c r="BA512" s="1">
        <v>16.258209583329251</v>
      </c>
      <c r="BB512" s="1">
        <v>15.879737706997869</v>
      </c>
      <c r="BC512" s="2">
        <v>8.9181565948742242E-2</v>
      </c>
      <c r="BD512" s="2">
        <v>0.10665277883445198</v>
      </c>
      <c r="BE512" s="2">
        <v>9.438849084854764E-2</v>
      </c>
      <c r="BF512" s="2">
        <v>7.149564986855049E-2</v>
      </c>
      <c r="BG512" s="2">
        <v>0.10368571810536763</v>
      </c>
      <c r="BH512" s="2">
        <v>8.4970330952544637E-2</v>
      </c>
      <c r="BI512" s="2">
        <v>8.4593878877262704E-2</v>
      </c>
      <c r="BJ512" s="2">
        <v>5.7447105462779965E-2</v>
      </c>
      <c r="BK512" s="2">
        <v>8.5153852345557474E-2</v>
      </c>
      <c r="BL512" s="2">
        <v>7.4158058913035174E-2</v>
      </c>
      <c r="BM512" s="2">
        <v>7.5718189192107169E-2</v>
      </c>
      <c r="BN512" s="2">
        <v>7.3955559365675619E-2</v>
      </c>
    </row>
    <row r="513" spans="1:66" x14ac:dyDescent="0.25">
      <c r="A513" s="8">
        <v>793</v>
      </c>
      <c r="B513" s="8" t="s">
        <v>483</v>
      </c>
      <c r="C513" s="5">
        <v>0</v>
      </c>
      <c r="D513" s="5">
        <f>+$C513*BC513</f>
        <v>0</v>
      </c>
      <c r="E513" s="5">
        <f>+$C513*BD513</f>
        <v>0</v>
      </c>
      <c r="F513" s="5">
        <f>+$C513*BE513</f>
        <v>0</v>
      </c>
      <c r="G513" s="5">
        <f>+$C513*BF513</f>
        <v>0</v>
      </c>
      <c r="H513" s="5">
        <f>+$C513*BG513</f>
        <v>0</v>
      </c>
      <c r="I513" s="5">
        <f>+$C513*BH513</f>
        <v>0</v>
      </c>
      <c r="J513" s="5">
        <f>+$C513*BI513</f>
        <v>0</v>
      </c>
      <c r="K513" s="5">
        <f>+$C513*BJ513</f>
        <v>0</v>
      </c>
      <c r="L513" s="5">
        <f>+$C513*BK513</f>
        <v>0</v>
      </c>
      <c r="M513" s="5">
        <f>+$C513*BL513</f>
        <v>0</v>
      </c>
      <c r="N513" s="5">
        <f>+$C513*BM513</f>
        <v>0</v>
      </c>
      <c r="O513" s="5">
        <f>+$C513*BN513</f>
        <v>0</v>
      </c>
      <c r="P513" s="5">
        <v>0</v>
      </c>
      <c r="Q513" s="5">
        <f>+$P513*BC513</f>
        <v>0</v>
      </c>
      <c r="R513" s="5">
        <f>+$P513*BD513</f>
        <v>0</v>
      </c>
      <c r="S513" s="5">
        <f>+$P513*BE513</f>
        <v>0</v>
      </c>
      <c r="T513" s="5">
        <f>+$P513*BF513</f>
        <v>0</v>
      </c>
      <c r="U513" s="5">
        <f>+$P513*BG513</f>
        <v>0</v>
      </c>
      <c r="V513" s="5">
        <f>+$P513*BH513</f>
        <v>0</v>
      </c>
      <c r="W513" s="5">
        <f>+$P513*BI513</f>
        <v>0</v>
      </c>
      <c r="X513" s="5">
        <f>+$P513*BJ513</f>
        <v>0</v>
      </c>
      <c r="Y513" s="5">
        <f>+$P513*BK513</f>
        <v>0</v>
      </c>
      <c r="Z513" s="5">
        <f>+$P513*BL513</f>
        <v>0</v>
      </c>
      <c r="AA513" s="5">
        <f>+$P513*BM513</f>
        <v>0</v>
      </c>
      <c r="AB513" s="5">
        <f>+$P513*BN513</f>
        <v>0</v>
      </c>
      <c r="AC513" s="5">
        <v>0</v>
      </c>
      <c r="AD513" s="5">
        <f>+$AC513*BC513</f>
        <v>0</v>
      </c>
      <c r="AE513" s="5">
        <f>+$AC513*BD513</f>
        <v>0</v>
      </c>
      <c r="AF513" s="5">
        <f>+$AC513*BE513</f>
        <v>0</v>
      </c>
      <c r="AG513" s="5">
        <f>+$AC513*BF513</f>
        <v>0</v>
      </c>
      <c r="AH513" s="5">
        <f>+$AC513*BG513</f>
        <v>0</v>
      </c>
      <c r="AI513" s="5">
        <f>+$AC513*BH513</f>
        <v>0</v>
      </c>
      <c r="AJ513" s="5">
        <f>+$AC513*BI513</f>
        <v>0</v>
      </c>
      <c r="AK513" s="5">
        <f>+$AC513*BJ513</f>
        <v>0</v>
      </c>
      <c r="AL513" s="5">
        <f>+$AC513*BK513</f>
        <v>0</v>
      </c>
      <c r="AM513" s="5">
        <f>+$AC513*BL513</f>
        <v>0</v>
      </c>
      <c r="AN513" s="5">
        <f>+$AC513*BM513</f>
        <v>0</v>
      </c>
      <c r="AO513" s="5">
        <f>+$AC513*BN513</f>
        <v>0</v>
      </c>
      <c r="AP513" s="5">
        <f>+AC513+P513+C513</f>
        <v>0</v>
      </c>
      <c r="AQ513" s="1">
        <v>0.48461262936546545</v>
      </c>
      <c r="AR513" s="1">
        <v>0.57955120018641215</v>
      </c>
      <c r="AS513" s="1">
        <v>0.51290705927100799</v>
      </c>
      <c r="AT513" s="1">
        <v>0.38850736138570346</v>
      </c>
      <c r="AU513" s="1">
        <v>0.56342819218456774</v>
      </c>
      <c r="AV513" s="1">
        <v>0.46172877839612764</v>
      </c>
      <c r="AW513" s="1">
        <v>0.45968313781904563</v>
      </c>
      <c r="AX513" s="1">
        <v>0.31216757108474641</v>
      </c>
      <c r="AY513" s="1">
        <v>0.46272603364575943</v>
      </c>
      <c r="AZ513" s="1">
        <v>0.40297489213343324</v>
      </c>
      <c r="BA513" s="1">
        <v>0.41145264006991045</v>
      </c>
      <c r="BB513" s="1">
        <v>0.40187450959308141</v>
      </c>
      <c r="BC513" s="2">
        <v>8.9181565948742242E-2</v>
      </c>
      <c r="BD513" s="2">
        <v>0.10665277883445198</v>
      </c>
      <c r="BE513" s="2">
        <v>9.438849084854764E-2</v>
      </c>
      <c r="BF513" s="2">
        <v>7.149564986855049E-2</v>
      </c>
      <c r="BG513" s="2">
        <v>0.10368571810536763</v>
      </c>
      <c r="BH513" s="2">
        <v>8.4970330952544637E-2</v>
      </c>
      <c r="BI513" s="2">
        <v>8.4593878877262704E-2</v>
      </c>
      <c r="BJ513" s="2">
        <v>5.7447105462779965E-2</v>
      </c>
      <c r="BK513" s="2">
        <v>8.5153852345557474E-2</v>
      </c>
      <c r="BL513" s="2">
        <v>7.4158058913035174E-2</v>
      </c>
      <c r="BM513" s="2">
        <v>7.5718189192107169E-2</v>
      </c>
      <c r="BN513" s="2">
        <v>7.3955559365675619E-2</v>
      </c>
    </row>
    <row r="514" spans="1:66" x14ac:dyDescent="0.25">
      <c r="A514" s="8">
        <v>889</v>
      </c>
      <c r="B514" s="8" t="s">
        <v>482</v>
      </c>
      <c r="C514" s="5">
        <v>0</v>
      </c>
      <c r="D514" s="5">
        <f>+$C514*BC514</f>
        <v>0</v>
      </c>
      <c r="E514" s="5">
        <f>+$C514*BD514</f>
        <v>0</v>
      </c>
      <c r="F514" s="5">
        <f>+$C514*BE514</f>
        <v>0</v>
      </c>
      <c r="G514" s="5">
        <f>+$C514*BF514</f>
        <v>0</v>
      </c>
      <c r="H514" s="5">
        <f>+$C514*BG514</f>
        <v>0</v>
      </c>
      <c r="I514" s="5">
        <f>+$C514*BH514</f>
        <v>0</v>
      </c>
      <c r="J514" s="5">
        <f>+$C514*BI514</f>
        <v>0</v>
      </c>
      <c r="K514" s="5">
        <f>+$C514*BJ514</f>
        <v>0</v>
      </c>
      <c r="L514" s="5">
        <f>+$C514*BK514</f>
        <v>0</v>
      </c>
      <c r="M514" s="5">
        <f>+$C514*BL514</f>
        <v>0</v>
      </c>
      <c r="N514" s="5">
        <f>+$C514*BM514</f>
        <v>0</v>
      </c>
      <c r="O514" s="5">
        <f>+$C514*BN514</f>
        <v>0</v>
      </c>
      <c r="P514" s="5">
        <v>500</v>
      </c>
      <c r="Q514" s="5">
        <f>+$P514*BC514</f>
        <v>44.590782974371123</v>
      </c>
      <c r="R514" s="5">
        <f>+$P514*BD514</f>
        <v>53.32638941722599</v>
      </c>
      <c r="S514" s="5">
        <f>+$P514*BE514</f>
        <v>47.194245424273824</v>
      </c>
      <c r="T514" s="5">
        <f>+$P514*BF514</f>
        <v>35.747824934275243</v>
      </c>
      <c r="U514" s="5">
        <f>+$P514*BG514</f>
        <v>51.842859052683814</v>
      </c>
      <c r="V514" s="5">
        <f>+$P514*BH514</f>
        <v>42.485165476272321</v>
      </c>
      <c r="W514" s="5">
        <f>+$P514*BI514</f>
        <v>42.296939438631355</v>
      </c>
      <c r="X514" s="5">
        <f>+$P514*BJ514</f>
        <v>28.723552731389983</v>
      </c>
      <c r="Y514" s="5">
        <f>+$P514*BK514</f>
        <v>42.576926172778734</v>
      </c>
      <c r="Z514" s="5">
        <f>+$P514*BL514</f>
        <v>37.079029456517588</v>
      </c>
      <c r="AA514" s="5">
        <f>+$P514*BM514</f>
        <v>37.859094596053588</v>
      </c>
      <c r="AB514" s="5">
        <f>+$P514*BN514</f>
        <v>36.977779682837813</v>
      </c>
      <c r="AC514" s="5">
        <v>0</v>
      </c>
      <c r="AD514" s="5">
        <f>+$AC514*BC514</f>
        <v>0</v>
      </c>
      <c r="AE514" s="5">
        <f>+$AC514*BD514</f>
        <v>0</v>
      </c>
      <c r="AF514" s="5">
        <f>+$AC514*BE514</f>
        <v>0</v>
      </c>
      <c r="AG514" s="5">
        <f>+$AC514*BF514</f>
        <v>0</v>
      </c>
      <c r="AH514" s="5">
        <f>+$AC514*BG514</f>
        <v>0</v>
      </c>
      <c r="AI514" s="5">
        <f>+$AC514*BH514</f>
        <v>0</v>
      </c>
      <c r="AJ514" s="5">
        <f>+$AC514*BI514</f>
        <v>0</v>
      </c>
      <c r="AK514" s="5">
        <f>+$AC514*BJ514</f>
        <v>0</v>
      </c>
      <c r="AL514" s="5">
        <f>+$AC514*BK514</f>
        <v>0</v>
      </c>
      <c r="AM514" s="5">
        <f>+$AC514*BL514</f>
        <v>0</v>
      </c>
      <c r="AN514" s="5">
        <f>+$AC514*BM514</f>
        <v>0</v>
      </c>
      <c r="AO514" s="5">
        <f>+$AC514*BN514</f>
        <v>0</v>
      </c>
      <c r="AP514" s="5">
        <f>+AC514+P514+C514</f>
        <v>500</v>
      </c>
      <c r="AQ514" s="1">
        <v>445.9078297437112</v>
      </c>
      <c r="AR514" s="1">
        <v>533.26389417225994</v>
      </c>
      <c r="AS514" s="1">
        <v>471.94245424273822</v>
      </c>
      <c r="AT514" s="1">
        <v>357.47824934275246</v>
      </c>
      <c r="AU514" s="1">
        <v>518.42859052683809</v>
      </c>
      <c r="AV514" s="1">
        <v>424.85165476272317</v>
      </c>
      <c r="AW514" s="1">
        <v>422.96939438631352</v>
      </c>
      <c r="AX514" s="1">
        <v>287.23552731389981</v>
      </c>
      <c r="AY514" s="1">
        <v>425.76926172778735</v>
      </c>
      <c r="AZ514" s="1">
        <v>370.79029456517588</v>
      </c>
      <c r="BA514" s="1">
        <v>378.59094596053586</v>
      </c>
      <c r="BB514" s="1">
        <v>369.77779682837809</v>
      </c>
      <c r="BC514" s="2">
        <v>8.9181565948742242E-2</v>
      </c>
      <c r="BD514" s="2">
        <v>0.10665277883445198</v>
      </c>
      <c r="BE514" s="2">
        <v>9.438849084854764E-2</v>
      </c>
      <c r="BF514" s="2">
        <v>7.149564986855049E-2</v>
      </c>
      <c r="BG514" s="2">
        <v>0.10368571810536763</v>
      </c>
      <c r="BH514" s="2">
        <v>8.4970330952544637E-2</v>
      </c>
      <c r="BI514" s="2">
        <v>8.4593878877262704E-2</v>
      </c>
      <c r="BJ514" s="2">
        <v>5.7447105462779965E-2</v>
      </c>
      <c r="BK514" s="2">
        <v>8.5153852345557474E-2</v>
      </c>
      <c r="BL514" s="2">
        <v>7.4158058913035174E-2</v>
      </c>
      <c r="BM514" s="2">
        <v>7.5718189192107169E-2</v>
      </c>
      <c r="BN514" s="2">
        <v>7.3955559365675619E-2</v>
      </c>
    </row>
    <row r="515" spans="1:66" x14ac:dyDescent="0.25">
      <c r="A515" s="8">
        <v>890</v>
      </c>
      <c r="B515" s="8" t="s">
        <v>481</v>
      </c>
      <c r="C515" s="5">
        <v>0</v>
      </c>
      <c r="D515" s="5">
        <f>+$C515*BC515</f>
        <v>0</v>
      </c>
      <c r="E515" s="5">
        <f>+$C515*BD515</f>
        <v>0</v>
      </c>
      <c r="F515" s="5">
        <f>+$C515*BE515</f>
        <v>0</v>
      </c>
      <c r="G515" s="5">
        <f>+$C515*BF515</f>
        <v>0</v>
      </c>
      <c r="H515" s="5">
        <f>+$C515*BG515</f>
        <v>0</v>
      </c>
      <c r="I515" s="5">
        <f>+$C515*BH515</f>
        <v>0</v>
      </c>
      <c r="J515" s="5">
        <f>+$C515*BI515</f>
        <v>0</v>
      </c>
      <c r="K515" s="5">
        <f>+$C515*BJ515</f>
        <v>0</v>
      </c>
      <c r="L515" s="5">
        <f>+$C515*BK515</f>
        <v>0</v>
      </c>
      <c r="M515" s="5">
        <f>+$C515*BL515</f>
        <v>0</v>
      </c>
      <c r="N515" s="5">
        <f>+$C515*BM515</f>
        <v>0</v>
      </c>
      <c r="O515" s="5">
        <f>+$C515*BN515</f>
        <v>0</v>
      </c>
      <c r="P515" s="5">
        <v>0</v>
      </c>
      <c r="Q515" s="5">
        <f>+$P515*BC515</f>
        <v>0</v>
      </c>
      <c r="R515" s="5">
        <f>+$P515*BD515</f>
        <v>0</v>
      </c>
      <c r="S515" s="5">
        <f>+$P515*BE515</f>
        <v>0</v>
      </c>
      <c r="T515" s="5">
        <f>+$P515*BF515</f>
        <v>0</v>
      </c>
      <c r="U515" s="5">
        <f>+$P515*BG515</f>
        <v>0</v>
      </c>
      <c r="V515" s="5">
        <f>+$P515*BH515</f>
        <v>0</v>
      </c>
      <c r="W515" s="5">
        <f>+$P515*BI515</f>
        <v>0</v>
      </c>
      <c r="X515" s="5">
        <f>+$P515*BJ515</f>
        <v>0</v>
      </c>
      <c r="Y515" s="5">
        <f>+$P515*BK515</f>
        <v>0</v>
      </c>
      <c r="Z515" s="5">
        <f>+$P515*BL515</f>
        <v>0</v>
      </c>
      <c r="AA515" s="5">
        <f>+$P515*BM515</f>
        <v>0</v>
      </c>
      <c r="AB515" s="5">
        <f>+$P515*BN515</f>
        <v>0</v>
      </c>
      <c r="AC515" s="5">
        <v>0</v>
      </c>
      <c r="AD515" s="5">
        <f>+$AC515*BC515</f>
        <v>0</v>
      </c>
      <c r="AE515" s="5">
        <f>+$AC515*BD515</f>
        <v>0</v>
      </c>
      <c r="AF515" s="5">
        <f>+$AC515*BE515</f>
        <v>0</v>
      </c>
      <c r="AG515" s="5">
        <f>+$AC515*BF515</f>
        <v>0</v>
      </c>
      <c r="AH515" s="5">
        <f>+$AC515*BG515</f>
        <v>0</v>
      </c>
      <c r="AI515" s="5">
        <f>+$AC515*BH515</f>
        <v>0</v>
      </c>
      <c r="AJ515" s="5">
        <f>+$AC515*BI515</f>
        <v>0</v>
      </c>
      <c r="AK515" s="5">
        <f>+$AC515*BJ515</f>
        <v>0</v>
      </c>
      <c r="AL515" s="5">
        <f>+$AC515*BK515</f>
        <v>0</v>
      </c>
      <c r="AM515" s="5">
        <f>+$AC515*BL515</f>
        <v>0</v>
      </c>
      <c r="AN515" s="5">
        <f>+$AC515*BM515</f>
        <v>0</v>
      </c>
      <c r="AO515" s="5">
        <f>+$AC515*BN515</f>
        <v>0</v>
      </c>
      <c r="AP515" s="5">
        <f>+AC515+P515+C515</f>
        <v>0</v>
      </c>
      <c r="AQ515" s="1">
        <v>10.643819895982388</v>
      </c>
      <c r="AR515" s="1">
        <v>12.729009153891845</v>
      </c>
      <c r="AS515" s="1">
        <v>11.265266382774161</v>
      </c>
      <c r="AT515" s="1">
        <v>8.5330058118115009</v>
      </c>
      <c r="AU515" s="1">
        <v>12.374890455875628</v>
      </c>
      <c r="AV515" s="1">
        <v>10.141208999186203</v>
      </c>
      <c r="AW515" s="1">
        <v>10.096279444001304</v>
      </c>
      <c r="AX515" s="1">
        <v>6.8563120369827892</v>
      </c>
      <c r="AY515" s="1">
        <v>10.163112277442286</v>
      </c>
      <c r="AZ515" s="1">
        <v>8.8507643312707494</v>
      </c>
      <c r="BA515" s="1">
        <v>9.0369658800779913</v>
      </c>
      <c r="BB515" s="1">
        <v>8.826596010293386</v>
      </c>
      <c r="BC515" s="2">
        <v>8.9181565948742242E-2</v>
      </c>
      <c r="BD515" s="2">
        <v>0.10665277883445198</v>
      </c>
      <c r="BE515" s="2">
        <v>9.438849084854764E-2</v>
      </c>
      <c r="BF515" s="2">
        <v>7.149564986855049E-2</v>
      </c>
      <c r="BG515" s="2">
        <v>0.10368571810536763</v>
      </c>
      <c r="BH515" s="2">
        <v>8.4970330952544637E-2</v>
      </c>
      <c r="BI515" s="2">
        <v>8.4593878877262704E-2</v>
      </c>
      <c r="BJ515" s="2">
        <v>5.7447105462779965E-2</v>
      </c>
      <c r="BK515" s="2">
        <v>8.5153852345557474E-2</v>
      </c>
      <c r="BL515" s="2">
        <v>7.4158058913035174E-2</v>
      </c>
      <c r="BM515" s="2">
        <v>7.5718189192107169E-2</v>
      </c>
      <c r="BN515" s="2">
        <v>7.3955559365675619E-2</v>
      </c>
    </row>
    <row r="516" spans="1:66" x14ac:dyDescent="0.25">
      <c r="A516" s="8">
        <v>1021</v>
      </c>
      <c r="B516" s="8" t="s">
        <v>480</v>
      </c>
      <c r="C516" s="5">
        <v>0</v>
      </c>
      <c r="D516" s="5">
        <f>+$C516*BC516</f>
        <v>0</v>
      </c>
      <c r="E516" s="5">
        <f>+$C516*BD516</f>
        <v>0</v>
      </c>
      <c r="F516" s="5">
        <f>+$C516*BE516</f>
        <v>0</v>
      </c>
      <c r="G516" s="5">
        <f>+$C516*BF516</f>
        <v>0</v>
      </c>
      <c r="H516" s="5">
        <f>+$C516*BG516</f>
        <v>0</v>
      </c>
      <c r="I516" s="5">
        <f>+$C516*BH516</f>
        <v>0</v>
      </c>
      <c r="J516" s="5">
        <f>+$C516*BI516</f>
        <v>0</v>
      </c>
      <c r="K516" s="5">
        <f>+$C516*BJ516</f>
        <v>0</v>
      </c>
      <c r="L516" s="5">
        <f>+$C516*BK516</f>
        <v>0</v>
      </c>
      <c r="M516" s="5">
        <f>+$C516*BL516</f>
        <v>0</v>
      </c>
      <c r="N516" s="5">
        <f>+$C516*BM516</f>
        <v>0</v>
      </c>
      <c r="O516" s="5">
        <f>+$C516*BN516</f>
        <v>0</v>
      </c>
      <c r="P516" s="5">
        <v>0</v>
      </c>
      <c r="Q516" s="5">
        <f>+$P516*BC516</f>
        <v>0</v>
      </c>
      <c r="R516" s="5">
        <f>+$P516*BD516</f>
        <v>0</v>
      </c>
      <c r="S516" s="5">
        <f>+$P516*BE516</f>
        <v>0</v>
      </c>
      <c r="T516" s="5">
        <f>+$P516*BF516</f>
        <v>0</v>
      </c>
      <c r="U516" s="5">
        <f>+$P516*BG516</f>
        <v>0</v>
      </c>
      <c r="V516" s="5">
        <f>+$P516*BH516</f>
        <v>0</v>
      </c>
      <c r="W516" s="5">
        <f>+$P516*BI516</f>
        <v>0</v>
      </c>
      <c r="X516" s="5">
        <f>+$P516*BJ516</f>
        <v>0</v>
      </c>
      <c r="Y516" s="5">
        <f>+$P516*BK516</f>
        <v>0</v>
      </c>
      <c r="Z516" s="5">
        <f>+$P516*BL516</f>
        <v>0</v>
      </c>
      <c r="AA516" s="5">
        <f>+$P516*BM516</f>
        <v>0</v>
      </c>
      <c r="AB516" s="5">
        <f>+$P516*BN516</f>
        <v>0</v>
      </c>
      <c r="AC516" s="5">
        <v>0</v>
      </c>
      <c r="AD516" s="5">
        <f>+$AC516*BC516</f>
        <v>0</v>
      </c>
      <c r="AE516" s="5">
        <f>+$AC516*BD516</f>
        <v>0</v>
      </c>
      <c r="AF516" s="5">
        <f>+$AC516*BE516</f>
        <v>0</v>
      </c>
      <c r="AG516" s="5">
        <f>+$AC516*BF516</f>
        <v>0</v>
      </c>
      <c r="AH516" s="5">
        <f>+$AC516*BG516</f>
        <v>0</v>
      </c>
      <c r="AI516" s="5">
        <f>+$AC516*BH516</f>
        <v>0</v>
      </c>
      <c r="AJ516" s="5">
        <f>+$AC516*BI516</f>
        <v>0</v>
      </c>
      <c r="AK516" s="5">
        <f>+$AC516*BJ516</f>
        <v>0</v>
      </c>
      <c r="AL516" s="5">
        <f>+$AC516*BK516</f>
        <v>0</v>
      </c>
      <c r="AM516" s="5">
        <f>+$AC516*BL516</f>
        <v>0</v>
      </c>
      <c r="AN516" s="5">
        <f>+$AC516*BM516</f>
        <v>0</v>
      </c>
      <c r="AO516" s="5">
        <f>+$AC516*BN516</f>
        <v>0</v>
      </c>
      <c r="AP516" s="5">
        <f>+AC516+P516+C516</f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2">
        <v>8.9181565948742242E-2</v>
      </c>
      <c r="BD516" s="2">
        <v>0.10665277883445198</v>
      </c>
      <c r="BE516" s="2">
        <v>9.438849084854764E-2</v>
      </c>
      <c r="BF516" s="2">
        <v>7.149564986855049E-2</v>
      </c>
      <c r="BG516" s="2">
        <v>0.10368571810536763</v>
      </c>
      <c r="BH516" s="2">
        <v>8.4970330952544637E-2</v>
      </c>
      <c r="BI516" s="2">
        <v>8.4593878877262704E-2</v>
      </c>
      <c r="BJ516" s="2">
        <v>5.7447105462779965E-2</v>
      </c>
      <c r="BK516" s="2">
        <v>8.5153852345557474E-2</v>
      </c>
      <c r="BL516" s="2">
        <v>7.4158058913035174E-2</v>
      </c>
      <c r="BM516" s="2">
        <v>7.5718189192107169E-2</v>
      </c>
      <c r="BN516" s="2">
        <v>7.3955559365675619E-2</v>
      </c>
    </row>
    <row r="517" spans="1:66" x14ac:dyDescent="0.25">
      <c r="A517" s="8">
        <v>1057</v>
      </c>
      <c r="B517" s="8" t="s">
        <v>479</v>
      </c>
      <c r="C517" s="5">
        <v>0</v>
      </c>
      <c r="D517" s="5">
        <f>+$C517*BC517</f>
        <v>0</v>
      </c>
      <c r="E517" s="5">
        <f>+$C517*BD517</f>
        <v>0</v>
      </c>
      <c r="F517" s="5">
        <f>+$C517*BE517</f>
        <v>0</v>
      </c>
      <c r="G517" s="5">
        <f>+$C517*BF517</f>
        <v>0</v>
      </c>
      <c r="H517" s="5">
        <f>+$C517*BG517</f>
        <v>0</v>
      </c>
      <c r="I517" s="5">
        <f>+$C517*BH517</f>
        <v>0</v>
      </c>
      <c r="J517" s="5">
        <f>+$C517*BI517</f>
        <v>0</v>
      </c>
      <c r="K517" s="5">
        <f>+$C517*BJ517</f>
        <v>0</v>
      </c>
      <c r="L517" s="5">
        <f>+$C517*BK517</f>
        <v>0</v>
      </c>
      <c r="M517" s="5">
        <f>+$C517*BL517</f>
        <v>0</v>
      </c>
      <c r="N517" s="5">
        <f>+$C517*BM517</f>
        <v>0</v>
      </c>
      <c r="O517" s="5">
        <f>+$C517*BN517</f>
        <v>0</v>
      </c>
      <c r="P517" s="5">
        <v>0</v>
      </c>
      <c r="Q517" s="5">
        <f>+$P517*BC517</f>
        <v>0</v>
      </c>
      <c r="R517" s="5">
        <f>+$P517*BD517</f>
        <v>0</v>
      </c>
      <c r="S517" s="5">
        <f>+$P517*BE517</f>
        <v>0</v>
      </c>
      <c r="T517" s="5">
        <f>+$P517*BF517</f>
        <v>0</v>
      </c>
      <c r="U517" s="5">
        <f>+$P517*BG517</f>
        <v>0</v>
      </c>
      <c r="V517" s="5">
        <f>+$P517*BH517</f>
        <v>0</v>
      </c>
      <c r="W517" s="5">
        <f>+$P517*BI517</f>
        <v>0</v>
      </c>
      <c r="X517" s="5">
        <f>+$P517*BJ517</f>
        <v>0</v>
      </c>
      <c r="Y517" s="5">
        <f>+$P517*BK517</f>
        <v>0</v>
      </c>
      <c r="Z517" s="5">
        <f>+$P517*BL517</f>
        <v>0</v>
      </c>
      <c r="AA517" s="5">
        <f>+$P517*BM517</f>
        <v>0</v>
      </c>
      <c r="AB517" s="5">
        <f>+$P517*BN517</f>
        <v>0</v>
      </c>
      <c r="AC517" s="5">
        <v>0</v>
      </c>
      <c r="AD517" s="5">
        <f>+$AC517*BC517</f>
        <v>0</v>
      </c>
      <c r="AE517" s="5">
        <f>+$AC517*BD517</f>
        <v>0</v>
      </c>
      <c r="AF517" s="5">
        <f>+$AC517*BE517</f>
        <v>0</v>
      </c>
      <c r="AG517" s="5">
        <f>+$AC517*BF517</f>
        <v>0</v>
      </c>
      <c r="AH517" s="5">
        <f>+$AC517*BG517</f>
        <v>0</v>
      </c>
      <c r="AI517" s="5">
        <f>+$AC517*BH517</f>
        <v>0</v>
      </c>
      <c r="AJ517" s="5">
        <f>+$AC517*BI517</f>
        <v>0</v>
      </c>
      <c r="AK517" s="5">
        <f>+$AC517*BJ517</f>
        <v>0</v>
      </c>
      <c r="AL517" s="5">
        <f>+$AC517*BK517</f>
        <v>0</v>
      </c>
      <c r="AM517" s="5">
        <f>+$AC517*BL517</f>
        <v>0</v>
      </c>
      <c r="AN517" s="5">
        <f>+$AC517*BM517</f>
        <v>0</v>
      </c>
      <c r="AO517" s="5">
        <f>+$AC517*BN517</f>
        <v>0</v>
      </c>
      <c r="AP517" s="5">
        <f>+AC517+P517+C517</f>
        <v>0</v>
      </c>
      <c r="AQ517" s="1">
        <v>18.035633989643891</v>
      </c>
      <c r="AR517" s="1">
        <v>21.568924727585401</v>
      </c>
      <c r="AS517" s="1">
        <v>19.088656446756037</v>
      </c>
      <c r="AT517" s="1">
        <v>14.458922751166311</v>
      </c>
      <c r="AU517" s="1">
        <v>20.968881201039025</v>
      </c>
      <c r="AV517" s="1">
        <v>17.183974880187868</v>
      </c>
      <c r="AW517" s="1">
        <v>17.107843094743227</v>
      </c>
      <c r="AX517" s="1">
        <v>11.617815373265309</v>
      </c>
      <c r="AY517" s="1">
        <v>17.221089329103819</v>
      </c>
      <c r="AZ517" s="1">
        <v>14.997355044277672</v>
      </c>
      <c r="BA517" s="1">
        <v>15.312867991265797</v>
      </c>
      <c r="BB517" s="1">
        <v>14.956402548317412</v>
      </c>
      <c r="BC517" s="2">
        <v>8.9181565948742242E-2</v>
      </c>
      <c r="BD517" s="2">
        <v>0.10665277883445198</v>
      </c>
      <c r="BE517" s="2">
        <v>9.438849084854764E-2</v>
      </c>
      <c r="BF517" s="2">
        <v>7.149564986855049E-2</v>
      </c>
      <c r="BG517" s="2">
        <v>0.10368571810536763</v>
      </c>
      <c r="BH517" s="2">
        <v>8.4970330952544637E-2</v>
      </c>
      <c r="BI517" s="2">
        <v>8.4593878877262704E-2</v>
      </c>
      <c r="BJ517" s="2">
        <v>5.7447105462779965E-2</v>
      </c>
      <c r="BK517" s="2">
        <v>8.5153852345557474E-2</v>
      </c>
      <c r="BL517" s="2">
        <v>7.4158058913035174E-2</v>
      </c>
      <c r="BM517" s="2">
        <v>7.5718189192107169E-2</v>
      </c>
      <c r="BN517" s="2">
        <v>7.3955559365675619E-2</v>
      </c>
    </row>
    <row r="518" spans="1:66" x14ac:dyDescent="0.25">
      <c r="A518" s="8">
        <v>1058</v>
      </c>
      <c r="B518" s="8" t="s">
        <v>478</v>
      </c>
      <c r="C518" s="5">
        <v>0</v>
      </c>
      <c r="D518" s="5">
        <f>+$C518*BC518</f>
        <v>0</v>
      </c>
      <c r="E518" s="5">
        <f>+$C518*BD518</f>
        <v>0</v>
      </c>
      <c r="F518" s="5">
        <f>+$C518*BE518</f>
        <v>0</v>
      </c>
      <c r="G518" s="5">
        <f>+$C518*BF518</f>
        <v>0</v>
      </c>
      <c r="H518" s="5">
        <f>+$C518*BG518</f>
        <v>0</v>
      </c>
      <c r="I518" s="5">
        <f>+$C518*BH518</f>
        <v>0</v>
      </c>
      <c r="J518" s="5">
        <f>+$C518*BI518</f>
        <v>0</v>
      </c>
      <c r="K518" s="5">
        <f>+$C518*BJ518</f>
        <v>0</v>
      </c>
      <c r="L518" s="5">
        <f>+$C518*BK518</f>
        <v>0</v>
      </c>
      <c r="M518" s="5">
        <f>+$C518*BL518</f>
        <v>0</v>
      </c>
      <c r="N518" s="5">
        <f>+$C518*BM518</f>
        <v>0</v>
      </c>
      <c r="O518" s="5">
        <f>+$C518*BN518</f>
        <v>0</v>
      </c>
      <c r="P518" s="5">
        <v>0</v>
      </c>
      <c r="Q518" s="5">
        <f>+$P518*BC518</f>
        <v>0</v>
      </c>
      <c r="R518" s="5">
        <f>+$P518*BD518</f>
        <v>0</v>
      </c>
      <c r="S518" s="5">
        <f>+$P518*BE518</f>
        <v>0</v>
      </c>
      <c r="T518" s="5">
        <f>+$P518*BF518</f>
        <v>0</v>
      </c>
      <c r="U518" s="5">
        <f>+$P518*BG518</f>
        <v>0</v>
      </c>
      <c r="V518" s="5">
        <f>+$P518*BH518</f>
        <v>0</v>
      </c>
      <c r="W518" s="5">
        <f>+$P518*BI518</f>
        <v>0</v>
      </c>
      <c r="X518" s="5">
        <f>+$P518*BJ518</f>
        <v>0</v>
      </c>
      <c r="Y518" s="5">
        <f>+$P518*BK518</f>
        <v>0</v>
      </c>
      <c r="Z518" s="5">
        <f>+$P518*BL518</f>
        <v>0</v>
      </c>
      <c r="AA518" s="5">
        <f>+$P518*BM518</f>
        <v>0</v>
      </c>
      <c r="AB518" s="5">
        <f>+$P518*BN518</f>
        <v>0</v>
      </c>
      <c r="AC518" s="5">
        <v>0</v>
      </c>
      <c r="AD518" s="5">
        <f>+$AC518*BC518</f>
        <v>0</v>
      </c>
      <c r="AE518" s="5">
        <f>+$AC518*BD518</f>
        <v>0</v>
      </c>
      <c r="AF518" s="5">
        <f>+$AC518*BE518</f>
        <v>0</v>
      </c>
      <c r="AG518" s="5">
        <f>+$AC518*BF518</f>
        <v>0</v>
      </c>
      <c r="AH518" s="5">
        <f>+$AC518*BG518</f>
        <v>0</v>
      </c>
      <c r="AI518" s="5">
        <f>+$AC518*BH518</f>
        <v>0</v>
      </c>
      <c r="AJ518" s="5">
        <f>+$AC518*BI518</f>
        <v>0</v>
      </c>
      <c r="AK518" s="5">
        <f>+$AC518*BJ518</f>
        <v>0</v>
      </c>
      <c r="AL518" s="5">
        <f>+$AC518*BK518</f>
        <v>0</v>
      </c>
      <c r="AM518" s="5">
        <f>+$AC518*BL518</f>
        <v>0</v>
      </c>
      <c r="AN518" s="5">
        <f>+$AC518*BM518</f>
        <v>0</v>
      </c>
      <c r="AO518" s="5">
        <f>+$AC518*BN518</f>
        <v>0</v>
      </c>
      <c r="AP518" s="5">
        <f>+AC518+P518+C518</f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2">
        <v>8.9181565948742242E-2</v>
      </c>
      <c r="BD518" s="2">
        <v>0.10665277883445198</v>
      </c>
      <c r="BE518" s="2">
        <v>9.438849084854764E-2</v>
      </c>
      <c r="BF518" s="2">
        <v>7.149564986855049E-2</v>
      </c>
      <c r="BG518" s="2">
        <v>0.10368571810536763</v>
      </c>
      <c r="BH518" s="2">
        <v>8.4970330952544637E-2</v>
      </c>
      <c r="BI518" s="2">
        <v>8.4593878877262704E-2</v>
      </c>
      <c r="BJ518" s="2">
        <v>5.7447105462779965E-2</v>
      </c>
      <c r="BK518" s="2">
        <v>8.5153852345557474E-2</v>
      </c>
      <c r="BL518" s="2">
        <v>7.4158058913035174E-2</v>
      </c>
      <c r="BM518" s="2">
        <v>7.5718189192107169E-2</v>
      </c>
      <c r="BN518" s="2">
        <v>7.3955559365675619E-2</v>
      </c>
    </row>
    <row r="519" spans="1:66" x14ac:dyDescent="0.25">
      <c r="A519" s="8">
        <v>1074</v>
      </c>
      <c r="B519" s="8" t="s">
        <v>477</v>
      </c>
      <c r="C519" s="5">
        <v>0</v>
      </c>
      <c r="D519" s="5">
        <f>+$C519*BC519</f>
        <v>0</v>
      </c>
      <c r="E519" s="5">
        <f>+$C519*BD519</f>
        <v>0</v>
      </c>
      <c r="F519" s="5">
        <f>+$C519*BE519</f>
        <v>0</v>
      </c>
      <c r="G519" s="5">
        <f>+$C519*BF519</f>
        <v>0</v>
      </c>
      <c r="H519" s="5">
        <f>+$C519*BG519</f>
        <v>0</v>
      </c>
      <c r="I519" s="5">
        <f>+$C519*BH519</f>
        <v>0</v>
      </c>
      <c r="J519" s="5">
        <f>+$C519*BI519</f>
        <v>0</v>
      </c>
      <c r="K519" s="5">
        <f>+$C519*BJ519</f>
        <v>0</v>
      </c>
      <c r="L519" s="5">
        <f>+$C519*BK519</f>
        <v>0</v>
      </c>
      <c r="M519" s="5">
        <f>+$C519*BL519</f>
        <v>0</v>
      </c>
      <c r="N519" s="5">
        <f>+$C519*BM519</f>
        <v>0</v>
      </c>
      <c r="O519" s="5">
        <f>+$C519*BN519</f>
        <v>0</v>
      </c>
      <c r="P519" s="5">
        <v>500</v>
      </c>
      <c r="Q519" s="5">
        <f>+$P519*BC519</f>
        <v>44.590782974371123</v>
      </c>
      <c r="R519" s="5">
        <f>+$P519*BD519</f>
        <v>53.32638941722599</v>
      </c>
      <c r="S519" s="5">
        <f>+$P519*BE519</f>
        <v>47.194245424273824</v>
      </c>
      <c r="T519" s="5">
        <f>+$P519*BF519</f>
        <v>35.747824934275243</v>
      </c>
      <c r="U519" s="5">
        <f>+$P519*BG519</f>
        <v>51.842859052683814</v>
      </c>
      <c r="V519" s="5">
        <f>+$P519*BH519</f>
        <v>42.485165476272321</v>
      </c>
      <c r="W519" s="5">
        <f>+$P519*BI519</f>
        <v>42.296939438631355</v>
      </c>
      <c r="X519" s="5">
        <f>+$P519*BJ519</f>
        <v>28.723552731389983</v>
      </c>
      <c r="Y519" s="5">
        <f>+$P519*BK519</f>
        <v>42.576926172778734</v>
      </c>
      <c r="Z519" s="5">
        <f>+$P519*BL519</f>
        <v>37.079029456517588</v>
      </c>
      <c r="AA519" s="5">
        <f>+$P519*BM519</f>
        <v>37.859094596053588</v>
      </c>
      <c r="AB519" s="5">
        <f>+$P519*BN519</f>
        <v>36.977779682837813</v>
      </c>
      <c r="AC519" s="5">
        <v>0</v>
      </c>
      <c r="AD519" s="5">
        <f>+$AC519*BC519</f>
        <v>0</v>
      </c>
      <c r="AE519" s="5">
        <f>+$AC519*BD519</f>
        <v>0</v>
      </c>
      <c r="AF519" s="5">
        <f>+$AC519*BE519</f>
        <v>0</v>
      </c>
      <c r="AG519" s="5">
        <f>+$AC519*BF519</f>
        <v>0</v>
      </c>
      <c r="AH519" s="5">
        <f>+$AC519*BG519</f>
        <v>0</v>
      </c>
      <c r="AI519" s="5">
        <f>+$AC519*BH519</f>
        <v>0</v>
      </c>
      <c r="AJ519" s="5">
        <f>+$AC519*BI519</f>
        <v>0</v>
      </c>
      <c r="AK519" s="5">
        <f>+$AC519*BJ519</f>
        <v>0</v>
      </c>
      <c r="AL519" s="5">
        <f>+$AC519*BK519</f>
        <v>0</v>
      </c>
      <c r="AM519" s="5">
        <f>+$AC519*BL519</f>
        <v>0</v>
      </c>
      <c r="AN519" s="5">
        <f>+$AC519*BM519</f>
        <v>0</v>
      </c>
      <c r="AO519" s="5">
        <f>+$AC519*BN519</f>
        <v>0</v>
      </c>
      <c r="AP519" s="5">
        <f>+AC519+P519+C519</f>
        <v>500</v>
      </c>
      <c r="AQ519" s="1">
        <v>24.137436731856834</v>
      </c>
      <c r="AR519" s="1">
        <v>28.866107855438603</v>
      </c>
      <c r="AS519" s="1">
        <v>25.546716990613664</v>
      </c>
      <c r="AT519" s="1">
        <v>19.350655115172536</v>
      </c>
      <c r="AU519" s="1">
        <v>28.063058033808279</v>
      </c>
      <c r="AV519" s="1">
        <v>22.997644923960973</v>
      </c>
      <c r="AW519" s="1">
        <v>22.89575628752554</v>
      </c>
      <c r="AX519" s="1">
        <v>15.548346329028714</v>
      </c>
      <c r="AY519" s="1">
        <v>23.04731590658686</v>
      </c>
      <c r="AZ519" s="1">
        <v>20.071249435107536</v>
      </c>
      <c r="BA519" s="1">
        <v>20.493506495789767</v>
      </c>
      <c r="BB519" s="1">
        <v>20.016441920116936</v>
      </c>
      <c r="BC519" s="2">
        <v>8.9181565948742242E-2</v>
      </c>
      <c r="BD519" s="2">
        <v>0.10665277883445198</v>
      </c>
      <c r="BE519" s="2">
        <v>9.438849084854764E-2</v>
      </c>
      <c r="BF519" s="2">
        <v>7.149564986855049E-2</v>
      </c>
      <c r="BG519" s="2">
        <v>0.10368571810536763</v>
      </c>
      <c r="BH519" s="2">
        <v>8.4970330952544637E-2</v>
      </c>
      <c r="BI519" s="2">
        <v>8.4593878877262704E-2</v>
      </c>
      <c r="BJ519" s="2">
        <v>5.7447105462779965E-2</v>
      </c>
      <c r="BK519" s="2">
        <v>8.5153852345557474E-2</v>
      </c>
      <c r="BL519" s="2">
        <v>7.4158058913035174E-2</v>
      </c>
      <c r="BM519" s="2">
        <v>7.5718189192107169E-2</v>
      </c>
      <c r="BN519" s="2">
        <v>7.3955559365675619E-2</v>
      </c>
    </row>
    <row r="520" spans="1:66" x14ac:dyDescent="0.25">
      <c r="A520" s="8">
        <v>1078</v>
      </c>
      <c r="B520" s="8" t="s">
        <v>476</v>
      </c>
      <c r="C520" s="5">
        <v>0</v>
      </c>
      <c r="D520" s="5">
        <f>+$C520*BC520</f>
        <v>0</v>
      </c>
      <c r="E520" s="5">
        <f>+$C520*BD520</f>
        <v>0</v>
      </c>
      <c r="F520" s="5">
        <f>+$C520*BE520</f>
        <v>0</v>
      </c>
      <c r="G520" s="5">
        <f>+$C520*BF520</f>
        <v>0</v>
      </c>
      <c r="H520" s="5">
        <f>+$C520*BG520</f>
        <v>0</v>
      </c>
      <c r="I520" s="5">
        <f>+$C520*BH520</f>
        <v>0</v>
      </c>
      <c r="J520" s="5">
        <f>+$C520*BI520</f>
        <v>0</v>
      </c>
      <c r="K520" s="5">
        <f>+$C520*BJ520</f>
        <v>0</v>
      </c>
      <c r="L520" s="5">
        <f>+$C520*BK520</f>
        <v>0</v>
      </c>
      <c r="M520" s="5">
        <f>+$C520*BL520</f>
        <v>0</v>
      </c>
      <c r="N520" s="5">
        <f>+$C520*BM520</f>
        <v>0</v>
      </c>
      <c r="O520" s="5">
        <f>+$C520*BN520</f>
        <v>0</v>
      </c>
      <c r="P520" s="5">
        <v>0</v>
      </c>
      <c r="Q520" s="5">
        <f>+$P520*BC520</f>
        <v>0</v>
      </c>
      <c r="R520" s="5">
        <f>+$P520*BD520</f>
        <v>0</v>
      </c>
      <c r="S520" s="5">
        <f>+$P520*BE520</f>
        <v>0</v>
      </c>
      <c r="T520" s="5">
        <f>+$P520*BF520</f>
        <v>0</v>
      </c>
      <c r="U520" s="5">
        <f>+$P520*BG520</f>
        <v>0</v>
      </c>
      <c r="V520" s="5">
        <f>+$P520*BH520</f>
        <v>0</v>
      </c>
      <c r="W520" s="5">
        <f>+$P520*BI520</f>
        <v>0</v>
      </c>
      <c r="X520" s="5">
        <f>+$P520*BJ520</f>
        <v>0</v>
      </c>
      <c r="Y520" s="5">
        <f>+$P520*BK520</f>
        <v>0</v>
      </c>
      <c r="Z520" s="5">
        <f>+$P520*BL520</f>
        <v>0</v>
      </c>
      <c r="AA520" s="5">
        <f>+$P520*BM520</f>
        <v>0</v>
      </c>
      <c r="AB520" s="5">
        <f>+$P520*BN520</f>
        <v>0</v>
      </c>
      <c r="AC520" s="5">
        <v>0</v>
      </c>
      <c r="AD520" s="5">
        <f>+$AC520*BC520</f>
        <v>0</v>
      </c>
      <c r="AE520" s="5">
        <f>+$AC520*BD520</f>
        <v>0</v>
      </c>
      <c r="AF520" s="5">
        <f>+$AC520*BE520</f>
        <v>0</v>
      </c>
      <c r="AG520" s="5">
        <f>+$AC520*BF520</f>
        <v>0</v>
      </c>
      <c r="AH520" s="5">
        <f>+$AC520*BG520</f>
        <v>0</v>
      </c>
      <c r="AI520" s="5">
        <f>+$AC520*BH520</f>
        <v>0</v>
      </c>
      <c r="AJ520" s="5">
        <f>+$AC520*BI520</f>
        <v>0</v>
      </c>
      <c r="AK520" s="5">
        <f>+$AC520*BJ520</f>
        <v>0</v>
      </c>
      <c r="AL520" s="5">
        <f>+$AC520*BK520</f>
        <v>0</v>
      </c>
      <c r="AM520" s="5">
        <f>+$AC520*BL520</f>
        <v>0</v>
      </c>
      <c r="AN520" s="5">
        <f>+$AC520*BM520</f>
        <v>0</v>
      </c>
      <c r="AO520" s="5">
        <f>+$AC520*BN520</f>
        <v>0</v>
      </c>
      <c r="AP520" s="5">
        <f>+AC520+P520+C520</f>
        <v>0</v>
      </c>
      <c r="AQ520" s="1">
        <v>4.2035731109939665</v>
      </c>
      <c r="AR520" s="1">
        <v>5.0270787303618949</v>
      </c>
      <c r="AS520" s="1">
        <v>4.4490015161462937</v>
      </c>
      <c r="AT520" s="1">
        <v>3.3699474565541276</v>
      </c>
      <c r="AU520" s="1">
        <v>4.8872263228965034</v>
      </c>
      <c r="AV520" s="1">
        <v>4.0050765494481917</v>
      </c>
      <c r="AW520" s="1">
        <v>3.9873324808797781</v>
      </c>
      <c r="AX520" s="1">
        <v>2.7077693159881338</v>
      </c>
      <c r="AY520" s="1">
        <v>4.0137268303078519</v>
      </c>
      <c r="AZ520" s="1">
        <v>3.4954401068659133</v>
      </c>
      <c r="BA520" s="1">
        <v>3.5689768475699717</v>
      </c>
      <c r="BB520" s="1">
        <v>3.4858952907011207</v>
      </c>
      <c r="BC520" s="2">
        <v>8.9181565948742242E-2</v>
      </c>
      <c r="BD520" s="2">
        <v>0.10665277883445198</v>
      </c>
      <c r="BE520" s="2">
        <v>9.438849084854764E-2</v>
      </c>
      <c r="BF520" s="2">
        <v>7.149564986855049E-2</v>
      </c>
      <c r="BG520" s="2">
        <v>0.10368571810536763</v>
      </c>
      <c r="BH520" s="2">
        <v>8.4970330952544637E-2</v>
      </c>
      <c r="BI520" s="2">
        <v>8.4593878877262704E-2</v>
      </c>
      <c r="BJ520" s="2">
        <v>5.7447105462779965E-2</v>
      </c>
      <c r="BK520" s="2">
        <v>8.5153852345557474E-2</v>
      </c>
      <c r="BL520" s="2">
        <v>7.4158058913035174E-2</v>
      </c>
      <c r="BM520" s="2">
        <v>7.5718189192107169E-2</v>
      </c>
      <c r="BN520" s="2">
        <v>7.3955559365675619E-2</v>
      </c>
    </row>
    <row r="521" spans="1:66" x14ac:dyDescent="0.25">
      <c r="A521" s="8">
        <v>1279</v>
      </c>
      <c r="B521" s="8" t="s">
        <v>475</v>
      </c>
      <c r="C521" s="5">
        <v>0</v>
      </c>
      <c r="D521" s="5">
        <f>+$C521*BC521</f>
        <v>0</v>
      </c>
      <c r="E521" s="5">
        <f>+$C521*BD521</f>
        <v>0</v>
      </c>
      <c r="F521" s="5">
        <f>+$C521*BE521</f>
        <v>0</v>
      </c>
      <c r="G521" s="5">
        <f>+$C521*BF521</f>
        <v>0</v>
      </c>
      <c r="H521" s="5">
        <f>+$C521*BG521</f>
        <v>0</v>
      </c>
      <c r="I521" s="5">
        <f>+$C521*BH521</f>
        <v>0</v>
      </c>
      <c r="J521" s="5">
        <f>+$C521*BI521</f>
        <v>0</v>
      </c>
      <c r="K521" s="5">
        <f>+$C521*BJ521</f>
        <v>0</v>
      </c>
      <c r="L521" s="5">
        <f>+$C521*BK521</f>
        <v>0</v>
      </c>
      <c r="M521" s="5">
        <f>+$C521*BL521</f>
        <v>0</v>
      </c>
      <c r="N521" s="5">
        <f>+$C521*BM521</f>
        <v>0</v>
      </c>
      <c r="O521" s="5">
        <f>+$C521*BN521</f>
        <v>0</v>
      </c>
      <c r="P521" s="5">
        <v>0</v>
      </c>
      <c r="Q521" s="5">
        <f>+$P521*BC521</f>
        <v>0</v>
      </c>
      <c r="R521" s="5">
        <f>+$P521*BD521</f>
        <v>0</v>
      </c>
      <c r="S521" s="5">
        <f>+$P521*BE521</f>
        <v>0</v>
      </c>
      <c r="T521" s="5">
        <f>+$P521*BF521</f>
        <v>0</v>
      </c>
      <c r="U521" s="5">
        <f>+$P521*BG521</f>
        <v>0</v>
      </c>
      <c r="V521" s="5">
        <f>+$P521*BH521</f>
        <v>0</v>
      </c>
      <c r="W521" s="5">
        <f>+$P521*BI521</f>
        <v>0</v>
      </c>
      <c r="X521" s="5">
        <f>+$P521*BJ521</f>
        <v>0</v>
      </c>
      <c r="Y521" s="5">
        <f>+$P521*BK521</f>
        <v>0</v>
      </c>
      <c r="Z521" s="5">
        <f>+$P521*BL521</f>
        <v>0</v>
      </c>
      <c r="AA521" s="5">
        <f>+$P521*BM521</f>
        <v>0</v>
      </c>
      <c r="AB521" s="5">
        <f>+$P521*BN521</f>
        <v>0</v>
      </c>
      <c r="AC521" s="5">
        <v>0</v>
      </c>
      <c r="AD521" s="5">
        <f>+$AC521*BC521</f>
        <v>0</v>
      </c>
      <c r="AE521" s="5">
        <f>+$AC521*BD521</f>
        <v>0</v>
      </c>
      <c r="AF521" s="5">
        <f>+$AC521*BE521</f>
        <v>0</v>
      </c>
      <c r="AG521" s="5">
        <f>+$AC521*BF521</f>
        <v>0</v>
      </c>
      <c r="AH521" s="5">
        <f>+$AC521*BG521</f>
        <v>0</v>
      </c>
      <c r="AI521" s="5">
        <f>+$AC521*BH521</f>
        <v>0</v>
      </c>
      <c r="AJ521" s="5">
        <f>+$AC521*BI521</f>
        <v>0</v>
      </c>
      <c r="AK521" s="5">
        <f>+$AC521*BJ521</f>
        <v>0</v>
      </c>
      <c r="AL521" s="5">
        <f>+$AC521*BK521</f>
        <v>0</v>
      </c>
      <c r="AM521" s="5">
        <f>+$AC521*BL521</f>
        <v>0</v>
      </c>
      <c r="AN521" s="5">
        <f>+$AC521*BM521</f>
        <v>0</v>
      </c>
      <c r="AO521" s="5">
        <f>+$AC521*BN521</f>
        <v>0</v>
      </c>
      <c r="AP521" s="5">
        <f>+AC521+P521+C521</f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2">
        <v>8.9181565948742242E-2</v>
      </c>
      <c r="BD521" s="2">
        <v>0.10665277883445198</v>
      </c>
      <c r="BE521" s="2">
        <v>9.438849084854764E-2</v>
      </c>
      <c r="BF521" s="2">
        <v>7.149564986855049E-2</v>
      </c>
      <c r="BG521" s="2">
        <v>0.10368571810536763</v>
      </c>
      <c r="BH521" s="2">
        <v>8.4970330952544637E-2</v>
      </c>
      <c r="BI521" s="2">
        <v>8.4593878877262704E-2</v>
      </c>
      <c r="BJ521" s="2">
        <v>5.7447105462779965E-2</v>
      </c>
      <c r="BK521" s="2">
        <v>8.5153852345557474E-2</v>
      </c>
      <c r="BL521" s="2">
        <v>7.4158058913035174E-2</v>
      </c>
      <c r="BM521" s="2">
        <v>7.5718189192107169E-2</v>
      </c>
      <c r="BN521" s="2">
        <v>7.3955559365675619E-2</v>
      </c>
    </row>
    <row r="522" spans="1:66" x14ac:dyDescent="0.25">
      <c r="A522" s="8">
        <v>1312</v>
      </c>
      <c r="B522" s="8" t="s">
        <v>474</v>
      </c>
      <c r="C522" s="5">
        <v>0</v>
      </c>
      <c r="D522" s="5">
        <f>+$C522*BC522</f>
        <v>0</v>
      </c>
      <c r="E522" s="5">
        <f>+$C522*BD522</f>
        <v>0</v>
      </c>
      <c r="F522" s="5">
        <f>+$C522*BE522</f>
        <v>0</v>
      </c>
      <c r="G522" s="5">
        <f>+$C522*BF522</f>
        <v>0</v>
      </c>
      <c r="H522" s="5">
        <f>+$C522*BG522</f>
        <v>0</v>
      </c>
      <c r="I522" s="5">
        <f>+$C522*BH522</f>
        <v>0</v>
      </c>
      <c r="J522" s="5">
        <f>+$C522*BI522</f>
        <v>0</v>
      </c>
      <c r="K522" s="5">
        <f>+$C522*BJ522</f>
        <v>0</v>
      </c>
      <c r="L522" s="5">
        <f>+$C522*BK522</f>
        <v>0</v>
      </c>
      <c r="M522" s="5">
        <f>+$C522*BL522</f>
        <v>0</v>
      </c>
      <c r="N522" s="5">
        <f>+$C522*BM522</f>
        <v>0</v>
      </c>
      <c r="O522" s="5">
        <f>+$C522*BN522</f>
        <v>0</v>
      </c>
      <c r="P522" s="5">
        <v>0</v>
      </c>
      <c r="Q522" s="5">
        <f>+$P522*BC522</f>
        <v>0</v>
      </c>
      <c r="R522" s="5">
        <f>+$P522*BD522</f>
        <v>0</v>
      </c>
      <c r="S522" s="5">
        <f>+$P522*BE522</f>
        <v>0</v>
      </c>
      <c r="T522" s="5">
        <f>+$P522*BF522</f>
        <v>0</v>
      </c>
      <c r="U522" s="5">
        <f>+$P522*BG522</f>
        <v>0</v>
      </c>
      <c r="V522" s="5">
        <f>+$P522*BH522</f>
        <v>0</v>
      </c>
      <c r="W522" s="5">
        <f>+$P522*BI522</f>
        <v>0</v>
      </c>
      <c r="X522" s="5">
        <f>+$P522*BJ522</f>
        <v>0</v>
      </c>
      <c r="Y522" s="5">
        <f>+$P522*BK522</f>
        <v>0</v>
      </c>
      <c r="Z522" s="5">
        <f>+$P522*BL522</f>
        <v>0</v>
      </c>
      <c r="AA522" s="5">
        <f>+$P522*BM522</f>
        <v>0</v>
      </c>
      <c r="AB522" s="5">
        <f>+$P522*BN522</f>
        <v>0</v>
      </c>
      <c r="AC522" s="5">
        <v>0</v>
      </c>
      <c r="AD522" s="5">
        <f>+$AC522*BC522</f>
        <v>0</v>
      </c>
      <c r="AE522" s="5">
        <f>+$AC522*BD522</f>
        <v>0</v>
      </c>
      <c r="AF522" s="5">
        <f>+$AC522*BE522</f>
        <v>0</v>
      </c>
      <c r="AG522" s="5">
        <f>+$AC522*BF522</f>
        <v>0</v>
      </c>
      <c r="AH522" s="5">
        <f>+$AC522*BG522</f>
        <v>0</v>
      </c>
      <c r="AI522" s="5">
        <f>+$AC522*BH522</f>
        <v>0</v>
      </c>
      <c r="AJ522" s="5">
        <f>+$AC522*BI522</f>
        <v>0</v>
      </c>
      <c r="AK522" s="5">
        <f>+$AC522*BJ522</f>
        <v>0</v>
      </c>
      <c r="AL522" s="5">
        <f>+$AC522*BK522</f>
        <v>0</v>
      </c>
      <c r="AM522" s="5">
        <f>+$AC522*BL522</f>
        <v>0</v>
      </c>
      <c r="AN522" s="5">
        <f>+$AC522*BM522</f>
        <v>0</v>
      </c>
      <c r="AO522" s="5">
        <f>+$AC522*BN522</f>
        <v>0</v>
      </c>
      <c r="AP522" s="5">
        <f>+AC522+P522+C522</f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2">
        <v>8.9181565948742242E-2</v>
      </c>
      <c r="BD522" s="2">
        <v>0.10665277883445198</v>
      </c>
      <c r="BE522" s="2">
        <v>9.438849084854764E-2</v>
      </c>
      <c r="BF522" s="2">
        <v>7.149564986855049E-2</v>
      </c>
      <c r="BG522" s="2">
        <v>0.10368571810536763</v>
      </c>
      <c r="BH522" s="2">
        <v>8.4970330952544637E-2</v>
      </c>
      <c r="BI522" s="2">
        <v>8.4593878877262704E-2</v>
      </c>
      <c r="BJ522" s="2">
        <v>5.7447105462779965E-2</v>
      </c>
      <c r="BK522" s="2">
        <v>8.5153852345557474E-2</v>
      </c>
      <c r="BL522" s="2">
        <v>7.4158058913035174E-2</v>
      </c>
      <c r="BM522" s="2">
        <v>7.5718189192107169E-2</v>
      </c>
      <c r="BN522" s="2">
        <v>7.3955559365675619E-2</v>
      </c>
    </row>
    <row r="523" spans="1:66" x14ac:dyDescent="0.25">
      <c r="A523" s="8">
        <v>1317</v>
      </c>
      <c r="B523" s="8" t="s">
        <v>473</v>
      </c>
      <c r="C523" s="5">
        <v>0</v>
      </c>
      <c r="D523" s="5">
        <f>+$C523*BC523</f>
        <v>0</v>
      </c>
      <c r="E523" s="5">
        <f>+$C523*BD523</f>
        <v>0</v>
      </c>
      <c r="F523" s="5">
        <f>+$C523*BE523</f>
        <v>0</v>
      </c>
      <c r="G523" s="5">
        <f>+$C523*BF523</f>
        <v>0</v>
      </c>
      <c r="H523" s="5">
        <f>+$C523*BG523</f>
        <v>0</v>
      </c>
      <c r="I523" s="5">
        <f>+$C523*BH523</f>
        <v>0</v>
      </c>
      <c r="J523" s="5">
        <f>+$C523*BI523</f>
        <v>0</v>
      </c>
      <c r="K523" s="5">
        <f>+$C523*BJ523</f>
        <v>0</v>
      </c>
      <c r="L523" s="5">
        <f>+$C523*BK523</f>
        <v>0</v>
      </c>
      <c r="M523" s="5">
        <f>+$C523*BL523</f>
        <v>0</v>
      </c>
      <c r="N523" s="5">
        <f>+$C523*BM523</f>
        <v>0</v>
      </c>
      <c r="O523" s="5">
        <f>+$C523*BN523</f>
        <v>0</v>
      </c>
      <c r="P523" s="5">
        <v>0</v>
      </c>
      <c r="Q523" s="5">
        <f>+$P523*BC523</f>
        <v>0</v>
      </c>
      <c r="R523" s="5">
        <f>+$P523*BD523</f>
        <v>0</v>
      </c>
      <c r="S523" s="5">
        <f>+$P523*BE523</f>
        <v>0</v>
      </c>
      <c r="T523" s="5">
        <f>+$P523*BF523</f>
        <v>0</v>
      </c>
      <c r="U523" s="5">
        <f>+$P523*BG523</f>
        <v>0</v>
      </c>
      <c r="V523" s="5">
        <f>+$P523*BH523</f>
        <v>0</v>
      </c>
      <c r="W523" s="5">
        <f>+$P523*BI523</f>
        <v>0</v>
      </c>
      <c r="X523" s="5">
        <f>+$P523*BJ523</f>
        <v>0</v>
      </c>
      <c r="Y523" s="5">
        <f>+$P523*BK523</f>
        <v>0</v>
      </c>
      <c r="Z523" s="5">
        <f>+$P523*BL523</f>
        <v>0</v>
      </c>
      <c r="AA523" s="5">
        <f>+$P523*BM523</f>
        <v>0</v>
      </c>
      <c r="AB523" s="5">
        <f>+$P523*BN523</f>
        <v>0</v>
      </c>
      <c r="AC523" s="5">
        <v>0</v>
      </c>
      <c r="AD523" s="5">
        <f>+$AC523*BC523</f>
        <v>0</v>
      </c>
      <c r="AE523" s="5">
        <f>+$AC523*BD523</f>
        <v>0</v>
      </c>
      <c r="AF523" s="5">
        <f>+$AC523*BE523</f>
        <v>0</v>
      </c>
      <c r="AG523" s="5">
        <f>+$AC523*BF523</f>
        <v>0</v>
      </c>
      <c r="AH523" s="5">
        <f>+$AC523*BG523</f>
        <v>0</v>
      </c>
      <c r="AI523" s="5">
        <f>+$AC523*BH523</f>
        <v>0</v>
      </c>
      <c r="AJ523" s="5">
        <f>+$AC523*BI523</f>
        <v>0</v>
      </c>
      <c r="AK523" s="5">
        <f>+$AC523*BJ523</f>
        <v>0</v>
      </c>
      <c r="AL523" s="5">
        <f>+$AC523*BK523</f>
        <v>0</v>
      </c>
      <c r="AM523" s="5">
        <f>+$AC523*BL523</f>
        <v>0</v>
      </c>
      <c r="AN523" s="5">
        <f>+$AC523*BM523</f>
        <v>0</v>
      </c>
      <c r="AO523" s="5">
        <f>+$AC523*BN523</f>
        <v>0</v>
      </c>
      <c r="AP523" s="5">
        <f>+AC523+P523+C523</f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2">
        <v>8.9181565948742242E-2</v>
      </c>
      <c r="BD523" s="2">
        <v>0.10665277883445198</v>
      </c>
      <c r="BE523" s="2">
        <v>9.438849084854764E-2</v>
      </c>
      <c r="BF523" s="2">
        <v>7.149564986855049E-2</v>
      </c>
      <c r="BG523" s="2">
        <v>0.10368571810536763</v>
      </c>
      <c r="BH523" s="2">
        <v>8.4970330952544637E-2</v>
      </c>
      <c r="BI523" s="2">
        <v>8.4593878877262704E-2</v>
      </c>
      <c r="BJ523" s="2">
        <v>5.7447105462779965E-2</v>
      </c>
      <c r="BK523" s="2">
        <v>8.5153852345557474E-2</v>
      </c>
      <c r="BL523" s="2">
        <v>7.4158058913035174E-2</v>
      </c>
      <c r="BM523" s="2">
        <v>7.5718189192107169E-2</v>
      </c>
      <c r="BN523" s="2">
        <v>7.3955559365675619E-2</v>
      </c>
    </row>
    <row r="524" spans="1:66" x14ac:dyDescent="0.25">
      <c r="A524" s="8">
        <v>1318</v>
      </c>
      <c r="B524" s="8" t="s">
        <v>472</v>
      </c>
      <c r="C524" s="5">
        <v>0</v>
      </c>
      <c r="D524" s="5">
        <f>+$C524*BC524</f>
        <v>0</v>
      </c>
      <c r="E524" s="5">
        <f>+$C524*BD524</f>
        <v>0</v>
      </c>
      <c r="F524" s="5">
        <f>+$C524*BE524</f>
        <v>0</v>
      </c>
      <c r="G524" s="5">
        <f>+$C524*BF524</f>
        <v>0</v>
      </c>
      <c r="H524" s="5">
        <f>+$C524*BG524</f>
        <v>0</v>
      </c>
      <c r="I524" s="5">
        <f>+$C524*BH524</f>
        <v>0</v>
      </c>
      <c r="J524" s="5">
        <f>+$C524*BI524</f>
        <v>0</v>
      </c>
      <c r="K524" s="5">
        <f>+$C524*BJ524</f>
        <v>0</v>
      </c>
      <c r="L524" s="5">
        <f>+$C524*BK524</f>
        <v>0</v>
      </c>
      <c r="M524" s="5">
        <f>+$C524*BL524</f>
        <v>0</v>
      </c>
      <c r="N524" s="5">
        <f>+$C524*BM524</f>
        <v>0</v>
      </c>
      <c r="O524" s="5">
        <f>+$C524*BN524</f>
        <v>0</v>
      </c>
      <c r="P524" s="5">
        <v>0</v>
      </c>
      <c r="Q524" s="5">
        <f>+$P524*BC524</f>
        <v>0</v>
      </c>
      <c r="R524" s="5">
        <f>+$P524*BD524</f>
        <v>0</v>
      </c>
      <c r="S524" s="5">
        <f>+$P524*BE524</f>
        <v>0</v>
      </c>
      <c r="T524" s="5">
        <f>+$P524*BF524</f>
        <v>0</v>
      </c>
      <c r="U524" s="5">
        <f>+$P524*BG524</f>
        <v>0</v>
      </c>
      <c r="V524" s="5">
        <f>+$P524*BH524</f>
        <v>0</v>
      </c>
      <c r="W524" s="5">
        <f>+$P524*BI524</f>
        <v>0</v>
      </c>
      <c r="X524" s="5">
        <f>+$P524*BJ524</f>
        <v>0</v>
      </c>
      <c r="Y524" s="5">
        <f>+$P524*BK524</f>
        <v>0</v>
      </c>
      <c r="Z524" s="5">
        <f>+$P524*BL524</f>
        <v>0</v>
      </c>
      <c r="AA524" s="5">
        <f>+$P524*BM524</f>
        <v>0</v>
      </c>
      <c r="AB524" s="5">
        <f>+$P524*BN524</f>
        <v>0</v>
      </c>
      <c r="AC524" s="5">
        <v>0</v>
      </c>
      <c r="AD524" s="5">
        <f>+$AC524*BC524</f>
        <v>0</v>
      </c>
      <c r="AE524" s="5">
        <f>+$AC524*BD524</f>
        <v>0</v>
      </c>
      <c r="AF524" s="5">
        <f>+$AC524*BE524</f>
        <v>0</v>
      </c>
      <c r="AG524" s="5">
        <f>+$AC524*BF524</f>
        <v>0</v>
      </c>
      <c r="AH524" s="5">
        <f>+$AC524*BG524</f>
        <v>0</v>
      </c>
      <c r="AI524" s="5">
        <f>+$AC524*BH524</f>
        <v>0</v>
      </c>
      <c r="AJ524" s="5">
        <f>+$AC524*BI524</f>
        <v>0</v>
      </c>
      <c r="AK524" s="5">
        <f>+$AC524*BJ524</f>
        <v>0</v>
      </c>
      <c r="AL524" s="5">
        <f>+$AC524*BK524</f>
        <v>0</v>
      </c>
      <c r="AM524" s="5">
        <f>+$AC524*BL524</f>
        <v>0</v>
      </c>
      <c r="AN524" s="5">
        <f>+$AC524*BM524</f>
        <v>0</v>
      </c>
      <c r="AO524" s="5">
        <f>+$AC524*BN524</f>
        <v>0</v>
      </c>
      <c r="AP524" s="5">
        <f>+AC524+P524+C524</f>
        <v>0</v>
      </c>
      <c r="AQ524" s="1">
        <v>15.00925754917332</v>
      </c>
      <c r="AR524" s="1">
        <v>17.949662677838269</v>
      </c>
      <c r="AS524" s="1">
        <v>15.885583009810569</v>
      </c>
      <c r="AT524" s="1">
        <v>12.032717872877049</v>
      </c>
      <c r="AU524" s="1">
        <v>17.450306357133371</v>
      </c>
      <c r="AV524" s="1">
        <v>14.300506699313264</v>
      </c>
      <c r="AW524" s="1">
        <v>14.237149815043313</v>
      </c>
      <c r="AX524" s="1">
        <v>9.668347849385869</v>
      </c>
      <c r="AY524" s="1">
        <v>14.331393349757324</v>
      </c>
      <c r="AZ524" s="1">
        <v>12.48080131506382</v>
      </c>
      <c r="BA524" s="1">
        <v>12.743371241031637</v>
      </c>
      <c r="BB524" s="1">
        <v>12.446720641243207</v>
      </c>
      <c r="BC524" s="2">
        <v>8.9181565948742242E-2</v>
      </c>
      <c r="BD524" s="2">
        <v>0.10665277883445198</v>
      </c>
      <c r="BE524" s="2">
        <v>9.438849084854764E-2</v>
      </c>
      <c r="BF524" s="2">
        <v>7.149564986855049E-2</v>
      </c>
      <c r="BG524" s="2">
        <v>0.10368571810536763</v>
      </c>
      <c r="BH524" s="2">
        <v>8.4970330952544637E-2</v>
      </c>
      <c r="BI524" s="2">
        <v>8.4593878877262704E-2</v>
      </c>
      <c r="BJ524" s="2">
        <v>5.7447105462779965E-2</v>
      </c>
      <c r="BK524" s="2">
        <v>8.5153852345557474E-2</v>
      </c>
      <c r="BL524" s="2">
        <v>7.4158058913035174E-2</v>
      </c>
      <c r="BM524" s="2">
        <v>7.5718189192107169E-2</v>
      </c>
      <c r="BN524" s="2">
        <v>7.3955559365675619E-2</v>
      </c>
    </row>
    <row r="525" spans="1:66" x14ac:dyDescent="0.25">
      <c r="A525" s="8">
        <v>1330</v>
      </c>
      <c r="B525" s="8" t="s">
        <v>471</v>
      </c>
      <c r="C525" s="5">
        <v>0</v>
      </c>
      <c r="D525" s="5">
        <f>+$C525*BC525</f>
        <v>0</v>
      </c>
      <c r="E525" s="5">
        <f>+$C525*BD525</f>
        <v>0</v>
      </c>
      <c r="F525" s="5">
        <f>+$C525*BE525</f>
        <v>0</v>
      </c>
      <c r="G525" s="5">
        <f>+$C525*BF525</f>
        <v>0</v>
      </c>
      <c r="H525" s="5">
        <f>+$C525*BG525</f>
        <v>0</v>
      </c>
      <c r="I525" s="5">
        <f>+$C525*BH525</f>
        <v>0</v>
      </c>
      <c r="J525" s="5">
        <f>+$C525*BI525</f>
        <v>0</v>
      </c>
      <c r="K525" s="5">
        <f>+$C525*BJ525</f>
        <v>0</v>
      </c>
      <c r="L525" s="5">
        <f>+$C525*BK525</f>
        <v>0</v>
      </c>
      <c r="M525" s="5">
        <f>+$C525*BL525</f>
        <v>0</v>
      </c>
      <c r="N525" s="5">
        <f>+$C525*BM525</f>
        <v>0</v>
      </c>
      <c r="O525" s="5">
        <f>+$C525*BN525</f>
        <v>0</v>
      </c>
      <c r="P525" s="5">
        <v>4000</v>
      </c>
      <c r="Q525" s="5">
        <f>+$P525*BC525</f>
        <v>356.72626379496899</v>
      </c>
      <c r="R525" s="5">
        <f>+$P525*BD525</f>
        <v>426.61111533780792</v>
      </c>
      <c r="S525" s="5">
        <f>+$P525*BE525</f>
        <v>377.55396339419059</v>
      </c>
      <c r="T525" s="5">
        <f>+$P525*BF525</f>
        <v>285.98259947420195</v>
      </c>
      <c r="U525" s="5">
        <f>+$P525*BG525</f>
        <v>414.74287242147051</v>
      </c>
      <c r="V525" s="5">
        <f>+$P525*BH525</f>
        <v>339.88132381017857</v>
      </c>
      <c r="W525" s="5">
        <f>+$P525*BI525</f>
        <v>338.37551550905084</v>
      </c>
      <c r="X525" s="5">
        <f>+$P525*BJ525</f>
        <v>229.78842185111986</v>
      </c>
      <c r="Y525" s="5">
        <f>+$P525*BK525</f>
        <v>340.61540938222987</v>
      </c>
      <c r="Z525" s="5">
        <f>+$P525*BL525</f>
        <v>296.63223565214071</v>
      </c>
      <c r="AA525" s="5">
        <f>+$P525*BM525</f>
        <v>302.8727567684287</v>
      </c>
      <c r="AB525" s="5">
        <f>+$P525*BN525</f>
        <v>295.8222374627025</v>
      </c>
      <c r="AC525" s="5">
        <v>0</v>
      </c>
      <c r="AD525" s="5">
        <f>+$AC525*BC525</f>
        <v>0</v>
      </c>
      <c r="AE525" s="5">
        <f>+$AC525*BD525</f>
        <v>0</v>
      </c>
      <c r="AF525" s="5">
        <f>+$AC525*BE525</f>
        <v>0</v>
      </c>
      <c r="AG525" s="5">
        <f>+$AC525*BF525</f>
        <v>0</v>
      </c>
      <c r="AH525" s="5">
        <f>+$AC525*BG525</f>
        <v>0</v>
      </c>
      <c r="AI525" s="5">
        <f>+$AC525*BH525</f>
        <v>0</v>
      </c>
      <c r="AJ525" s="5">
        <f>+$AC525*BI525</f>
        <v>0</v>
      </c>
      <c r="AK525" s="5">
        <f>+$AC525*BJ525</f>
        <v>0</v>
      </c>
      <c r="AL525" s="5">
        <f>+$AC525*BK525</f>
        <v>0</v>
      </c>
      <c r="AM525" s="5">
        <f>+$AC525*BL525</f>
        <v>0</v>
      </c>
      <c r="AN525" s="5">
        <f>+$AC525*BM525</f>
        <v>0</v>
      </c>
      <c r="AO525" s="5">
        <f>+$AC525*BN525</f>
        <v>0</v>
      </c>
      <c r="AP525" s="5">
        <f>+AC525+P525+C525</f>
        <v>4000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2">
        <v>8.9181565948742242E-2</v>
      </c>
      <c r="BD525" s="2">
        <v>0.10665277883445198</v>
      </c>
      <c r="BE525" s="2">
        <v>9.438849084854764E-2</v>
      </c>
      <c r="BF525" s="2">
        <v>7.149564986855049E-2</v>
      </c>
      <c r="BG525" s="2">
        <v>0.10368571810536763</v>
      </c>
      <c r="BH525" s="2">
        <v>8.4970330952544637E-2</v>
      </c>
      <c r="BI525" s="2">
        <v>8.4593878877262704E-2</v>
      </c>
      <c r="BJ525" s="2">
        <v>5.7447105462779965E-2</v>
      </c>
      <c r="BK525" s="2">
        <v>8.5153852345557474E-2</v>
      </c>
      <c r="BL525" s="2">
        <v>7.4158058913035174E-2</v>
      </c>
      <c r="BM525" s="2">
        <v>7.5718189192107169E-2</v>
      </c>
      <c r="BN525" s="2">
        <v>7.3955559365675619E-2</v>
      </c>
    </row>
    <row r="526" spans="1:66" x14ac:dyDescent="0.25">
      <c r="A526" s="8">
        <v>1372</v>
      </c>
      <c r="B526" s="8" t="s">
        <v>470</v>
      </c>
      <c r="C526" s="5">
        <v>0</v>
      </c>
      <c r="D526" s="5">
        <f>+$C526*BC526</f>
        <v>0</v>
      </c>
      <c r="E526" s="5">
        <f>+$C526*BD526</f>
        <v>0</v>
      </c>
      <c r="F526" s="5">
        <f>+$C526*BE526</f>
        <v>0</v>
      </c>
      <c r="G526" s="5">
        <f>+$C526*BF526</f>
        <v>0</v>
      </c>
      <c r="H526" s="5">
        <f>+$C526*BG526</f>
        <v>0</v>
      </c>
      <c r="I526" s="5">
        <f>+$C526*BH526</f>
        <v>0</v>
      </c>
      <c r="J526" s="5">
        <f>+$C526*BI526</f>
        <v>0</v>
      </c>
      <c r="K526" s="5">
        <f>+$C526*BJ526</f>
        <v>0</v>
      </c>
      <c r="L526" s="5">
        <f>+$C526*BK526</f>
        <v>0</v>
      </c>
      <c r="M526" s="5">
        <f>+$C526*BL526</f>
        <v>0</v>
      </c>
      <c r="N526" s="5">
        <f>+$C526*BM526</f>
        <v>0</v>
      </c>
      <c r="O526" s="5">
        <f>+$C526*BN526</f>
        <v>0</v>
      </c>
      <c r="P526" s="5">
        <v>0</v>
      </c>
      <c r="Q526" s="5">
        <f>+$P526*BC526</f>
        <v>0</v>
      </c>
      <c r="R526" s="5">
        <f>+$P526*BD526</f>
        <v>0</v>
      </c>
      <c r="S526" s="5">
        <f>+$P526*BE526</f>
        <v>0</v>
      </c>
      <c r="T526" s="5">
        <f>+$P526*BF526</f>
        <v>0</v>
      </c>
      <c r="U526" s="5">
        <f>+$P526*BG526</f>
        <v>0</v>
      </c>
      <c r="V526" s="5">
        <f>+$P526*BH526</f>
        <v>0</v>
      </c>
      <c r="W526" s="5">
        <f>+$P526*BI526</f>
        <v>0</v>
      </c>
      <c r="X526" s="5">
        <f>+$P526*BJ526</f>
        <v>0</v>
      </c>
      <c r="Y526" s="5">
        <f>+$P526*BK526</f>
        <v>0</v>
      </c>
      <c r="Z526" s="5">
        <f>+$P526*BL526</f>
        <v>0</v>
      </c>
      <c r="AA526" s="5">
        <f>+$P526*BM526</f>
        <v>0</v>
      </c>
      <c r="AB526" s="5">
        <f>+$P526*BN526</f>
        <v>0</v>
      </c>
      <c r="AC526" s="5">
        <v>0</v>
      </c>
      <c r="AD526" s="5">
        <f>+$AC526*BC526</f>
        <v>0</v>
      </c>
      <c r="AE526" s="5">
        <f>+$AC526*BD526</f>
        <v>0</v>
      </c>
      <c r="AF526" s="5">
        <f>+$AC526*BE526</f>
        <v>0</v>
      </c>
      <c r="AG526" s="5">
        <f>+$AC526*BF526</f>
        <v>0</v>
      </c>
      <c r="AH526" s="5">
        <f>+$AC526*BG526</f>
        <v>0</v>
      </c>
      <c r="AI526" s="5">
        <f>+$AC526*BH526</f>
        <v>0</v>
      </c>
      <c r="AJ526" s="5">
        <f>+$AC526*BI526</f>
        <v>0</v>
      </c>
      <c r="AK526" s="5">
        <f>+$AC526*BJ526</f>
        <v>0</v>
      </c>
      <c r="AL526" s="5">
        <f>+$AC526*BK526</f>
        <v>0</v>
      </c>
      <c r="AM526" s="5">
        <f>+$AC526*BL526</f>
        <v>0</v>
      </c>
      <c r="AN526" s="5">
        <f>+$AC526*BM526</f>
        <v>0</v>
      </c>
      <c r="AO526" s="5">
        <f>+$AC526*BN526</f>
        <v>0</v>
      </c>
      <c r="AP526" s="5">
        <f>+AC526+P526+C526</f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2">
        <v>8.9181565948742242E-2</v>
      </c>
      <c r="BD526" s="2">
        <v>0.10665277883445198</v>
      </c>
      <c r="BE526" s="2">
        <v>9.438849084854764E-2</v>
      </c>
      <c r="BF526" s="2">
        <v>7.149564986855049E-2</v>
      </c>
      <c r="BG526" s="2">
        <v>0.10368571810536763</v>
      </c>
      <c r="BH526" s="2">
        <v>8.4970330952544637E-2</v>
      </c>
      <c r="BI526" s="2">
        <v>8.4593878877262704E-2</v>
      </c>
      <c r="BJ526" s="2">
        <v>5.7447105462779965E-2</v>
      </c>
      <c r="BK526" s="2">
        <v>8.5153852345557474E-2</v>
      </c>
      <c r="BL526" s="2">
        <v>7.4158058913035174E-2</v>
      </c>
      <c r="BM526" s="2">
        <v>7.5718189192107169E-2</v>
      </c>
      <c r="BN526" s="2">
        <v>7.3955559365675619E-2</v>
      </c>
    </row>
    <row r="527" spans="1:66" x14ac:dyDescent="0.25">
      <c r="A527" s="8">
        <v>1639</v>
      </c>
      <c r="B527" s="8" t="s">
        <v>469</v>
      </c>
      <c r="C527" s="5">
        <v>0</v>
      </c>
      <c r="D527" s="5">
        <f>+$C527*BC527</f>
        <v>0</v>
      </c>
      <c r="E527" s="5">
        <f>+$C527*BD527</f>
        <v>0</v>
      </c>
      <c r="F527" s="5">
        <f>+$C527*BE527</f>
        <v>0</v>
      </c>
      <c r="G527" s="5">
        <f>+$C527*BF527</f>
        <v>0</v>
      </c>
      <c r="H527" s="5">
        <f>+$C527*BG527</f>
        <v>0</v>
      </c>
      <c r="I527" s="5">
        <f>+$C527*BH527</f>
        <v>0</v>
      </c>
      <c r="J527" s="5">
        <f>+$C527*BI527</f>
        <v>0</v>
      </c>
      <c r="K527" s="5">
        <f>+$C527*BJ527</f>
        <v>0</v>
      </c>
      <c r="L527" s="5">
        <f>+$C527*BK527</f>
        <v>0</v>
      </c>
      <c r="M527" s="5">
        <f>+$C527*BL527</f>
        <v>0</v>
      </c>
      <c r="N527" s="5">
        <f>+$C527*BM527</f>
        <v>0</v>
      </c>
      <c r="O527" s="5">
        <f>+$C527*BN527</f>
        <v>0</v>
      </c>
      <c r="P527" s="5">
        <v>0</v>
      </c>
      <c r="Q527" s="5">
        <f>+$P527*BC527</f>
        <v>0</v>
      </c>
      <c r="R527" s="5">
        <f>+$P527*BD527</f>
        <v>0</v>
      </c>
      <c r="S527" s="5">
        <f>+$P527*BE527</f>
        <v>0</v>
      </c>
      <c r="T527" s="5">
        <f>+$P527*BF527</f>
        <v>0</v>
      </c>
      <c r="U527" s="5">
        <f>+$P527*BG527</f>
        <v>0</v>
      </c>
      <c r="V527" s="5">
        <f>+$P527*BH527</f>
        <v>0</v>
      </c>
      <c r="W527" s="5">
        <f>+$P527*BI527</f>
        <v>0</v>
      </c>
      <c r="X527" s="5">
        <f>+$P527*BJ527</f>
        <v>0</v>
      </c>
      <c r="Y527" s="5">
        <f>+$P527*BK527</f>
        <v>0</v>
      </c>
      <c r="Z527" s="5">
        <f>+$P527*BL527</f>
        <v>0</v>
      </c>
      <c r="AA527" s="5">
        <f>+$P527*BM527</f>
        <v>0</v>
      </c>
      <c r="AB527" s="5">
        <f>+$P527*BN527</f>
        <v>0</v>
      </c>
      <c r="AC527" s="5">
        <v>0</v>
      </c>
      <c r="AD527" s="5">
        <f>+$AC527*BC527</f>
        <v>0</v>
      </c>
      <c r="AE527" s="5">
        <f>+$AC527*BD527</f>
        <v>0</v>
      </c>
      <c r="AF527" s="5">
        <f>+$AC527*BE527</f>
        <v>0</v>
      </c>
      <c r="AG527" s="5">
        <f>+$AC527*BF527</f>
        <v>0</v>
      </c>
      <c r="AH527" s="5">
        <f>+$AC527*BG527</f>
        <v>0</v>
      </c>
      <c r="AI527" s="5">
        <f>+$AC527*BH527</f>
        <v>0</v>
      </c>
      <c r="AJ527" s="5">
        <f>+$AC527*BI527</f>
        <v>0</v>
      </c>
      <c r="AK527" s="5">
        <f>+$AC527*BJ527</f>
        <v>0</v>
      </c>
      <c r="AL527" s="5">
        <f>+$AC527*BK527</f>
        <v>0</v>
      </c>
      <c r="AM527" s="5">
        <f>+$AC527*BL527</f>
        <v>0</v>
      </c>
      <c r="AN527" s="5">
        <f>+$AC527*BM527</f>
        <v>0</v>
      </c>
      <c r="AO527" s="5">
        <f>+$AC527*BN527</f>
        <v>0</v>
      </c>
      <c r="AP527" s="5">
        <f>+AC527+P527+C527</f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2">
        <v>8.9181565948742242E-2</v>
      </c>
      <c r="BD527" s="2">
        <v>0.10665277883445198</v>
      </c>
      <c r="BE527" s="2">
        <v>9.438849084854764E-2</v>
      </c>
      <c r="BF527" s="2">
        <v>7.149564986855049E-2</v>
      </c>
      <c r="BG527" s="2">
        <v>0.10368571810536763</v>
      </c>
      <c r="BH527" s="2">
        <v>8.4970330952544637E-2</v>
      </c>
      <c r="BI527" s="2">
        <v>8.4593878877262704E-2</v>
      </c>
      <c r="BJ527" s="2">
        <v>5.7447105462779965E-2</v>
      </c>
      <c r="BK527" s="2">
        <v>8.5153852345557474E-2</v>
      </c>
      <c r="BL527" s="2">
        <v>7.4158058913035174E-2</v>
      </c>
      <c r="BM527" s="2">
        <v>7.5718189192107169E-2</v>
      </c>
      <c r="BN527" s="2">
        <v>7.3955559365675619E-2</v>
      </c>
    </row>
    <row r="528" spans="1:66" x14ac:dyDescent="0.25">
      <c r="A528" s="8">
        <v>1708</v>
      </c>
      <c r="B528" s="8" t="s">
        <v>468</v>
      </c>
      <c r="C528" s="5">
        <v>0</v>
      </c>
      <c r="D528" s="5">
        <f>+$C528*BC528</f>
        <v>0</v>
      </c>
      <c r="E528" s="5">
        <f>+$C528*BD528</f>
        <v>0</v>
      </c>
      <c r="F528" s="5">
        <f>+$C528*BE528</f>
        <v>0</v>
      </c>
      <c r="G528" s="5">
        <f>+$C528*BF528</f>
        <v>0</v>
      </c>
      <c r="H528" s="5">
        <f>+$C528*BG528</f>
        <v>0</v>
      </c>
      <c r="I528" s="5">
        <f>+$C528*BH528</f>
        <v>0</v>
      </c>
      <c r="J528" s="5">
        <f>+$C528*BI528</f>
        <v>0</v>
      </c>
      <c r="K528" s="5">
        <f>+$C528*BJ528</f>
        <v>0</v>
      </c>
      <c r="L528" s="5">
        <f>+$C528*BK528</f>
        <v>0</v>
      </c>
      <c r="M528" s="5">
        <f>+$C528*BL528</f>
        <v>0</v>
      </c>
      <c r="N528" s="5">
        <f>+$C528*BM528</f>
        <v>0</v>
      </c>
      <c r="O528" s="5">
        <f>+$C528*BN528</f>
        <v>0</v>
      </c>
      <c r="P528" s="5">
        <v>0</v>
      </c>
      <c r="Q528" s="5">
        <f>+$P528*BC528</f>
        <v>0</v>
      </c>
      <c r="R528" s="5">
        <f>+$P528*BD528</f>
        <v>0</v>
      </c>
      <c r="S528" s="5">
        <f>+$P528*BE528</f>
        <v>0</v>
      </c>
      <c r="T528" s="5">
        <f>+$P528*BF528</f>
        <v>0</v>
      </c>
      <c r="U528" s="5">
        <f>+$P528*BG528</f>
        <v>0</v>
      </c>
      <c r="V528" s="5">
        <f>+$P528*BH528</f>
        <v>0</v>
      </c>
      <c r="W528" s="5">
        <f>+$P528*BI528</f>
        <v>0</v>
      </c>
      <c r="X528" s="5">
        <f>+$P528*BJ528</f>
        <v>0</v>
      </c>
      <c r="Y528" s="5">
        <f>+$P528*BK528</f>
        <v>0</v>
      </c>
      <c r="Z528" s="5">
        <f>+$P528*BL528</f>
        <v>0</v>
      </c>
      <c r="AA528" s="5">
        <f>+$P528*BM528</f>
        <v>0</v>
      </c>
      <c r="AB528" s="5">
        <f>+$P528*BN528</f>
        <v>0</v>
      </c>
      <c r="AC528" s="5">
        <v>0</v>
      </c>
      <c r="AD528" s="5">
        <f>+$AC528*BC528</f>
        <v>0</v>
      </c>
      <c r="AE528" s="5">
        <f>+$AC528*BD528</f>
        <v>0</v>
      </c>
      <c r="AF528" s="5">
        <f>+$AC528*BE528</f>
        <v>0</v>
      </c>
      <c r="AG528" s="5">
        <f>+$AC528*BF528</f>
        <v>0</v>
      </c>
      <c r="AH528" s="5">
        <f>+$AC528*BG528</f>
        <v>0</v>
      </c>
      <c r="AI528" s="5">
        <f>+$AC528*BH528</f>
        <v>0</v>
      </c>
      <c r="AJ528" s="5">
        <f>+$AC528*BI528</f>
        <v>0</v>
      </c>
      <c r="AK528" s="5">
        <f>+$AC528*BJ528</f>
        <v>0</v>
      </c>
      <c r="AL528" s="5">
        <f>+$AC528*BK528</f>
        <v>0</v>
      </c>
      <c r="AM528" s="5">
        <f>+$AC528*BL528</f>
        <v>0</v>
      </c>
      <c r="AN528" s="5">
        <f>+$AC528*BM528</f>
        <v>0</v>
      </c>
      <c r="AO528" s="5">
        <f>+$AC528*BN528</f>
        <v>0</v>
      </c>
      <c r="AP528" s="5">
        <f>+AC528+P528+C528</f>
        <v>0</v>
      </c>
      <c r="AQ528" s="1">
        <v>5.3366249063727365</v>
      </c>
      <c r="AR528" s="1">
        <v>6.3821022854536071</v>
      </c>
      <c r="AS528" s="1">
        <v>5.6482072923770907</v>
      </c>
      <c r="AT528" s="1">
        <v>4.2782996881340614</v>
      </c>
      <c r="AU528" s="1">
        <v>6.2045533714251988</v>
      </c>
      <c r="AV528" s="1">
        <v>5.084624604200271</v>
      </c>
      <c r="AW528" s="1">
        <v>5.0620977120154009</v>
      </c>
      <c r="AX528" s="1">
        <v>3.4376347908927531</v>
      </c>
      <c r="AY528" s="1">
        <v>5.0956065243581596</v>
      </c>
      <c r="AZ528" s="1">
        <v>4.4376182453560249</v>
      </c>
      <c r="BA528" s="1">
        <v>4.5309764412556932</v>
      </c>
      <c r="BB528" s="1">
        <v>4.4255006724420296</v>
      </c>
      <c r="BC528" s="2">
        <v>8.9181565948742242E-2</v>
      </c>
      <c r="BD528" s="2">
        <v>0.10665277883445198</v>
      </c>
      <c r="BE528" s="2">
        <v>9.438849084854764E-2</v>
      </c>
      <c r="BF528" s="2">
        <v>7.149564986855049E-2</v>
      </c>
      <c r="BG528" s="2">
        <v>0.10368571810536763</v>
      </c>
      <c r="BH528" s="2">
        <v>8.4970330952544637E-2</v>
      </c>
      <c r="BI528" s="2">
        <v>8.4593878877262704E-2</v>
      </c>
      <c r="BJ528" s="2">
        <v>5.7447105462779965E-2</v>
      </c>
      <c r="BK528" s="2">
        <v>8.5153852345557474E-2</v>
      </c>
      <c r="BL528" s="2">
        <v>7.4158058913035174E-2</v>
      </c>
      <c r="BM528" s="2">
        <v>7.5718189192107169E-2</v>
      </c>
      <c r="BN528" s="2">
        <v>7.3955559365675619E-2</v>
      </c>
    </row>
    <row r="529" spans="1:66" x14ac:dyDescent="0.25">
      <c r="A529" s="8">
        <v>1744</v>
      </c>
      <c r="B529" s="8" t="s">
        <v>467</v>
      </c>
      <c r="C529" s="5">
        <v>15000</v>
      </c>
      <c r="D529" s="5">
        <f>+$C529*BC529</f>
        <v>1337.7234892311337</v>
      </c>
      <c r="E529" s="5">
        <f>+$C529*BD529</f>
        <v>1599.7916825167797</v>
      </c>
      <c r="F529" s="5">
        <f>+$C529*BE529</f>
        <v>1415.8273627282147</v>
      </c>
      <c r="G529" s="5">
        <f>+$C529*BF529</f>
        <v>1072.4347480282574</v>
      </c>
      <c r="H529" s="5">
        <f>+$C529*BG529</f>
        <v>1555.2857715805144</v>
      </c>
      <c r="I529" s="5">
        <f>+$C529*BH529</f>
        <v>1274.5549642881695</v>
      </c>
      <c r="J529" s="5">
        <f>+$C529*BI529</f>
        <v>1268.9081831589406</v>
      </c>
      <c r="K529" s="5">
        <f>+$C529*BJ529</f>
        <v>861.70658194169948</v>
      </c>
      <c r="L529" s="5">
        <f>+$C529*BK529</f>
        <v>1277.3077851833621</v>
      </c>
      <c r="M529" s="5">
        <f>+$C529*BL529</f>
        <v>1112.3708836955277</v>
      </c>
      <c r="N529" s="5">
        <f>+$C529*BM529</f>
        <v>1135.7728378816075</v>
      </c>
      <c r="O529" s="5">
        <f>+$C529*BN529</f>
        <v>1109.3333904851343</v>
      </c>
      <c r="P529" s="5">
        <v>5000</v>
      </c>
      <c r="Q529" s="5">
        <f>+$P529*BC529</f>
        <v>445.9078297437112</v>
      </c>
      <c r="R529" s="5">
        <f>+$P529*BD529</f>
        <v>533.26389417225994</v>
      </c>
      <c r="S529" s="5">
        <f>+$P529*BE529</f>
        <v>471.94245424273822</v>
      </c>
      <c r="T529" s="5">
        <f>+$P529*BF529</f>
        <v>357.47824934275246</v>
      </c>
      <c r="U529" s="5">
        <f>+$P529*BG529</f>
        <v>518.42859052683809</v>
      </c>
      <c r="V529" s="5">
        <f>+$P529*BH529</f>
        <v>424.85165476272317</v>
      </c>
      <c r="W529" s="5">
        <f>+$P529*BI529</f>
        <v>422.96939438631352</v>
      </c>
      <c r="X529" s="5">
        <f>+$P529*BJ529</f>
        <v>287.23552731389981</v>
      </c>
      <c r="Y529" s="5">
        <f>+$P529*BK529</f>
        <v>425.76926172778735</v>
      </c>
      <c r="Z529" s="5">
        <f>+$P529*BL529</f>
        <v>370.79029456517588</v>
      </c>
      <c r="AA529" s="5">
        <f>+$P529*BM529</f>
        <v>378.59094596053586</v>
      </c>
      <c r="AB529" s="5">
        <f>+$P529*BN529</f>
        <v>369.77779682837809</v>
      </c>
      <c r="AC529" s="5">
        <v>0</v>
      </c>
      <c r="AD529" s="5">
        <f>+$AC529*BC529</f>
        <v>0</v>
      </c>
      <c r="AE529" s="5">
        <f>+$AC529*BD529</f>
        <v>0</v>
      </c>
      <c r="AF529" s="5">
        <f>+$AC529*BE529</f>
        <v>0</v>
      </c>
      <c r="AG529" s="5">
        <f>+$AC529*BF529</f>
        <v>0</v>
      </c>
      <c r="AH529" s="5">
        <f>+$AC529*BG529</f>
        <v>0</v>
      </c>
      <c r="AI529" s="5">
        <f>+$AC529*BH529</f>
        <v>0</v>
      </c>
      <c r="AJ529" s="5">
        <f>+$AC529*BI529</f>
        <v>0</v>
      </c>
      <c r="AK529" s="5">
        <f>+$AC529*BJ529</f>
        <v>0</v>
      </c>
      <c r="AL529" s="5">
        <f>+$AC529*BK529</f>
        <v>0</v>
      </c>
      <c r="AM529" s="5">
        <f>+$AC529*BL529</f>
        <v>0</v>
      </c>
      <c r="AN529" s="5">
        <f>+$AC529*BM529</f>
        <v>0</v>
      </c>
      <c r="AO529" s="5">
        <f>+$AC529*BN529</f>
        <v>0</v>
      </c>
      <c r="AP529" s="5">
        <f>+AC529+P529+C529</f>
        <v>20000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2">
        <v>8.9181565948742242E-2</v>
      </c>
      <c r="BD529" s="2">
        <v>0.10665277883445198</v>
      </c>
      <c r="BE529" s="2">
        <v>9.438849084854764E-2</v>
      </c>
      <c r="BF529" s="2">
        <v>7.149564986855049E-2</v>
      </c>
      <c r="BG529" s="2">
        <v>0.10368571810536763</v>
      </c>
      <c r="BH529" s="2">
        <v>8.4970330952544637E-2</v>
      </c>
      <c r="BI529" s="2">
        <v>8.4593878877262704E-2</v>
      </c>
      <c r="BJ529" s="2">
        <v>5.7447105462779965E-2</v>
      </c>
      <c r="BK529" s="2">
        <v>8.5153852345557474E-2</v>
      </c>
      <c r="BL529" s="2">
        <v>7.4158058913035174E-2</v>
      </c>
      <c r="BM529" s="2">
        <v>7.5718189192107169E-2</v>
      </c>
      <c r="BN529" s="2">
        <v>7.3955559365675619E-2</v>
      </c>
    </row>
    <row r="530" spans="1:66" x14ac:dyDescent="0.25">
      <c r="A530" s="8">
        <v>1779</v>
      </c>
      <c r="B530" s="8" t="s">
        <v>466</v>
      </c>
      <c r="C530" s="5">
        <v>0</v>
      </c>
      <c r="D530" s="5">
        <f>+$C530*BC530</f>
        <v>0</v>
      </c>
      <c r="E530" s="5">
        <f>+$C530*BD530</f>
        <v>0</v>
      </c>
      <c r="F530" s="5">
        <f>+$C530*BE530</f>
        <v>0</v>
      </c>
      <c r="G530" s="5">
        <f>+$C530*BF530</f>
        <v>0</v>
      </c>
      <c r="H530" s="5">
        <f>+$C530*BG530</f>
        <v>0</v>
      </c>
      <c r="I530" s="5">
        <f>+$C530*BH530</f>
        <v>0</v>
      </c>
      <c r="J530" s="5">
        <f>+$C530*BI530</f>
        <v>0</v>
      </c>
      <c r="K530" s="5">
        <f>+$C530*BJ530</f>
        <v>0</v>
      </c>
      <c r="L530" s="5">
        <f>+$C530*BK530</f>
        <v>0</v>
      </c>
      <c r="M530" s="5">
        <f>+$C530*BL530</f>
        <v>0</v>
      </c>
      <c r="N530" s="5">
        <f>+$C530*BM530</f>
        <v>0</v>
      </c>
      <c r="O530" s="5">
        <f>+$C530*BN530</f>
        <v>0</v>
      </c>
      <c r="P530" s="5">
        <v>0</v>
      </c>
      <c r="Q530" s="5">
        <f>+$P530*BC530</f>
        <v>0</v>
      </c>
      <c r="R530" s="5">
        <f>+$P530*BD530</f>
        <v>0</v>
      </c>
      <c r="S530" s="5">
        <f>+$P530*BE530</f>
        <v>0</v>
      </c>
      <c r="T530" s="5">
        <f>+$P530*BF530</f>
        <v>0</v>
      </c>
      <c r="U530" s="5">
        <f>+$P530*BG530</f>
        <v>0</v>
      </c>
      <c r="V530" s="5">
        <f>+$P530*BH530</f>
        <v>0</v>
      </c>
      <c r="W530" s="5">
        <f>+$P530*BI530</f>
        <v>0</v>
      </c>
      <c r="X530" s="5">
        <f>+$P530*BJ530</f>
        <v>0</v>
      </c>
      <c r="Y530" s="5">
        <f>+$P530*BK530</f>
        <v>0</v>
      </c>
      <c r="Z530" s="5">
        <f>+$P530*BL530</f>
        <v>0</v>
      </c>
      <c r="AA530" s="5">
        <f>+$P530*BM530</f>
        <v>0</v>
      </c>
      <c r="AB530" s="5">
        <f>+$P530*BN530</f>
        <v>0</v>
      </c>
      <c r="AC530" s="5">
        <v>0</v>
      </c>
      <c r="AD530" s="5">
        <f>+$AC530*BC530</f>
        <v>0</v>
      </c>
      <c r="AE530" s="5">
        <f>+$AC530*BD530</f>
        <v>0</v>
      </c>
      <c r="AF530" s="5">
        <f>+$AC530*BE530</f>
        <v>0</v>
      </c>
      <c r="AG530" s="5">
        <f>+$AC530*BF530</f>
        <v>0</v>
      </c>
      <c r="AH530" s="5">
        <f>+$AC530*BG530</f>
        <v>0</v>
      </c>
      <c r="AI530" s="5">
        <f>+$AC530*BH530</f>
        <v>0</v>
      </c>
      <c r="AJ530" s="5">
        <f>+$AC530*BI530</f>
        <v>0</v>
      </c>
      <c r="AK530" s="5">
        <f>+$AC530*BJ530</f>
        <v>0</v>
      </c>
      <c r="AL530" s="5">
        <f>+$AC530*BK530</f>
        <v>0</v>
      </c>
      <c r="AM530" s="5">
        <f>+$AC530*BL530</f>
        <v>0</v>
      </c>
      <c r="AN530" s="5">
        <f>+$AC530*BM530</f>
        <v>0</v>
      </c>
      <c r="AO530" s="5">
        <f>+$AC530*BN530</f>
        <v>0</v>
      </c>
      <c r="AP530" s="5">
        <f>+AC530+P530+C530</f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2">
        <v>8.9181565948742242E-2</v>
      </c>
      <c r="BD530" s="2">
        <v>0.10665277883445198</v>
      </c>
      <c r="BE530" s="2">
        <v>9.438849084854764E-2</v>
      </c>
      <c r="BF530" s="2">
        <v>7.149564986855049E-2</v>
      </c>
      <c r="BG530" s="2">
        <v>0.10368571810536763</v>
      </c>
      <c r="BH530" s="2">
        <v>8.4970330952544637E-2</v>
      </c>
      <c r="BI530" s="2">
        <v>8.4593878877262704E-2</v>
      </c>
      <c r="BJ530" s="2">
        <v>5.7447105462779965E-2</v>
      </c>
      <c r="BK530" s="2">
        <v>8.5153852345557474E-2</v>
      </c>
      <c r="BL530" s="2">
        <v>7.4158058913035174E-2</v>
      </c>
      <c r="BM530" s="2">
        <v>7.5718189192107169E-2</v>
      </c>
      <c r="BN530" s="2">
        <v>7.3955559365675619E-2</v>
      </c>
    </row>
    <row r="531" spans="1:66" x14ac:dyDescent="0.25">
      <c r="A531" s="8">
        <v>1791</v>
      </c>
      <c r="B531" s="8" t="s">
        <v>465</v>
      </c>
      <c r="C531" s="5">
        <v>0</v>
      </c>
      <c r="D531" s="5">
        <f>+$C531*BC531</f>
        <v>0</v>
      </c>
      <c r="E531" s="5">
        <f>+$C531*BD531</f>
        <v>0</v>
      </c>
      <c r="F531" s="5">
        <f>+$C531*BE531</f>
        <v>0</v>
      </c>
      <c r="G531" s="5">
        <f>+$C531*BF531</f>
        <v>0</v>
      </c>
      <c r="H531" s="5">
        <f>+$C531*BG531</f>
        <v>0</v>
      </c>
      <c r="I531" s="5">
        <f>+$C531*BH531</f>
        <v>0</v>
      </c>
      <c r="J531" s="5">
        <f>+$C531*BI531</f>
        <v>0</v>
      </c>
      <c r="K531" s="5">
        <f>+$C531*BJ531</f>
        <v>0</v>
      </c>
      <c r="L531" s="5">
        <f>+$C531*BK531</f>
        <v>0</v>
      </c>
      <c r="M531" s="5">
        <f>+$C531*BL531</f>
        <v>0</v>
      </c>
      <c r="N531" s="5">
        <f>+$C531*BM531</f>
        <v>0</v>
      </c>
      <c r="O531" s="5">
        <f>+$C531*BN531</f>
        <v>0</v>
      </c>
      <c r="P531" s="5">
        <v>0</v>
      </c>
      <c r="Q531" s="5">
        <f>+$P531*BC531</f>
        <v>0</v>
      </c>
      <c r="R531" s="5">
        <f>+$P531*BD531</f>
        <v>0</v>
      </c>
      <c r="S531" s="5">
        <f>+$P531*BE531</f>
        <v>0</v>
      </c>
      <c r="T531" s="5">
        <f>+$P531*BF531</f>
        <v>0</v>
      </c>
      <c r="U531" s="5">
        <f>+$P531*BG531</f>
        <v>0</v>
      </c>
      <c r="V531" s="5">
        <f>+$P531*BH531</f>
        <v>0</v>
      </c>
      <c r="W531" s="5">
        <f>+$P531*BI531</f>
        <v>0</v>
      </c>
      <c r="X531" s="5">
        <f>+$P531*BJ531</f>
        <v>0</v>
      </c>
      <c r="Y531" s="5">
        <f>+$P531*BK531</f>
        <v>0</v>
      </c>
      <c r="Z531" s="5">
        <f>+$P531*BL531</f>
        <v>0</v>
      </c>
      <c r="AA531" s="5">
        <f>+$P531*BM531</f>
        <v>0</v>
      </c>
      <c r="AB531" s="5">
        <f>+$P531*BN531</f>
        <v>0</v>
      </c>
      <c r="AC531" s="5">
        <v>0</v>
      </c>
      <c r="AD531" s="5">
        <f>+$AC531*BC531</f>
        <v>0</v>
      </c>
      <c r="AE531" s="5">
        <f>+$AC531*BD531</f>
        <v>0</v>
      </c>
      <c r="AF531" s="5">
        <f>+$AC531*BE531</f>
        <v>0</v>
      </c>
      <c r="AG531" s="5">
        <f>+$AC531*BF531</f>
        <v>0</v>
      </c>
      <c r="AH531" s="5">
        <f>+$AC531*BG531</f>
        <v>0</v>
      </c>
      <c r="AI531" s="5">
        <f>+$AC531*BH531</f>
        <v>0</v>
      </c>
      <c r="AJ531" s="5">
        <f>+$AC531*BI531</f>
        <v>0</v>
      </c>
      <c r="AK531" s="5">
        <f>+$AC531*BJ531</f>
        <v>0</v>
      </c>
      <c r="AL531" s="5">
        <f>+$AC531*BK531</f>
        <v>0</v>
      </c>
      <c r="AM531" s="5">
        <f>+$AC531*BL531</f>
        <v>0</v>
      </c>
      <c r="AN531" s="5">
        <f>+$AC531*BM531</f>
        <v>0</v>
      </c>
      <c r="AO531" s="5">
        <f>+$AC531*BN531</f>
        <v>0</v>
      </c>
      <c r="AP531" s="5">
        <f>+AC531+P531+C531</f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2">
        <v>8.9181565948742242E-2</v>
      </c>
      <c r="BD531" s="2">
        <v>0.10665277883445198</v>
      </c>
      <c r="BE531" s="2">
        <v>9.438849084854764E-2</v>
      </c>
      <c r="BF531" s="2">
        <v>7.149564986855049E-2</v>
      </c>
      <c r="BG531" s="2">
        <v>0.10368571810536763</v>
      </c>
      <c r="BH531" s="2">
        <v>8.4970330952544637E-2</v>
      </c>
      <c r="BI531" s="2">
        <v>8.4593878877262704E-2</v>
      </c>
      <c r="BJ531" s="2">
        <v>5.7447105462779965E-2</v>
      </c>
      <c r="BK531" s="2">
        <v>8.5153852345557474E-2</v>
      </c>
      <c r="BL531" s="2">
        <v>7.4158058913035174E-2</v>
      </c>
      <c r="BM531" s="2">
        <v>7.5718189192107169E-2</v>
      </c>
      <c r="BN531" s="2">
        <v>7.3955559365675619E-2</v>
      </c>
    </row>
    <row r="532" spans="1:66" x14ac:dyDescent="0.25">
      <c r="A532" s="8">
        <v>1797</v>
      </c>
      <c r="B532" s="8" t="s">
        <v>464</v>
      </c>
      <c r="C532" s="5">
        <v>0</v>
      </c>
      <c r="D532" s="5">
        <f>+$C532*BC532</f>
        <v>0</v>
      </c>
      <c r="E532" s="5">
        <f>+$C532*BD532</f>
        <v>0</v>
      </c>
      <c r="F532" s="5">
        <f>+$C532*BE532</f>
        <v>0</v>
      </c>
      <c r="G532" s="5">
        <f>+$C532*BF532</f>
        <v>0</v>
      </c>
      <c r="H532" s="5">
        <f>+$C532*BG532</f>
        <v>0</v>
      </c>
      <c r="I532" s="5">
        <f>+$C532*BH532</f>
        <v>0</v>
      </c>
      <c r="J532" s="5">
        <f>+$C532*BI532</f>
        <v>0</v>
      </c>
      <c r="K532" s="5">
        <f>+$C532*BJ532</f>
        <v>0</v>
      </c>
      <c r="L532" s="5">
        <f>+$C532*BK532</f>
        <v>0</v>
      </c>
      <c r="M532" s="5">
        <f>+$C532*BL532</f>
        <v>0</v>
      </c>
      <c r="N532" s="5">
        <f>+$C532*BM532</f>
        <v>0</v>
      </c>
      <c r="O532" s="5">
        <f>+$C532*BN532</f>
        <v>0</v>
      </c>
      <c r="P532" s="5">
        <v>0</v>
      </c>
      <c r="Q532" s="5">
        <f>+$P532*BC532</f>
        <v>0</v>
      </c>
      <c r="R532" s="5">
        <f>+$P532*BD532</f>
        <v>0</v>
      </c>
      <c r="S532" s="5">
        <f>+$P532*BE532</f>
        <v>0</v>
      </c>
      <c r="T532" s="5">
        <f>+$P532*BF532</f>
        <v>0</v>
      </c>
      <c r="U532" s="5">
        <f>+$P532*BG532</f>
        <v>0</v>
      </c>
      <c r="V532" s="5">
        <f>+$P532*BH532</f>
        <v>0</v>
      </c>
      <c r="W532" s="5">
        <f>+$P532*BI532</f>
        <v>0</v>
      </c>
      <c r="X532" s="5">
        <f>+$P532*BJ532</f>
        <v>0</v>
      </c>
      <c r="Y532" s="5">
        <f>+$P532*BK532</f>
        <v>0</v>
      </c>
      <c r="Z532" s="5">
        <f>+$P532*BL532</f>
        <v>0</v>
      </c>
      <c r="AA532" s="5">
        <f>+$P532*BM532</f>
        <v>0</v>
      </c>
      <c r="AB532" s="5">
        <f>+$P532*BN532</f>
        <v>0</v>
      </c>
      <c r="AC532" s="5">
        <v>0</v>
      </c>
      <c r="AD532" s="5">
        <f>+$AC532*BC532</f>
        <v>0</v>
      </c>
      <c r="AE532" s="5">
        <f>+$AC532*BD532</f>
        <v>0</v>
      </c>
      <c r="AF532" s="5">
        <f>+$AC532*BE532</f>
        <v>0</v>
      </c>
      <c r="AG532" s="5">
        <f>+$AC532*BF532</f>
        <v>0</v>
      </c>
      <c r="AH532" s="5">
        <f>+$AC532*BG532</f>
        <v>0</v>
      </c>
      <c r="AI532" s="5">
        <f>+$AC532*BH532</f>
        <v>0</v>
      </c>
      <c r="AJ532" s="5">
        <f>+$AC532*BI532</f>
        <v>0</v>
      </c>
      <c r="AK532" s="5">
        <f>+$AC532*BJ532</f>
        <v>0</v>
      </c>
      <c r="AL532" s="5">
        <f>+$AC532*BK532</f>
        <v>0</v>
      </c>
      <c r="AM532" s="5">
        <f>+$AC532*BL532</f>
        <v>0</v>
      </c>
      <c r="AN532" s="5">
        <f>+$AC532*BM532</f>
        <v>0</v>
      </c>
      <c r="AO532" s="5">
        <f>+$AC532*BN532</f>
        <v>0</v>
      </c>
      <c r="AP532" s="5">
        <f>+AC532+P532+C532</f>
        <v>0</v>
      </c>
      <c r="AQ532" s="1">
        <v>87.995451121623972</v>
      </c>
      <c r="AR532" s="1">
        <v>105.23429687595377</v>
      </c>
      <c r="AS532" s="1">
        <v>93.133123920261966</v>
      </c>
      <c r="AT532" s="1">
        <v>70.544757725298766</v>
      </c>
      <c r="AU532" s="1">
        <v>102.30669805456624</v>
      </c>
      <c r="AV532" s="1">
        <v>83.8402255508758</v>
      </c>
      <c r="AW532" s="1">
        <v>83.46878028819512</v>
      </c>
      <c r="AX532" s="1">
        <v>56.683058960124995</v>
      </c>
      <c r="AY532" s="1">
        <v>84.021306109361561</v>
      </c>
      <c r="AZ532" s="1">
        <v>73.171756729491804</v>
      </c>
      <c r="BA532" s="1">
        <v>74.711137275852153</v>
      </c>
      <c r="BB532" s="1">
        <v>72.97195042611213</v>
      </c>
      <c r="BC532" s="2">
        <v>8.9181565948742242E-2</v>
      </c>
      <c r="BD532" s="2">
        <v>0.10665277883445198</v>
      </c>
      <c r="BE532" s="2">
        <v>9.438849084854764E-2</v>
      </c>
      <c r="BF532" s="2">
        <v>7.149564986855049E-2</v>
      </c>
      <c r="BG532" s="2">
        <v>0.10368571810536763</v>
      </c>
      <c r="BH532" s="2">
        <v>8.4970330952544637E-2</v>
      </c>
      <c r="BI532" s="2">
        <v>8.4593878877262704E-2</v>
      </c>
      <c r="BJ532" s="2">
        <v>5.7447105462779965E-2</v>
      </c>
      <c r="BK532" s="2">
        <v>8.5153852345557474E-2</v>
      </c>
      <c r="BL532" s="2">
        <v>7.4158058913035174E-2</v>
      </c>
      <c r="BM532" s="2">
        <v>7.5718189192107169E-2</v>
      </c>
      <c r="BN532" s="2">
        <v>7.3955559365675619E-2</v>
      </c>
    </row>
    <row r="533" spans="1:66" x14ac:dyDescent="0.25">
      <c r="A533" s="8">
        <v>1809</v>
      </c>
      <c r="B533" s="8" t="s">
        <v>463</v>
      </c>
      <c r="C533" s="5">
        <v>0</v>
      </c>
      <c r="D533" s="5">
        <f>+$C533*BC533</f>
        <v>0</v>
      </c>
      <c r="E533" s="5">
        <f>+$C533*BD533</f>
        <v>0</v>
      </c>
      <c r="F533" s="5">
        <f>+$C533*BE533</f>
        <v>0</v>
      </c>
      <c r="G533" s="5">
        <f>+$C533*BF533</f>
        <v>0</v>
      </c>
      <c r="H533" s="5">
        <f>+$C533*BG533</f>
        <v>0</v>
      </c>
      <c r="I533" s="5">
        <f>+$C533*BH533</f>
        <v>0</v>
      </c>
      <c r="J533" s="5">
        <f>+$C533*BI533</f>
        <v>0</v>
      </c>
      <c r="K533" s="5">
        <f>+$C533*BJ533</f>
        <v>0</v>
      </c>
      <c r="L533" s="5">
        <f>+$C533*BK533</f>
        <v>0</v>
      </c>
      <c r="M533" s="5">
        <f>+$C533*BL533</f>
        <v>0</v>
      </c>
      <c r="N533" s="5">
        <f>+$C533*BM533</f>
        <v>0</v>
      </c>
      <c r="O533" s="5">
        <f>+$C533*BN533</f>
        <v>0</v>
      </c>
      <c r="P533" s="5">
        <v>0</v>
      </c>
      <c r="Q533" s="5">
        <f>+$P533*BC533</f>
        <v>0</v>
      </c>
      <c r="R533" s="5">
        <f>+$P533*BD533</f>
        <v>0</v>
      </c>
      <c r="S533" s="5">
        <f>+$P533*BE533</f>
        <v>0</v>
      </c>
      <c r="T533" s="5">
        <f>+$P533*BF533</f>
        <v>0</v>
      </c>
      <c r="U533" s="5">
        <f>+$P533*BG533</f>
        <v>0</v>
      </c>
      <c r="V533" s="5">
        <f>+$P533*BH533</f>
        <v>0</v>
      </c>
      <c r="W533" s="5">
        <f>+$P533*BI533</f>
        <v>0</v>
      </c>
      <c r="X533" s="5">
        <f>+$P533*BJ533</f>
        <v>0</v>
      </c>
      <c r="Y533" s="5">
        <f>+$P533*BK533</f>
        <v>0</v>
      </c>
      <c r="Z533" s="5">
        <f>+$P533*BL533</f>
        <v>0</v>
      </c>
      <c r="AA533" s="5">
        <f>+$P533*BM533</f>
        <v>0</v>
      </c>
      <c r="AB533" s="5">
        <f>+$P533*BN533</f>
        <v>0</v>
      </c>
      <c r="AC533" s="5">
        <v>0</v>
      </c>
      <c r="AD533" s="5">
        <f>+$AC533*BC533</f>
        <v>0</v>
      </c>
      <c r="AE533" s="5">
        <f>+$AC533*BD533</f>
        <v>0</v>
      </c>
      <c r="AF533" s="5">
        <f>+$AC533*BE533</f>
        <v>0</v>
      </c>
      <c r="AG533" s="5">
        <f>+$AC533*BF533</f>
        <v>0</v>
      </c>
      <c r="AH533" s="5">
        <f>+$AC533*BG533</f>
        <v>0</v>
      </c>
      <c r="AI533" s="5">
        <f>+$AC533*BH533</f>
        <v>0</v>
      </c>
      <c r="AJ533" s="5">
        <f>+$AC533*BI533</f>
        <v>0</v>
      </c>
      <c r="AK533" s="5">
        <f>+$AC533*BJ533</f>
        <v>0</v>
      </c>
      <c r="AL533" s="5">
        <f>+$AC533*BK533</f>
        <v>0</v>
      </c>
      <c r="AM533" s="5">
        <f>+$AC533*BL533</f>
        <v>0</v>
      </c>
      <c r="AN533" s="5">
        <f>+$AC533*BM533</f>
        <v>0</v>
      </c>
      <c r="AO533" s="5">
        <f>+$AC533*BN533</f>
        <v>0</v>
      </c>
      <c r="AP533" s="5">
        <f>+AC533+P533+C533</f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2">
        <v>8.9181565948742242E-2</v>
      </c>
      <c r="BD533" s="2">
        <v>0.10665277883445198</v>
      </c>
      <c r="BE533" s="2">
        <v>9.438849084854764E-2</v>
      </c>
      <c r="BF533" s="2">
        <v>7.149564986855049E-2</v>
      </c>
      <c r="BG533" s="2">
        <v>0.10368571810536763</v>
      </c>
      <c r="BH533" s="2">
        <v>8.4970330952544637E-2</v>
      </c>
      <c r="BI533" s="2">
        <v>8.4593878877262704E-2</v>
      </c>
      <c r="BJ533" s="2">
        <v>5.7447105462779965E-2</v>
      </c>
      <c r="BK533" s="2">
        <v>8.5153852345557474E-2</v>
      </c>
      <c r="BL533" s="2">
        <v>7.4158058913035174E-2</v>
      </c>
      <c r="BM533" s="2">
        <v>7.5718189192107169E-2</v>
      </c>
      <c r="BN533" s="2">
        <v>7.3955559365675619E-2</v>
      </c>
    </row>
    <row r="534" spans="1:66" x14ac:dyDescent="0.25">
      <c r="A534" s="8">
        <v>1818</v>
      </c>
      <c r="B534" s="8" t="s">
        <v>462</v>
      </c>
      <c r="C534" s="5">
        <v>0</v>
      </c>
      <c r="D534" s="5">
        <f>+$C534*BC534</f>
        <v>0</v>
      </c>
      <c r="E534" s="5">
        <f>+$C534*BD534</f>
        <v>0</v>
      </c>
      <c r="F534" s="5">
        <f>+$C534*BE534</f>
        <v>0</v>
      </c>
      <c r="G534" s="5">
        <f>+$C534*BF534</f>
        <v>0</v>
      </c>
      <c r="H534" s="5">
        <f>+$C534*BG534</f>
        <v>0</v>
      </c>
      <c r="I534" s="5">
        <f>+$C534*BH534</f>
        <v>0</v>
      </c>
      <c r="J534" s="5">
        <f>+$C534*BI534</f>
        <v>0</v>
      </c>
      <c r="K534" s="5">
        <f>+$C534*BJ534</f>
        <v>0</v>
      </c>
      <c r="L534" s="5">
        <f>+$C534*BK534</f>
        <v>0</v>
      </c>
      <c r="M534" s="5">
        <f>+$C534*BL534</f>
        <v>0</v>
      </c>
      <c r="N534" s="5">
        <f>+$C534*BM534</f>
        <v>0</v>
      </c>
      <c r="O534" s="5">
        <f>+$C534*BN534</f>
        <v>0</v>
      </c>
      <c r="P534" s="5">
        <v>0</v>
      </c>
      <c r="Q534" s="5">
        <f>+$P534*BC534</f>
        <v>0</v>
      </c>
      <c r="R534" s="5">
        <f>+$P534*BD534</f>
        <v>0</v>
      </c>
      <c r="S534" s="5">
        <f>+$P534*BE534</f>
        <v>0</v>
      </c>
      <c r="T534" s="5">
        <f>+$P534*BF534</f>
        <v>0</v>
      </c>
      <c r="U534" s="5">
        <f>+$P534*BG534</f>
        <v>0</v>
      </c>
      <c r="V534" s="5">
        <f>+$P534*BH534</f>
        <v>0</v>
      </c>
      <c r="W534" s="5">
        <f>+$P534*BI534</f>
        <v>0</v>
      </c>
      <c r="X534" s="5">
        <f>+$P534*BJ534</f>
        <v>0</v>
      </c>
      <c r="Y534" s="5">
        <f>+$P534*BK534</f>
        <v>0</v>
      </c>
      <c r="Z534" s="5">
        <f>+$P534*BL534</f>
        <v>0</v>
      </c>
      <c r="AA534" s="5">
        <f>+$P534*BM534</f>
        <v>0</v>
      </c>
      <c r="AB534" s="5">
        <f>+$P534*BN534</f>
        <v>0</v>
      </c>
      <c r="AC534" s="5">
        <v>0</v>
      </c>
      <c r="AD534" s="5">
        <f>+$AC534*BC534</f>
        <v>0</v>
      </c>
      <c r="AE534" s="5">
        <f>+$AC534*BD534</f>
        <v>0</v>
      </c>
      <c r="AF534" s="5">
        <f>+$AC534*BE534</f>
        <v>0</v>
      </c>
      <c r="AG534" s="5">
        <f>+$AC534*BF534</f>
        <v>0</v>
      </c>
      <c r="AH534" s="5">
        <f>+$AC534*BG534</f>
        <v>0</v>
      </c>
      <c r="AI534" s="5">
        <f>+$AC534*BH534</f>
        <v>0</v>
      </c>
      <c r="AJ534" s="5">
        <f>+$AC534*BI534</f>
        <v>0</v>
      </c>
      <c r="AK534" s="5">
        <f>+$AC534*BJ534</f>
        <v>0</v>
      </c>
      <c r="AL534" s="5">
        <f>+$AC534*BK534</f>
        <v>0</v>
      </c>
      <c r="AM534" s="5">
        <f>+$AC534*BL534</f>
        <v>0</v>
      </c>
      <c r="AN534" s="5">
        <f>+$AC534*BM534</f>
        <v>0</v>
      </c>
      <c r="AO534" s="5">
        <f>+$AC534*BN534</f>
        <v>0</v>
      </c>
      <c r="AP534" s="5">
        <f>+AC534+P534+C534</f>
        <v>0</v>
      </c>
      <c r="AQ534" s="1">
        <v>33.20871807546505</v>
      </c>
      <c r="AR534" s="1">
        <v>39.714508560142562</v>
      </c>
      <c r="AS534" s="1">
        <v>35.14763111425539</v>
      </c>
      <c r="AT534" s="1">
        <v>26.622978132851888</v>
      </c>
      <c r="AU534" s="1">
        <v>38.609658222331959</v>
      </c>
      <c r="AV534" s="1">
        <v>31.640572077460959</v>
      </c>
      <c r="AW534" s="1">
        <v>31.500391865284072</v>
      </c>
      <c r="AX534" s="1">
        <v>21.391693555386304</v>
      </c>
      <c r="AY534" s="1">
        <v>31.708910305619934</v>
      </c>
      <c r="AZ534" s="1">
        <v>27.614384713564739</v>
      </c>
      <c r="BA534" s="1">
        <v>28.195333545843337</v>
      </c>
      <c r="BB534" s="1">
        <v>27.538979552115368</v>
      </c>
      <c r="BC534" s="2">
        <v>8.9181565948742242E-2</v>
      </c>
      <c r="BD534" s="2">
        <v>0.10665277883445198</v>
      </c>
      <c r="BE534" s="2">
        <v>9.438849084854764E-2</v>
      </c>
      <c r="BF534" s="2">
        <v>7.149564986855049E-2</v>
      </c>
      <c r="BG534" s="2">
        <v>0.10368571810536763</v>
      </c>
      <c r="BH534" s="2">
        <v>8.4970330952544637E-2</v>
      </c>
      <c r="BI534" s="2">
        <v>8.4593878877262704E-2</v>
      </c>
      <c r="BJ534" s="2">
        <v>5.7447105462779965E-2</v>
      </c>
      <c r="BK534" s="2">
        <v>8.5153852345557474E-2</v>
      </c>
      <c r="BL534" s="2">
        <v>7.4158058913035174E-2</v>
      </c>
      <c r="BM534" s="2">
        <v>7.5718189192107169E-2</v>
      </c>
      <c r="BN534" s="2">
        <v>7.3955559365675619E-2</v>
      </c>
    </row>
    <row r="535" spans="1:66" x14ac:dyDescent="0.25">
      <c r="A535" s="8">
        <v>1823</v>
      </c>
      <c r="B535" s="8" t="s">
        <v>461</v>
      </c>
      <c r="C535" s="5">
        <v>0</v>
      </c>
      <c r="D535" s="5">
        <f>+$C535*BC535</f>
        <v>0</v>
      </c>
      <c r="E535" s="5">
        <f>+$C535*BD535</f>
        <v>0</v>
      </c>
      <c r="F535" s="5">
        <f>+$C535*BE535</f>
        <v>0</v>
      </c>
      <c r="G535" s="5">
        <f>+$C535*BF535</f>
        <v>0</v>
      </c>
      <c r="H535" s="5">
        <f>+$C535*BG535</f>
        <v>0</v>
      </c>
      <c r="I535" s="5">
        <f>+$C535*BH535</f>
        <v>0</v>
      </c>
      <c r="J535" s="5">
        <f>+$C535*BI535</f>
        <v>0</v>
      </c>
      <c r="K535" s="5">
        <f>+$C535*BJ535</f>
        <v>0</v>
      </c>
      <c r="L535" s="5">
        <f>+$C535*BK535</f>
        <v>0</v>
      </c>
      <c r="M535" s="5">
        <f>+$C535*BL535</f>
        <v>0</v>
      </c>
      <c r="N535" s="5">
        <f>+$C535*BM535</f>
        <v>0</v>
      </c>
      <c r="O535" s="5">
        <f>+$C535*BN535</f>
        <v>0</v>
      </c>
      <c r="P535" s="5">
        <v>2000</v>
      </c>
      <c r="Q535" s="5">
        <f>+$P535*BC535</f>
        <v>178.36313189748449</v>
      </c>
      <c r="R535" s="5">
        <f>+$P535*BD535</f>
        <v>213.30555766890396</v>
      </c>
      <c r="S535" s="5">
        <f>+$P535*BE535</f>
        <v>188.77698169709529</v>
      </c>
      <c r="T535" s="5">
        <f>+$P535*BF535</f>
        <v>142.99129973710097</v>
      </c>
      <c r="U535" s="5">
        <f>+$P535*BG535</f>
        <v>207.37143621073525</v>
      </c>
      <c r="V535" s="5">
        <f>+$P535*BH535</f>
        <v>169.94066190508929</v>
      </c>
      <c r="W535" s="5">
        <f>+$P535*BI535</f>
        <v>169.18775775452542</v>
      </c>
      <c r="X535" s="5">
        <f>+$P535*BJ535</f>
        <v>114.89421092555993</v>
      </c>
      <c r="Y535" s="5">
        <f>+$P535*BK535</f>
        <v>170.30770469111494</v>
      </c>
      <c r="Z535" s="5">
        <f>+$P535*BL535</f>
        <v>148.31611782607035</v>
      </c>
      <c r="AA535" s="5">
        <f>+$P535*BM535</f>
        <v>151.43637838421435</v>
      </c>
      <c r="AB535" s="5">
        <f>+$P535*BN535</f>
        <v>147.91111873135125</v>
      </c>
      <c r="AC535" s="5">
        <v>0</v>
      </c>
      <c r="AD535" s="5">
        <f>+$AC535*BC535</f>
        <v>0</v>
      </c>
      <c r="AE535" s="5">
        <f>+$AC535*BD535</f>
        <v>0</v>
      </c>
      <c r="AF535" s="5">
        <f>+$AC535*BE535</f>
        <v>0</v>
      </c>
      <c r="AG535" s="5">
        <f>+$AC535*BF535</f>
        <v>0</v>
      </c>
      <c r="AH535" s="5">
        <f>+$AC535*BG535</f>
        <v>0</v>
      </c>
      <c r="AI535" s="5">
        <f>+$AC535*BH535</f>
        <v>0</v>
      </c>
      <c r="AJ535" s="5">
        <f>+$AC535*BI535</f>
        <v>0</v>
      </c>
      <c r="AK535" s="5">
        <f>+$AC535*BJ535</f>
        <v>0</v>
      </c>
      <c r="AL535" s="5">
        <f>+$AC535*BK535</f>
        <v>0</v>
      </c>
      <c r="AM535" s="5">
        <f>+$AC535*BL535</f>
        <v>0</v>
      </c>
      <c r="AN535" s="5">
        <f>+$AC535*BM535</f>
        <v>0</v>
      </c>
      <c r="AO535" s="5">
        <f>+$AC535*BN535</f>
        <v>0</v>
      </c>
      <c r="AP535" s="5">
        <f>+AC535+P535+C535</f>
        <v>2000</v>
      </c>
      <c r="AQ535" s="1">
        <v>9.9473118659227122</v>
      </c>
      <c r="AR535" s="1">
        <v>11.896050951194777</v>
      </c>
      <c r="AS535" s="1">
        <v>10.528092269247006</v>
      </c>
      <c r="AT535" s="1">
        <v>7.974624786338123</v>
      </c>
      <c r="AU535" s="1">
        <v>11.565104997472707</v>
      </c>
      <c r="AV535" s="1">
        <v>9.4775907144468299</v>
      </c>
      <c r="AW535" s="1">
        <v>9.4356012499698831</v>
      </c>
      <c r="AX535" s="1">
        <v>6.4076501433184783</v>
      </c>
      <c r="AY535" s="1">
        <v>9.4980606906234826</v>
      </c>
      <c r="AZ535" s="1">
        <v>8.2715898911599446</v>
      </c>
      <c r="BA535" s="1">
        <v>8.4456068224876351</v>
      </c>
      <c r="BB535" s="1">
        <v>8.2490030916474595</v>
      </c>
      <c r="BC535" s="2">
        <v>8.9181565948742242E-2</v>
      </c>
      <c r="BD535" s="2">
        <v>0.10665277883445198</v>
      </c>
      <c r="BE535" s="2">
        <v>9.438849084854764E-2</v>
      </c>
      <c r="BF535" s="2">
        <v>7.149564986855049E-2</v>
      </c>
      <c r="BG535" s="2">
        <v>0.10368571810536763</v>
      </c>
      <c r="BH535" s="2">
        <v>8.4970330952544637E-2</v>
      </c>
      <c r="BI535" s="2">
        <v>8.4593878877262704E-2</v>
      </c>
      <c r="BJ535" s="2">
        <v>5.7447105462779965E-2</v>
      </c>
      <c r="BK535" s="2">
        <v>8.5153852345557474E-2</v>
      </c>
      <c r="BL535" s="2">
        <v>7.4158058913035174E-2</v>
      </c>
      <c r="BM535" s="2">
        <v>7.5718189192107169E-2</v>
      </c>
      <c r="BN535" s="2">
        <v>7.3955559365675619E-2</v>
      </c>
    </row>
    <row r="536" spans="1:66" x14ac:dyDescent="0.25">
      <c r="A536" s="8">
        <v>1880</v>
      </c>
      <c r="B536" s="8" t="s">
        <v>460</v>
      </c>
      <c r="C536" s="5">
        <v>300</v>
      </c>
      <c r="D536" s="5">
        <f>+$C536*BC536</f>
        <v>26.754469784622671</v>
      </c>
      <c r="E536" s="5">
        <f>+$C536*BD536</f>
        <v>31.995833650335594</v>
      </c>
      <c r="F536" s="5">
        <f>+$C536*BE536</f>
        <v>28.316547254564291</v>
      </c>
      <c r="G536" s="5">
        <f>+$C536*BF536</f>
        <v>21.448694960565145</v>
      </c>
      <c r="H536" s="5">
        <f>+$C536*BG536</f>
        <v>31.105715431610289</v>
      </c>
      <c r="I536" s="5">
        <f>+$C536*BH536</f>
        <v>25.49109928576339</v>
      </c>
      <c r="J536" s="5">
        <f>+$C536*BI536</f>
        <v>25.37816366317881</v>
      </c>
      <c r="K536" s="5">
        <f>+$C536*BJ536</f>
        <v>17.23413163883399</v>
      </c>
      <c r="L536" s="5">
        <f>+$C536*BK536</f>
        <v>25.546155703667242</v>
      </c>
      <c r="M536" s="5">
        <f>+$C536*BL536</f>
        <v>22.247417673910551</v>
      </c>
      <c r="N536" s="5">
        <f>+$C536*BM536</f>
        <v>22.71545675763215</v>
      </c>
      <c r="O536" s="5">
        <f>+$C536*BN536</f>
        <v>22.186667809702687</v>
      </c>
      <c r="P536" s="5">
        <v>0</v>
      </c>
      <c r="Q536" s="5">
        <f>+$P536*BC536</f>
        <v>0</v>
      </c>
      <c r="R536" s="5">
        <f>+$P536*BD536</f>
        <v>0</v>
      </c>
      <c r="S536" s="5">
        <f>+$P536*BE536</f>
        <v>0</v>
      </c>
      <c r="T536" s="5">
        <f>+$P536*BF536</f>
        <v>0</v>
      </c>
      <c r="U536" s="5">
        <f>+$P536*BG536</f>
        <v>0</v>
      </c>
      <c r="V536" s="5">
        <f>+$P536*BH536</f>
        <v>0</v>
      </c>
      <c r="W536" s="5">
        <f>+$P536*BI536</f>
        <v>0</v>
      </c>
      <c r="X536" s="5">
        <f>+$P536*BJ536</f>
        <v>0</v>
      </c>
      <c r="Y536" s="5">
        <f>+$P536*BK536</f>
        <v>0</v>
      </c>
      <c r="Z536" s="5">
        <f>+$P536*BL536</f>
        <v>0</v>
      </c>
      <c r="AA536" s="5">
        <f>+$P536*BM536</f>
        <v>0</v>
      </c>
      <c r="AB536" s="5">
        <f>+$P536*BN536</f>
        <v>0</v>
      </c>
      <c r="AC536" s="5">
        <v>0</v>
      </c>
      <c r="AD536" s="5">
        <f>+$AC536*BC536</f>
        <v>0</v>
      </c>
      <c r="AE536" s="5">
        <f>+$AC536*BD536</f>
        <v>0</v>
      </c>
      <c r="AF536" s="5">
        <f>+$AC536*BE536</f>
        <v>0</v>
      </c>
      <c r="AG536" s="5">
        <f>+$AC536*BF536</f>
        <v>0</v>
      </c>
      <c r="AH536" s="5">
        <f>+$AC536*BG536</f>
        <v>0</v>
      </c>
      <c r="AI536" s="5">
        <f>+$AC536*BH536</f>
        <v>0</v>
      </c>
      <c r="AJ536" s="5">
        <f>+$AC536*BI536</f>
        <v>0</v>
      </c>
      <c r="AK536" s="5">
        <f>+$AC536*BJ536</f>
        <v>0</v>
      </c>
      <c r="AL536" s="5">
        <f>+$AC536*BK536</f>
        <v>0</v>
      </c>
      <c r="AM536" s="5">
        <f>+$AC536*BL536</f>
        <v>0</v>
      </c>
      <c r="AN536" s="5">
        <f>+$AC536*BM536</f>
        <v>0</v>
      </c>
      <c r="AO536" s="5">
        <f>+$AC536*BN536</f>
        <v>0</v>
      </c>
      <c r="AP536" s="5">
        <f>+AC536+P536+C536</f>
        <v>300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2">
        <v>8.9181565948742242E-2</v>
      </c>
      <c r="BD536" s="2">
        <v>0.10665277883445198</v>
      </c>
      <c r="BE536" s="2">
        <v>9.438849084854764E-2</v>
      </c>
      <c r="BF536" s="2">
        <v>7.149564986855049E-2</v>
      </c>
      <c r="BG536" s="2">
        <v>0.10368571810536763</v>
      </c>
      <c r="BH536" s="2">
        <v>8.4970330952544637E-2</v>
      </c>
      <c r="BI536" s="2">
        <v>8.4593878877262704E-2</v>
      </c>
      <c r="BJ536" s="2">
        <v>5.7447105462779965E-2</v>
      </c>
      <c r="BK536" s="2">
        <v>8.5153852345557474E-2</v>
      </c>
      <c r="BL536" s="2">
        <v>7.4158058913035174E-2</v>
      </c>
      <c r="BM536" s="2">
        <v>7.5718189192107169E-2</v>
      </c>
      <c r="BN536" s="2">
        <v>7.3955559365675619E-2</v>
      </c>
    </row>
    <row r="537" spans="1:66" x14ac:dyDescent="0.25">
      <c r="A537" s="8">
        <v>2030</v>
      </c>
      <c r="B537" s="8" t="s">
        <v>459</v>
      </c>
      <c r="C537" s="5">
        <v>0</v>
      </c>
      <c r="D537" s="5">
        <f>+$C537*BC537</f>
        <v>0</v>
      </c>
      <c r="E537" s="5">
        <f>+$C537*BD537</f>
        <v>0</v>
      </c>
      <c r="F537" s="5">
        <f>+$C537*BE537</f>
        <v>0</v>
      </c>
      <c r="G537" s="5">
        <f>+$C537*BF537</f>
        <v>0</v>
      </c>
      <c r="H537" s="5">
        <f>+$C537*BG537</f>
        <v>0</v>
      </c>
      <c r="I537" s="5">
        <f>+$C537*BH537</f>
        <v>0</v>
      </c>
      <c r="J537" s="5">
        <f>+$C537*BI537</f>
        <v>0</v>
      </c>
      <c r="K537" s="5">
        <f>+$C537*BJ537</f>
        <v>0</v>
      </c>
      <c r="L537" s="5">
        <f>+$C537*BK537</f>
        <v>0</v>
      </c>
      <c r="M537" s="5">
        <f>+$C537*BL537</f>
        <v>0</v>
      </c>
      <c r="N537" s="5">
        <f>+$C537*BM537</f>
        <v>0</v>
      </c>
      <c r="O537" s="5">
        <f>+$C537*BN537</f>
        <v>0</v>
      </c>
      <c r="P537" s="5">
        <v>1500</v>
      </c>
      <c r="Q537" s="5">
        <f>+$P537*BC537</f>
        <v>133.77234892311336</v>
      </c>
      <c r="R537" s="5">
        <f>+$P537*BD537</f>
        <v>159.97916825167798</v>
      </c>
      <c r="S537" s="5">
        <f>+$P537*BE537</f>
        <v>141.58273627282145</v>
      </c>
      <c r="T537" s="5">
        <f>+$P537*BF537</f>
        <v>107.24347480282573</v>
      </c>
      <c r="U537" s="5">
        <f>+$P537*BG537</f>
        <v>155.52857715805143</v>
      </c>
      <c r="V537" s="5">
        <f>+$P537*BH537</f>
        <v>127.45549642881696</v>
      </c>
      <c r="W537" s="5">
        <f>+$P537*BI537</f>
        <v>126.89081831589405</v>
      </c>
      <c r="X537" s="5">
        <f>+$P537*BJ537</f>
        <v>86.170658194169945</v>
      </c>
      <c r="Y537" s="5">
        <f>+$P537*BK537</f>
        <v>127.73077851833621</v>
      </c>
      <c r="Z537" s="5">
        <f>+$P537*BL537</f>
        <v>111.23708836955277</v>
      </c>
      <c r="AA537" s="5">
        <f>+$P537*BM537</f>
        <v>113.57728378816076</v>
      </c>
      <c r="AB537" s="5">
        <f>+$P537*BN537</f>
        <v>110.93333904851343</v>
      </c>
      <c r="AC537" s="5">
        <v>0</v>
      </c>
      <c r="AD537" s="5">
        <f>+$AC537*BC537</f>
        <v>0</v>
      </c>
      <c r="AE537" s="5">
        <f>+$AC537*BD537</f>
        <v>0</v>
      </c>
      <c r="AF537" s="5">
        <f>+$AC537*BE537</f>
        <v>0</v>
      </c>
      <c r="AG537" s="5">
        <f>+$AC537*BF537</f>
        <v>0</v>
      </c>
      <c r="AH537" s="5">
        <f>+$AC537*BG537</f>
        <v>0</v>
      </c>
      <c r="AI537" s="5">
        <f>+$AC537*BH537</f>
        <v>0</v>
      </c>
      <c r="AJ537" s="5">
        <f>+$AC537*BI537</f>
        <v>0</v>
      </c>
      <c r="AK537" s="5">
        <f>+$AC537*BJ537</f>
        <v>0</v>
      </c>
      <c r="AL537" s="5">
        <f>+$AC537*BK537</f>
        <v>0</v>
      </c>
      <c r="AM537" s="5">
        <f>+$AC537*BL537</f>
        <v>0</v>
      </c>
      <c r="AN537" s="5">
        <f>+$AC537*BM537</f>
        <v>0</v>
      </c>
      <c r="AO537" s="5">
        <f>+$AC537*BN537</f>
        <v>0</v>
      </c>
      <c r="AP537" s="5">
        <f>+AC537+P537+C537</f>
        <v>1500</v>
      </c>
      <c r="AQ537" s="1">
        <v>6.4353417988612396</v>
      </c>
      <c r="AR537" s="1">
        <v>7.6960645206940548</v>
      </c>
      <c r="AS537" s="1">
        <v>6.8110734996311972</v>
      </c>
      <c r="AT537" s="1">
        <v>5.1591260945146029</v>
      </c>
      <c r="AU537" s="1">
        <v>7.4819614184833281</v>
      </c>
      <c r="AV537" s="1">
        <v>6.1314590815356205</v>
      </c>
      <c r="AW537" s="1">
        <v>6.1042942997832768</v>
      </c>
      <c r="AX537" s="1">
        <v>4.1453831301942019</v>
      </c>
      <c r="AY537" s="1">
        <v>6.144701985255427</v>
      </c>
      <c r="AZ537" s="1">
        <v>5.3512455311646177</v>
      </c>
      <c r="BA537" s="1">
        <v>5.4638245321024534</v>
      </c>
      <c r="BB537" s="1">
        <v>5.3366331638271527</v>
      </c>
      <c r="BC537" s="2">
        <v>8.9181565948742242E-2</v>
      </c>
      <c r="BD537" s="2">
        <v>0.10665277883445198</v>
      </c>
      <c r="BE537" s="2">
        <v>9.438849084854764E-2</v>
      </c>
      <c r="BF537" s="2">
        <v>7.149564986855049E-2</v>
      </c>
      <c r="BG537" s="2">
        <v>0.10368571810536763</v>
      </c>
      <c r="BH537" s="2">
        <v>8.4970330952544637E-2</v>
      </c>
      <c r="BI537" s="2">
        <v>8.4593878877262704E-2</v>
      </c>
      <c r="BJ537" s="2">
        <v>5.7447105462779965E-2</v>
      </c>
      <c r="BK537" s="2">
        <v>8.5153852345557474E-2</v>
      </c>
      <c r="BL537" s="2">
        <v>7.4158058913035174E-2</v>
      </c>
      <c r="BM537" s="2">
        <v>7.5718189192107169E-2</v>
      </c>
      <c r="BN537" s="2">
        <v>7.3955559365675619E-2</v>
      </c>
    </row>
    <row r="538" spans="1:66" x14ac:dyDescent="0.25">
      <c r="A538" s="8">
        <v>2085</v>
      </c>
      <c r="B538" s="8" t="s">
        <v>458</v>
      </c>
      <c r="C538" s="5">
        <v>0</v>
      </c>
      <c r="D538" s="5">
        <f>+$C538*BC538</f>
        <v>0</v>
      </c>
      <c r="E538" s="5">
        <f>+$C538*BD538</f>
        <v>0</v>
      </c>
      <c r="F538" s="5">
        <f>+$C538*BE538</f>
        <v>0</v>
      </c>
      <c r="G538" s="5">
        <f>+$C538*BF538</f>
        <v>0</v>
      </c>
      <c r="H538" s="5">
        <f>+$C538*BG538</f>
        <v>0</v>
      </c>
      <c r="I538" s="5">
        <f>+$C538*BH538</f>
        <v>0</v>
      </c>
      <c r="J538" s="5">
        <f>+$C538*BI538</f>
        <v>0</v>
      </c>
      <c r="K538" s="5">
        <f>+$C538*BJ538</f>
        <v>0</v>
      </c>
      <c r="L538" s="5">
        <f>+$C538*BK538</f>
        <v>0</v>
      </c>
      <c r="M538" s="5">
        <f>+$C538*BL538</f>
        <v>0</v>
      </c>
      <c r="N538" s="5">
        <f>+$C538*BM538</f>
        <v>0</v>
      </c>
      <c r="O538" s="5">
        <f>+$C538*BN538</f>
        <v>0</v>
      </c>
      <c r="P538" s="5">
        <v>0</v>
      </c>
      <c r="Q538" s="5">
        <f>+$P538*BC538</f>
        <v>0</v>
      </c>
      <c r="R538" s="5">
        <f>+$P538*BD538</f>
        <v>0</v>
      </c>
      <c r="S538" s="5">
        <f>+$P538*BE538</f>
        <v>0</v>
      </c>
      <c r="T538" s="5">
        <f>+$P538*BF538</f>
        <v>0</v>
      </c>
      <c r="U538" s="5">
        <f>+$P538*BG538</f>
        <v>0</v>
      </c>
      <c r="V538" s="5">
        <f>+$P538*BH538</f>
        <v>0</v>
      </c>
      <c r="W538" s="5">
        <f>+$P538*BI538</f>
        <v>0</v>
      </c>
      <c r="X538" s="5">
        <f>+$P538*BJ538</f>
        <v>0</v>
      </c>
      <c r="Y538" s="5">
        <f>+$P538*BK538</f>
        <v>0</v>
      </c>
      <c r="Z538" s="5">
        <f>+$P538*BL538</f>
        <v>0</v>
      </c>
      <c r="AA538" s="5">
        <f>+$P538*BM538</f>
        <v>0</v>
      </c>
      <c r="AB538" s="5">
        <f>+$P538*BN538</f>
        <v>0</v>
      </c>
      <c r="AC538" s="5">
        <v>0</v>
      </c>
      <c r="AD538" s="5">
        <f>+$AC538*BC538</f>
        <v>0</v>
      </c>
      <c r="AE538" s="5">
        <f>+$AC538*BD538</f>
        <v>0</v>
      </c>
      <c r="AF538" s="5">
        <f>+$AC538*BE538</f>
        <v>0</v>
      </c>
      <c r="AG538" s="5">
        <f>+$AC538*BF538</f>
        <v>0</v>
      </c>
      <c r="AH538" s="5">
        <f>+$AC538*BG538</f>
        <v>0</v>
      </c>
      <c r="AI538" s="5">
        <f>+$AC538*BH538</f>
        <v>0</v>
      </c>
      <c r="AJ538" s="5">
        <f>+$AC538*BI538</f>
        <v>0</v>
      </c>
      <c r="AK538" s="5">
        <f>+$AC538*BJ538</f>
        <v>0</v>
      </c>
      <c r="AL538" s="5">
        <f>+$AC538*BK538</f>
        <v>0</v>
      </c>
      <c r="AM538" s="5">
        <f>+$AC538*BL538</f>
        <v>0</v>
      </c>
      <c r="AN538" s="5">
        <f>+$AC538*BM538</f>
        <v>0</v>
      </c>
      <c r="AO538" s="5">
        <f>+$AC538*BN538</f>
        <v>0</v>
      </c>
      <c r="AP538" s="5">
        <f>+AC538+P538+C538</f>
        <v>0</v>
      </c>
      <c r="AQ538" s="1">
        <v>41.996491220922216</v>
      </c>
      <c r="AR538" s="1">
        <v>50.223860080931793</v>
      </c>
      <c r="AS538" s="1">
        <v>44.44848422548958</v>
      </c>
      <c r="AT538" s="1">
        <v>33.668016479599117</v>
      </c>
      <c r="AU538" s="1">
        <v>48.826641512998677</v>
      </c>
      <c r="AV538" s="1">
        <v>40.013378548862804</v>
      </c>
      <c r="AW538" s="1">
        <v>39.836103502091788</v>
      </c>
      <c r="AX538" s="1">
        <v>27.052416433477717</v>
      </c>
      <c r="AY538" s="1">
        <v>40.099800608046479</v>
      </c>
      <c r="AZ538" s="1">
        <v>34.921771522737401</v>
      </c>
      <c r="BA538" s="1">
        <v>35.656452472455193</v>
      </c>
      <c r="BB538" s="1">
        <v>34.82641246089031</v>
      </c>
      <c r="BC538" s="2">
        <v>8.9181565948742242E-2</v>
      </c>
      <c r="BD538" s="2">
        <v>0.10665277883445198</v>
      </c>
      <c r="BE538" s="2">
        <v>9.438849084854764E-2</v>
      </c>
      <c r="BF538" s="2">
        <v>7.149564986855049E-2</v>
      </c>
      <c r="BG538" s="2">
        <v>0.10368571810536763</v>
      </c>
      <c r="BH538" s="2">
        <v>8.4970330952544637E-2</v>
      </c>
      <c r="BI538" s="2">
        <v>8.4593878877262704E-2</v>
      </c>
      <c r="BJ538" s="2">
        <v>5.7447105462779965E-2</v>
      </c>
      <c r="BK538" s="2">
        <v>8.5153852345557474E-2</v>
      </c>
      <c r="BL538" s="2">
        <v>7.4158058913035174E-2</v>
      </c>
      <c r="BM538" s="2">
        <v>7.5718189192107169E-2</v>
      </c>
      <c r="BN538" s="2">
        <v>7.3955559365675619E-2</v>
      </c>
    </row>
    <row r="539" spans="1:66" x14ac:dyDescent="0.25">
      <c r="A539" s="8">
        <v>2101</v>
      </c>
      <c r="B539" s="8" t="s">
        <v>457</v>
      </c>
      <c r="C539" s="5">
        <v>0</v>
      </c>
      <c r="D539" s="5">
        <f>+$C539*BC539</f>
        <v>0</v>
      </c>
      <c r="E539" s="5">
        <f>+$C539*BD539</f>
        <v>0</v>
      </c>
      <c r="F539" s="5">
        <f>+$C539*BE539</f>
        <v>0</v>
      </c>
      <c r="G539" s="5">
        <f>+$C539*BF539</f>
        <v>0</v>
      </c>
      <c r="H539" s="5">
        <f>+$C539*BG539</f>
        <v>0</v>
      </c>
      <c r="I539" s="5">
        <f>+$C539*BH539</f>
        <v>0</v>
      </c>
      <c r="J539" s="5">
        <f>+$C539*BI539</f>
        <v>0</v>
      </c>
      <c r="K539" s="5">
        <f>+$C539*BJ539</f>
        <v>0</v>
      </c>
      <c r="L539" s="5">
        <f>+$C539*BK539</f>
        <v>0</v>
      </c>
      <c r="M539" s="5">
        <f>+$C539*BL539</f>
        <v>0</v>
      </c>
      <c r="N539" s="5">
        <f>+$C539*BM539</f>
        <v>0</v>
      </c>
      <c r="O539" s="5">
        <f>+$C539*BN539</f>
        <v>0</v>
      </c>
      <c r="P539" s="5">
        <v>0</v>
      </c>
      <c r="Q539" s="5">
        <f>+$P539*BC539</f>
        <v>0</v>
      </c>
      <c r="R539" s="5">
        <f>+$P539*BD539</f>
        <v>0</v>
      </c>
      <c r="S539" s="5">
        <f>+$P539*BE539</f>
        <v>0</v>
      </c>
      <c r="T539" s="5">
        <f>+$P539*BF539</f>
        <v>0</v>
      </c>
      <c r="U539" s="5">
        <f>+$P539*BG539</f>
        <v>0</v>
      </c>
      <c r="V539" s="5">
        <f>+$P539*BH539</f>
        <v>0</v>
      </c>
      <c r="W539" s="5">
        <f>+$P539*BI539</f>
        <v>0</v>
      </c>
      <c r="X539" s="5">
        <f>+$P539*BJ539</f>
        <v>0</v>
      </c>
      <c r="Y539" s="5">
        <f>+$P539*BK539</f>
        <v>0</v>
      </c>
      <c r="Z539" s="5">
        <f>+$P539*BL539</f>
        <v>0</v>
      </c>
      <c r="AA539" s="5">
        <f>+$P539*BM539</f>
        <v>0</v>
      </c>
      <c r="AB539" s="5">
        <f>+$P539*BN539</f>
        <v>0</v>
      </c>
      <c r="AC539" s="5">
        <v>0</v>
      </c>
      <c r="AD539" s="5">
        <f>+$AC539*BC539</f>
        <v>0</v>
      </c>
      <c r="AE539" s="5">
        <f>+$AC539*BD539</f>
        <v>0</v>
      </c>
      <c r="AF539" s="5">
        <f>+$AC539*BE539</f>
        <v>0</v>
      </c>
      <c r="AG539" s="5">
        <f>+$AC539*BF539</f>
        <v>0</v>
      </c>
      <c r="AH539" s="5">
        <f>+$AC539*BG539</f>
        <v>0</v>
      </c>
      <c r="AI539" s="5">
        <f>+$AC539*BH539</f>
        <v>0</v>
      </c>
      <c r="AJ539" s="5">
        <f>+$AC539*BI539</f>
        <v>0</v>
      </c>
      <c r="AK539" s="5">
        <f>+$AC539*BJ539</f>
        <v>0</v>
      </c>
      <c r="AL539" s="5">
        <f>+$AC539*BK539</f>
        <v>0</v>
      </c>
      <c r="AM539" s="5">
        <f>+$AC539*BL539</f>
        <v>0</v>
      </c>
      <c r="AN539" s="5">
        <f>+$AC539*BM539</f>
        <v>0</v>
      </c>
      <c r="AO539" s="5">
        <f>+$AC539*BN539</f>
        <v>0</v>
      </c>
      <c r="AP539" s="5">
        <f>+AC539+P539+C539</f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2">
        <v>8.9181565948742242E-2</v>
      </c>
      <c r="BD539" s="2">
        <v>0.10665277883445198</v>
      </c>
      <c r="BE539" s="2">
        <v>9.438849084854764E-2</v>
      </c>
      <c r="BF539" s="2">
        <v>7.149564986855049E-2</v>
      </c>
      <c r="BG539" s="2">
        <v>0.10368571810536763</v>
      </c>
      <c r="BH539" s="2">
        <v>8.4970330952544637E-2</v>
      </c>
      <c r="BI539" s="2">
        <v>8.4593878877262704E-2</v>
      </c>
      <c r="BJ539" s="2">
        <v>5.7447105462779965E-2</v>
      </c>
      <c r="BK539" s="2">
        <v>8.5153852345557474E-2</v>
      </c>
      <c r="BL539" s="2">
        <v>7.4158058913035174E-2</v>
      </c>
      <c r="BM539" s="2">
        <v>7.5718189192107169E-2</v>
      </c>
      <c r="BN539" s="2">
        <v>7.3955559365675619E-2</v>
      </c>
    </row>
    <row r="540" spans="1:66" x14ac:dyDescent="0.25">
      <c r="A540" s="8">
        <v>2141</v>
      </c>
      <c r="B540" s="8" t="s">
        <v>456</v>
      </c>
      <c r="C540" s="5">
        <v>0</v>
      </c>
      <c r="D540" s="5">
        <f>+$C540*BC540</f>
        <v>0</v>
      </c>
      <c r="E540" s="5">
        <f>+$C540*BD540</f>
        <v>0</v>
      </c>
      <c r="F540" s="5">
        <f>+$C540*BE540</f>
        <v>0</v>
      </c>
      <c r="G540" s="5">
        <f>+$C540*BF540</f>
        <v>0</v>
      </c>
      <c r="H540" s="5">
        <f>+$C540*BG540</f>
        <v>0</v>
      </c>
      <c r="I540" s="5">
        <f>+$C540*BH540</f>
        <v>0</v>
      </c>
      <c r="J540" s="5">
        <f>+$C540*BI540</f>
        <v>0</v>
      </c>
      <c r="K540" s="5">
        <f>+$C540*BJ540</f>
        <v>0</v>
      </c>
      <c r="L540" s="5">
        <f>+$C540*BK540</f>
        <v>0</v>
      </c>
      <c r="M540" s="5">
        <f>+$C540*BL540</f>
        <v>0</v>
      </c>
      <c r="N540" s="5">
        <f>+$C540*BM540</f>
        <v>0</v>
      </c>
      <c r="O540" s="5">
        <f>+$C540*BN540</f>
        <v>0</v>
      </c>
      <c r="P540" s="5">
        <v>0</v>
      </c>
      <c r="Q540" s="5">
        <f>+$P540*BC540</f>
        <v>0</v>
      </c>
      <c r="R540" s="5">
        <f>+$P540*BD540</f>
        <v>0</v>
      </c>
      <c r="S540" s="5">
        <f>+$P540*BE540</f>
        <v>0</v>
      </c>
      <c r="T540" s="5">
        <f>+$P540*BF540</f>
        <v>0</v>
      </c>
      <c r="U540" s="5">
        <f>+$P540*BG540</f>
        <v>0</v>
      </c>
      <c r="V540" s="5">
        <f>+$P540*BH540</f>
        <v>0</v>
      </c>
      <c r="W540" s="5">
        <f>+$P540*BI540</f>
        <v>0</v>
      </c>
      <c r="X540" s="5">
        <f>+$P540*BJ540</f>
        <v>0</v>
      </c>
      <c r="Y540" s="5">
        <f>+$P540*BK540</f>
        <v>0</v>
      </c>
      <c r="Z540" s="5">
        <f>+$P540*BL540</f>
        <v>0</v>
      </c>
      <c r="AA540" s="5">
        <f>+$P540*BM540</f>
        <v>0</v>
      </c>
      <c r="AB540" s="5">
        <f>+$P540*BN540</f>
        <v>0</v>
      </c>
      <c r="AC540" s="5">
        <v>150000</v>
      </c>
      <c r="AD540" s="5">
        <f>+$AC540*BC540</f>
        <v>13377.234892311337</v>
      </c>
      <c r="AE540" s="5">
        <f>+$AC540*BD540</f>
        <v>15997.916825167798</v>
      </c>
      <c r="AF540" s="5">
        <f>+$AC540*BE540</f>
        <v>14158.273627282146</v>
      </c>
      <c r="AG540" s="5">
        <f>+$AC540*BF540</f>
        <v>10724.347480282573</v>
      </c>
      <c r="AH540" s="5">
        <f>+$AC540*BG540</f>
        <v>15552.857715805145</v>
      </c>
      <c r="AI540" s="5">
        <f>+$AC540*BH540</f>
        <v>12745.549642881695</v>
      </c>
      <c r="AJ540" s="5">
        <f>+$AC540*BI540</f>
        <v>12689.081831589405</v>
      </c>
      <c r="AK540" s="5">
        <f>+$AC540*BJ540</f>
        <v>8617.0658194169955</v>
      </c>
      <c r="AL540" s="5">
        <f>+$AC540*BK540</f>
        <v>12773.077851833621</v>
      </c>
      <c r="AM540" s="5">
        <f>+$AC540*BL540</f>
        <v>11123.708836955277</v>
      </c>
      <c r="AN540" s="5">
        <f>+$AC540*BM540</f>
        <v>11357.728378816075</v>
      </c>
      <c r="AO540" s="5">
        <f>+$AC540*BN540</f>
        <v>11093.333904851343</v>
      </c>
      <c r="AP540" s="5">
        <f>+AC540+P540+C540</f>
        <v>150000</v>
      </c>
      <c r="AQ540" s="1">
        <v>21.55250904283254</v>
      </c>
      <c r="AR540" s="1">
        <v>25.774777060922013</v>
      </c>
      <c r="AS540" s="1">
        <v>22.810866583368508</v>
      </c>
      <c r="AT540" s="1">
        <v>17.278353703732598</v>
      </c>
      <c r="AU540" s="1">
        <v>25.057727494524197</v>
      </c>
      <c r="AV540" s="1">
        <v>20.534779881301464</v>
      </c>
      <c r="AW540" s="1">
        <v>20.44380270826808</v>
      </c>
      <c r="AX540" s="1">
        <v>13.883241977190035</v>
      </c>
      <c r="AY540" s="1">
        <v>20.579131496350875</v>
      </c>
      <c r="AZ540" s="1">
        <v>17.921778097513211</v>
      </c>
      <c r="BA540" s="1">
        <v>18.298814782056542</v>
      </c>
      <c r="BB540" s="1">
        <v>17.872840031902829</v>
      </c>
      <c r="BC540" s="2">
        <v>8.9181565948742242E-2</v>
      </c>
      <c r="BD540" s="2">
        <v>0.10665277883445198</v>
      </c>
      <c r="BE540" s="2">
        <v>9.438849084854764E-2</v>
      </c>
      <c r="BF540" s="2">
        <v>7.149564986855049E-2</v>
      </c>
      <c r="BG540" s="2">
        <v>0.10368571810536763</v>
      </c>
      <c r="BH540" s="2">
        <v>8.4970330952544637E-2</v>
      </c>
      <c r="BI540" s="2">
        <v>8.4593878877262704E-2</v>
      </c>
      <c r="BJ540" s="2">
        <v>5.7447105462779965E-2</v>
      </c>
      <c r="BK540" s="2">
        <v>8.5153852345557474E-2</v>
      </c>
      <c r="BL540" s="2">
        <v>7.4158058913035174E-2</v>
      </c>
      <c r="BM540" s="2">
        <v>7.5718189192107169E-2</v>
      </c>
      <c r="BN540" s="2">
        <v>7.3955559365675619E-2</v>
      </c>
    </row>
    <row r="541" spans="1:66" x14ac:dyDescent="0.25">
      <c r="A541" s="8">
        <v>2187</v>
      </c>
      <c r="B541" s="8" t="s">
        <v>455</v>
      </c>
      <c r="C541" s="5">
        <v>0</v>
      </c>
      <c r="D541" s="5">
        <f>+$C541*BC541</f>
        <v>0</v>
      </c>
      <c r="E541" s="5">
        <f>+$C541*BD541</f>
        <v>0</v>
      </c>
      <c r="F541" s="5">
        <f>+$C541*BE541</f>
        <v>0</v>
      </c>
      <c r="G541" s="5">
        <f>+$C541*BF541</f>
        <v>0</v>
      </c>
      <c r="H541" s="5">
        <f>+$C541*BG541</f>
        <v>0</v>
      </c>
      <c r="I541" s="5">
        <f>+$C541*BH541</f>
        <v>0</v>
      </c>
      <c r="J541" s="5">
        <f>+$C541*BI541</f>
        <v>0</v>
      </c>
      <c r="K541" s="5">
        <f>+$C541*BJ541</f>
        <v>0</v>
      </c>
      <c r="L541" s="5">
        <f>+$C541*BK541</f>
        <v>0</v>
      </c>
      <c r="M541" s="5">
        <f>+$C541*BL541</f>
        <v>0</v>
      </c>
      <c r="N541" s="5">
        <f>+$C541*BM541</f>
        <v>0</v>
      </c>
      <c r="O541" s="5">
        <f>+$C541*BN541</f>
        <v>0</v>
      </c>
      <c r="P541" s="5">
        <v>0</v>
      </c>
      <c r="Q541" s="5">
        <f>+$P541*BC541</f>
        <v>0</v>
      </c>
      <c r="R541" s="5">
        <f>+$P541*BD541</f>
        <v>0</v>
      </c>
      <c r="S541" s="5">
        <f>+$P541*BE541</f>
        <v>0</v>
      </c>
      <c r="T541" s="5">
        <f>+$P541*BF541</f>
        <v>0</v>
      </c>
      <c r="U541" s="5">
        <f>+$P541*BG541</f>
        <v>0</v>
      </c>
      <c r="V541" s="5">
        <f>+$P541*BH541</f>
        <v>0</v>
      </c>
      <c r="W541" s="5">
        <f>+$P541*BI541</f>
        <v>0</v>
      </c>
      <c r="X541" s="5">
        <f>+$P541*BJ541</f>
        <v>0</v>
      </c>
      <c r="Y541" s="5">
        <f>+$P541*BK541</f>
        <v>0</v>
      </c>
      <c r="Z541" s="5">
        <f>+$P541*BL541</f>
        <v>0</v>
      </c>
      <c r="AA541" s="5">
        <f>+$P541*BM541</f>
        <v>0</v>
      </c>
      <c r="AB541" s="5">
        <f>+$P541*BN541</f>
        <v>0</v>
      </c>
      <c r="AC541" s="5">
        <v>0</v>
      </c>
      <c r="AD541" s="5">
        <f>+$AC541*BC541</f>
        <v>0</v>
      </c>
      <c r="AE541" s="5">
        <f>+$AC541*BD541</f>
        <v>0</v>
      </c>
      <c r="AF541" s="5">
        <f>+$AC541*BE541</f>
        <v>0</v>
      </c>
      <c r="AG541" s="5">
        <f>+$AC541*BF541</f>
        <v>0</v>
      </c>
      <c r="AH541" s="5">
        <f>+$AC541*BG541</f>
        <v>0</v>
      </c>
      <c r="AI541" s="5">
        <f>+$AC541*BH541</f>
        <v>0</v>
      </c>
      <c r="AJ541" s="5">
        <f>+$AC541*BI541</f>
        <v>0</v>
      </c>
      <c r="AK541" s="5">
        <f>+$AC541*BJ541</f>
        <v>0</v>
      </c>
      <c r="AL541" s="5">
        <f>+$AC541*BK541</f>
        <v>0</v>
      </c>
      <c r="AM541" s="5">
        <f>+$AC541*BL541</f>
        <v>0</v>
      </c>
      <c r="AN541" s="5">
        <f>+$AC541*BM541</f>
        <v>0</v>
      </c>
      <c r="AO541" s="5">
        <f>+$AC541*BN541</f>
        <v>0</v>
      </c>
      <c r="AP541" s="5">
        <f>+AC541+P541+C541</f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2">
        <v>8.9181565948742242E-2</v>
      </c>
      <c r="BD541" s="2">
        <v>0.10665277883445198</v>
      </c>
      <c r="BE541" s="2">
        <v>9.438849084854764E-2</v>
      </c>
      <c r="BF541" s="2">
        <v>7.149564986855049E-2</v>
      </c>
      <c r="BG541" s="2">
        <v>0.10368571810536763</v>
      </c>
      <c r="BH541" s="2">
        <v>8.4970330952544637E-2</v>
      </c>
      <c r="BI541" s="2">
        <v>8.4593878877262704E-2</v>
      </c>
      <c r="BJ541" s="2">
        <v>5.7447105462779965E-2</v>
      </c>
      <c r="BK541" s="2">
        <v>8.5153852345557474E-2</v>
      </c>
      <c r="BL541" s="2">
        <v>7.4158058913035174E-2</v>
      </c>
      <c r="BM541" s="2">
        <v>7.5718189192107169E-2</v>
      </c>
      <c r="BN541" s="2">
        <v>7.3955559365675619E-2</v>
      </c>
    </row>
    <row r="542" spans="1:66" x14ac:dyDescent="0.25">
      <c r="A542" s="8">
        <v>2248</v>
      </c>
      <c r="B542" s="8" t="s">
        <v>454</v>
      </c>
      <c r="C542" s="5">
        <v>0</v>
      </c>
      <c r="D542" s="5">
        <f>+$C542*BC542</f>
        <v>0</v>
      </c>
      <c r="E542" s="5">
        <f>+$C542*BD542</f>
        <v>0</v>
      </c>
      <c r="F542" s="5">
        <f>+$C542*BE542</f>
        <v>0</v>
      </c>
      <c r="G542" s="5">
        <f>+$C542*BF542</f>
        <v>0</v>
      </c>
      <c r="H542" s="5">
        <f>+$C542*BG542</f>
        <v>0</v>
      </c>
      <c r="I542" s="5">
        <f>+$C542*BH542</f>
        <v>0</v>
      </c>
      <c r="J542" s="5">
        <f>+$C542*BI542</f>
        <v>0</v>
      </c>
      <c r="K542" s="5">
        <f>+$C542*BJ542</f>
        <v>0</v>
      </c>
      <c r="L542" s="5">
        <f>+$C542*BK542</f>
        <v>0</v>
      </c>
      <c r="M542" s="5">
        <f>+$C542*BL542</f>
        <v>0</v>
      </c>
      <c r="N542" s="5">
        <f>+$C542*BM542</f>
        <v>0</v>
      </c>
      <c r="O542" s="5">
        <f>+$C542*BN542</f>
        <v>0</v>
      </c>
      <c r="P542" s="5">
        <v>0</v>
      </c>
      <c r="Q542" s="5">
        <f>+$P542*BC542</f>
        <v>0</v>
      </c>
      <c r="R542" s="5">
        <f>+$P542*BD542</f>
        <v>0</v>
      </c>
      <c r="S542" s="5">
        <f>+$P542*BE542</f>
        <v>0</v>
      </c>
      <c r="T542" s="5">
        <f>+$P542*BF542</f>
        <v>0</v>
      </c>
      <c r="U542" s="5">
        <f>+$P542*BG542</f>
        <v>0</v>
      </c>
      <c r="V542" s="5">
        <f>+$P542*BH542</f>
        <v>0</v>
      </c>
      <c r="W542" s="5">
        <f>+$P542*BI542</f>
        <v>0</v>
      </c>
      <c r="X542" s="5">
        <f>+$P542*BJ542</f>
        <v>0</v>
      </c>
      <c r="Y542" s="5">
        <f>+$P542*BK542</f>
        <v>0</v>
      </c>
      <c r="Z542" s="5">
        <f>+$P542*BL542</f>
        <v>0</v>
      </c>
      <c r="AA542" s="5">
        <f>+$P542*BM542</f>
        <v>0</v>
      </c>
      <c r="AB542" s="5">
        <f>+$P542*BN542</f>
        <v>0</v>
      </c>
      <c r="AC542" s="5">
        <v>0</v>
      </c>
      <c r="AD542" s="5">
        <f>+$AC542*BC542</f>
        <v>0</v>
      </c>
      <c r="AE542" s="5">
        <f>+$AC542*BD542</f>
        <v>0</v>
      </c>
      <c r="AF542" s="5">
        <f>+$AC542*BE542</f>
        <v>0</v>
      </c>
      <c r="AG542" s="5">
        <f>+$AC542*BF542</f>
        <v>0</v>
      </c>
      <c r="AH542" s="5">
        <f>+$AC542*BG542</f>
        <v>0</v>
      </c>
      <c r="AI542" s="5">
        <f>+$AC542*BH542</f>
        <v>0</v>
      </c>
      <c r="AJ542" s="5">
        <f>+$AC542*BI542</f>
        <v>0</v>
      </c>
      <c r="AK542" s="5">
        <f>+$AC542*BJ542</f>
        <v>0</v>
      </c>
      <c r="AL542" s="5">
        <f>+$AC542*BK542</f>
        <v>0</v>
      </c>
      <c r="AM542" s="5">
        <f>+$AC542*BL542</f>
        <v>0</v>
      </c>
      <c r="AN542" s="5">
        <f>+$AC542*BM542</f>
        <v>0</v>
      </c>
      <c r="AO542" s="5">
        <f>+$AC542*BN542</f>
        <v>0</v>
      </c>
      <c r="AP542" s="5">
        <f>+AC542+P542+C542</f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2">
        <v>8.9181565948742242E-2</v>
      </c>
      <c r="BD542" s="2">
        <v>0.10665277883445198</v>
      </c>
      <c r="BE542" s="2">
        <v>9.438849084854764E-2</v>
      </c>
      <c r="BF542" s="2">
        <v>7.149564986855049E-2</v>
      </c>
      <c r="BG542" s="2">
        <v>0.10368571810536763</v>
      </c>
      <c r="BH542" s="2">
        <v>8.4970330952544637E-2</v>
      </c>
      <c r="BI542" s="2">
        <v>8.4593878877262704E-2</v>
      </c>
      <c r="BJ542" s="2">
        <v>5.7447105462779965E-2</v>
      </c>
      <c r="BK542" s="2">
        <v>8.5153852345557474E-2</v>
      </c>
      <c r="BL542" s="2">
        <v>7.4158058913035174E-2</v>
      </c>
      <c r="BM542" s="2">
        <v>7.5718189192107169E-2</v>
      </c>
      <c r="BN542" s="2">
        <v>7.3955559365675619E-2</v>
      </c>
    </row>
    <row r="543" spans="1:66" x14ac:dyDescent="0.25">
      <c r="A543" s="8">
        <v>2271</v>
      </c>
      <c r="B543" s="8" t="s">
        <v>453</v>
      </c>
      <c r="C543" s="5">
        <v>0</v>
      </c>
      <c r="D543" s="5">
        <f>+$C543*BC543</f>
        <v>0</v>
      </c>
      <c r="E543" s="5">
        <f>+$C543*BD543</f>
        <v>0</v>
      </c>
      <c r="F543" s="5">
        <f>+$C543*BE543</f>
        <v>0</v>
      </c>
      <c r="G543" s="5">
        <f>+$C543*BF543</f>
        <v>0</v>
      </c>
      <c r="H543" s="5">
        <f>+$C543*BG543</f>
        <v>0</v>
      </c>
      <c r="I543" s="5">
        <f>+$C543*BH543</f>
        <v>0</v>
      </c>
      <c r="J543" s="5">
        <f>+$C543*BI543</f>
        <v>0</v>
      </c>
      <c r="K543" s="5">
        <f>+$C543*BJ543</f>
        <v>0</v>
      </c>
      <c r="L543" s="5">
        <f>+$C543*BK543</f>
        <v>0</v>
      </c>
      <c r="M543" s="5">
        <f>+$C543*BL543</f>
        <v>0</v>
      </c>
      <c r="N543" s="5">
        <f>+$C543*BM543</f>
        <v>0</v>
      </c>
      <c r="O543" s="5">
        <f>+$C543*BN543</f>
        <v>0</v>
      </c>
      <c r="P543" s="5">
        <v>3000</v>
      </c>
      <c r="Q543" s="5">
        <f>+$P543*BC543</f>
        <v>267.54469784622671</v>
      </c>
      <c r="R543" s="5">
        <f>+$P543*BD543</f>
        <v>319.95833650335595</v>
      </c>
      <c r="S543" s="5">
        <f>+$P543*BE543</f>
        <v>283.1654725456429</v>
      </c>
      <c r="T543" s="5">
        <f>+$P543*BF543</f>
        <v>214.48694960565146</v>
      </c>
      <c r="U543" s="5">
        <f>+$P543*BG543</f>
        <v>311.05715431610287</v>
      </c>
      <c r="V543" s="5">
        <f>+$P543*BH543</f>
        <v>254.91099285763391</v>
      </c>
      <c r="W543" s="5">
        <f>+$P543*BI543</f>
        <v>253.7816366317881</v>
      </c>
      <c r="X543" s="5">
        <f>+$P543*BJ543</f>
        <v>172.34131638833989</v>
      </c>
      <c r="Y543" s="5">
        <f>+$P543*BK543</f>
        <v>255.46155703667242</v>
      </c>
      <c r="Z543" s="5">
        <f>+$P543*BL543</f>
        <v>222.47417673910553</v>
      </c>
      <c r="AA543" s="5">
        <f>+$P543*BM543</f>
        <v>227.15456757632151</v>
      </c>
      <c r="AB543" s="5">
        <f>+$P543*BN543</f>
        <v>221.86667809702686</v>
      </c>
      <c r="AC543" s="5">
        <v>0</v>
      </c>
      <c r="AD543" s="5">
        <f>+$AC543*BC543</f>
        <v>0</v>
      </c>
      <c r="AE543" s="5">
        <f>+$AC543*BD543</f>
        <v>0</v>
      </c>
      <c r="AF543" s="5">
        <f>+$AC543*BE543</f>
        <v>0</v>
      </c>
      <c r="AG543" s="5">
        <f>+$AC543*BF543</f>
        <v>0</v>
      </c>
      <c r="AH543" s="5">
        <f>+$AC543*BG543</f>
        <v>0</v>
      </c>
      <c r="AI543" s="5">
        <f>+$AC543*BH543</f>
        <v>0</v>
      </c>
      <c r="AJ543" s="5">
        <f>+$AC543*BI543</f>
        <v>0</v>
      </c>
      <c r="AK543" s="5">
        <f>+$AC543*BJ543</f>
        <v>0</v>
      </c>
      <c r="AL543" s="5">
        <f>+$AC543*BK543</f>
        <v>0</v>
      </c>
      <c r="AM543" s="5">
        <f>+$AC543*BL543</f>
        <v>0</v>
      </c>
      <c r="AN543" s="5">
        <f>+$AC543*BM543</f>
        <v>0</v>
      </c>
      <c r="AO543" s="5">
        <f>+$AC543*BN543</f>
        <v>0</v>
      </c>
      <c r="AP543" s="5">
        <f>+AC543+P543+C543</f>
        <v>3000</v>
      </c>
      <c r="AQ543" s="1">
        <v>34.958817125643165</v>
      </c>
      <c r="AR543" s="1">
        <v>41.807462691989841</v>
      </c>
      <c r="AS543" s="1">
        <v>36.999910858667285</v>
      </c>
      <c r="AT543" s="1">
        <v>28.026008765872319</v>
      </c>
      <c r="AU543" s="1">
        <v>40.644386754431693</v>
      </c>
      <c r="AV543" s="1">
        <v>33.308029852073687</v>
      </c>
      <c r="AW543" s="1">
        <v>33.160462144371472</v>
      </c>
      <c r="AX543" s="1">
        <v>22.519035552987898</v>
      </c>
      <c r="AY543" s="1">
        <v>33.37996950404915</v>
      </c>
      <c r="AZ543" s="1">
        <v>29.069662461674138</v>
      </c>
      <c r="BA543" s="1">
        <v>29.681227290549245</v>
      </c>
      <c r="BB543" s="1">
        <v>28.990283449107384</v>
      </c>
      <c r="BC543" s="2">
        <v>8.9181565948742242E-2</v>
      </c>
      <c r="BD543" s="2">
        <v>0.10665277883445198</v>
      </c>
      <c r="BE543" s="2">
        <v>9.438849084854764E-2</v>
      </c>
      <c r="BF543" s="2">
        <v>7.149564986855049E-2</v>
      </c>
      <c r="BG543" s="2">
        <v>0.10368571810536763</v>
      </c>
      <c r="BH543" s="2">
        <v>8.4970330952544637E-2</v>
      </c>
      <c r="BI543" s="2">
        <v>8.4593878877262704E-2</v>
      </c>
      <c r="BJ543" s="2">
        <v>5.7447105462779965E-2</v>
      </c>
      <c r="BK543" s="2">
        <v>8.5153852345557474E-2</v>
      </c>
      <c r="BL543" s="2">
        <v>7.4158058913035174E-2</v>
      </c>
      <c r="BM543" s="2">
        <v>7.5718189192107169E-2</v>
      </c>
      <c r="BN543" s="2">
        <v>7.3955559365675619E-2</v>
      </c>
    </row>
    <row r="544" spans="1:66" x14ac:dyDescent="0.25">
      <c r="A544" s="8">
        <v>2346</v>
      </c>
      <c r="B544" s="8" t="s">
        <v>452</v>
      </c>
      <c r="C544" s="5">
        <v>0</v>
      </c>
      <c r="D544" s="5">
        <f>+$C544*BC544</f>
        <v>0</v>
      </c>
      <c r="E544" s="5">
        <f>+$C544*BD544</f>
        <v>0</v>
      </c>
      <c r="F544" s="5">
        <f>+$C544*BE544</f>
        <v>0</v>
      </c>
      <c r="G544" s="5">
        <f>+$C544*BF544</f>
        <v>0</v>
      </c>
      <c r="H544" s="5">
        <f>+$C544*BG544</f>
        <v>0</v>
      </c>
      <c r="I544" s="5">
        <f>+$C544*BH544</f>
        <v>0</v>
      </c>
      <c r="J544" s="5">
        <f>+$C544*BI544</f>
        <v>0</v>
      </c>
      <c r="K544" s="5">
        <f>+$C544*BJ544</f>
        <v>0</v>
      </c>
      <c r="L544" s="5">
        <f>+$C544*BK544</f>
        <v>0</v>
      </c>
      <c r="M544" s="5">
        <f>+$C544*BL544</f>
        <v>0</v>
      </c>
      <c r="N544" s="5">
        <f>+$C544*BM544</f>
        <v>0</v>
      </c>
      <c r="O544" s="5">
        <f>+$C544*BN544</f>
        <v>0</v>
      </c>
      <c r="P544" s="5">
        <v>500</v>
      </c>
      <c r="Q544" s="5">
        <f>+$P544*BC544</f>
        <v>44.590782974371123</v>
      </c>
      <c r="R544" s="5">
        <f>+$P544*BD544</f>
        <v>53.32638941722599</v>
      </c>
      <c r="S544" s="5">
        <f>+$P544*BE544</f>
        <v>47.194245424273824</v>
      </c>
      <c r="T544" s="5">
        <f>+$P544*BF544</f>
        <v>35.747824934275243</v>
      </c>
      <c r="U544" s="5">
        <f>+$P544*BG544</f>
        <v>51.842859052683814</v>
      </c>
      <c r="V544" s="5">
        <f>+$P544*BH544</f>
        <v>42.485165476272321</v>
      </c>
      <c r="W544" s="5">
        <f>+$P544*BI544</f>
        <v>42.296939438631355</v>
      </c>
      <c r="X544" s="5">
        <f>+$P544*BJ544</f>
        <v>28.723552731389983</v>
      </c>
      <c r="Y544" s="5">
        <f>+$P544*BK544</f>
        <v>42.576926172778734</v>
      </c>
      <c r="Z544" s="5">
        <f>+$P544*BL544</f>
        <v>37.079029456517588</v>
      </c>
      <c r="AA544" s="5">
        <f>+$P544*BM544</f>
        <v>37.859094596053588</v>
      </c>
      <c r="AB544" s="5">
        <f>+$P544*BN544</f>
        <v>36.977779682837813</v>
      </c>
      <c r="AC544" s="5">
        <v>0</v>
      </c>
      <c r="AD544" s="5">
        <f>+$AC544*BC544</f>
        <v>0</v>
      </c>
      <c r="AE544" s="5">
        <f>+$AC544*BD544</f>
        <v>0</v>
      </c>
      <c r="AF544" s="5">
        <f>+$AC544*BE544</f>
        <v>0</v>
      </c>
      <c r="AG544" s="5">
        <f>+$AC544*BF544</f>
        <v>0</v>
      </c>
      <c r="AH544" s="5">
        <f>+$AC544*BG544</f>
        <v>0</v>
      </c>
      <c r="AI544" s="5">
        <f>+$AC544*BH544</f>
        <v>0</v>
      </c>
      <c r="AJ544" s="5">
        <f>+$AC544*BI544</f>
        <v>0</v>
      </c>
      <c r="AK544" s="5">
        <f>+$AC544*BJ544</f>
        <v>0</v>
      </c>
      <c r="AL544" s="5">
        <f>+$AC544*BK544</f>
        <v>0</v>
      </c>
      <c r="AM544" s="5">
        <f>+$AC544*BL544</f>
        <v>0</v>
      </c>
      <c r="AN544" s="5">
        <f>+$AC544*BM544</f>
        <v>0</v>
      </c>
      <c r="AO544" s="5">
        <f>+$AC544*BN544</f>
        <v>0</v>
      </c>
      <c r="AP544" s="5">
        <f>+AC544+P544+C544</f>
        <v>500</v>
      </c>
      <c r="AQ544" s="1">
        <v>26.575214837065701</v>
      </c>
      <c r="AR544" s="1">
        <v>31.781461564878349</v>
      </c>
      <c r="AS544" s="1">
        <v>28.126826387958712</v>
      </c>
      <c r="AT544" s="1">
        <v>21.304988704329361</v>
      </c>
      <c r="AU544" s="1">
        <v>30.897307138218501</v>
      </c>
      <c r="AV544" s="1">
        <v>25.320308920548776</v>
      </c>
      <c r="AW544" s="1">
        <v>25.208129966635514</v>
      </c>
      <c r="AX544" s="1">
        <v>17.118662956853804</v>
      </c>
      <c r="AY544" s="1">
        <v>25.374996460452671</v>
      </c>
      <c r="AZ544" s="1">
        <v>22.098359975495352</v>
      </c>
      <c r="BA544" s="1">
        <v>22.563263197356015</v>
      </c>
      <c r="BB544" s="1">
        <v>22.038017135377679</v>
      </c>
      <c r="BC544" s="2">
        <v>8.9181565948742242E-2</v>
      </c>
      <c r="BD544" s="2">
        <v>0.10665277883445198</v>
      </c>
      <c r="BE544" s="2">
        <v>9.438849084854764E-2</v>
      </c>
      <c r="BF544" s="2">
        <v>7.149564986855049E-2</v>
      </c>
      <c r="BG544" s="2">
        <v>0.10368571810536763</v>
      </c>
      <c r="BH544" s="2">
        <v>8.4970330952544637E-2</v>
      </c>
      <c r="BI544" s="2">
        <v>8.4593878877262704E-2</v>
      </c>
      <c r="BJ544" s="2">
        <v>5.7447105462779965E-2</v>
      </c>
      <c r="BK544" s="2">
        <v>8.5153852345557474E-2</v>
      </c>
      <c r="BL544" s="2">
        <v>7.4158058913035174E-2</v>
      </c>
      <c r="BM544" s="2">
        <v>7.5718189192107169E-2</v>
      </c>
      <c r="BN544" s="2">
        <v>7.3955559365675619E-2</v>
      </c>
    </row>
    <row r="545" spans="1:66" x14ac:dyDescent="0.25">
      <c r="A545" s="8">
        <v>2361</v>
      </c>
      <c r="B545" s="8" t="s">
        <v>451</v>
      </c>
      <c r="C545" s="5">
        <v>0</v>
      </c>
      <c r="D545" s="5">
        <f>+$C545*BC545</f>
        <v>0</v>
      </c>
      <c r="E545" s="5">
        <f>+$C545*BD545</f>
        <v>0</v>
      </c>
      <c r="F545" s="5">
        <f>+$C545*BE545</f>
        <v>0</v>
      </c>
      <c r="G545" s="5">
        <f>+$C545*BF545</f>
        <v>0</v>
      </c>
      <c r="H545" s="5">
        <f>+$C545*BG545</f>
        <v>0</v>
      </c>
      <c r="I545" s="5">
        <f>+$C545*BH545</f>
        <v>0</v>
      </c>
      <c r="J545" s="5">
        <f>+$C545*BI545</f>
        <v>0</v>
      </c>
      <c r="K545" s="5">
        <f>+$C545*BJ545</f>
        <v>0</v>
      </c>
      <c r="L545" s="5">
        <f>+$C545*BK545</f>
        <v>0</v>
      </c>
      <c r="M545" s="5">
        <f>+$C545*BL545</f>
        <v>0</v>
      </c>
      <c r="N545" s="5">
        <f>+$C545*BM545</f>
        <v>0</v>
      </c>
      <c r="O545" s="5">
        <f>+$C545*BN545</f>
        <v>0</v>
      </c>
      <c r="P545" s="5">
        <v>0</v>
      </c>
      <c r="Q545" s="5">
        <f>+$P545*BC545</f>
        <v>0</v>
      </c>
      <c r="R545" s="5">
        <f>+$P545*BD545</f>
        <v>0</v>
      </c>
      <c r="S545" s="5">
        <f>+$P545*BE545</f>
        <v>0</v>
      </c>
      <c r="T545" s="5">
        <f>+$P545*BF545</f>
        <v>0</v>
      </c>
      <c r="U545" s="5">
        <f>+$P545*BG545</f>
        <v>0</v>
      </c>
      <c r="V545" s="5">
        <f>+$P545*BH545</f>
        <v>0</v>
      </c>
      <c r="W545" s="5">
        <f>+$P545*BI545</f>
        <v>0</v>
      </c>
      <c r="X545" s="5">
        <f>+$P545*BJ545</f>
        <v>0</v>
      </c>
      <c r="Y545" s="5">
        <f>+$P545*BK545</f>
        <v>0</v>
      </c>
      <c r="Z545" s="5">
        <f>+$P545*BL545</f>
        <v>0</v>
      </c>
      <c r="AA545" s="5">
        <f>+$P545*BM545</f>
        <v>0</v>
      </c>
      <c r="AB545" s="5">
        <f>+$P545*BN545</f>
        <v>0</v>
      </c>
      <c r="AC545" s="5">
        <v>0</v>
      </c>
      <c r="AD545" s="5">
        <f>+$AC545*BC545</f>
        <v>0</v>
      </c>
      <c r="AE545" s="5">
        <f>+$AC545*BD545</f>
        <v>0</v>
      </c>
      <c r="AF545" s="5">
        <f>+$AC545*BE545</f>
        <v>0</v>
      </c>
      <c r="AG545" s="5">
        <f>+$AC545*BF545</f>
        <v>0</v>
      </c>
      <c r="AH545" s="5">
        <f>+$AC545*BG545</f>
        <v>0</v>
      </c>
      <c r="AI545" s="5">
        <f>+$AC545*BH545</f>
        <v>0</v>
      </c>
      <c r="AJ545" s="5">
        <f>+$AC545*BI545</f>
        <v>0</v>
      </c>
      <c r="AK545" s="5">
        <f>+$AC545*BJ545</f>
        <v>0</v>
      </c>
      <c r="AL545" s="5">
        <f>+$AC545*BK545</f>
        <v>0</v>
      </c>
      <c r="AM545" s="5">
        <f>+$AC545*BL545</f>
        <v>0</v>
      </c>
      <c r="AN545" s="5">
        <f>+$AC545*BM545</f>
        <v>0</v>
      </c>
      <c r="AO545" s="5">
        <f>+$AC545*BN545</f>
        <v>0</v>
      </c>
      <c r="AP545" s="5">
        <f>+AC545+P545+C545</f>
        <v>0</v>
      </c>
      <c r="AQ545" s="1">
        <v>96.223074851357097</v>
      </c>
      <c r="AR545" s="1">
        <v>115.07376229288381</v>
      </c>
      <c r="AS545" s="1">
        <v>101.84112292047642</v>
      </c>
      <c r="AT545" s="1">
        <v>77.140731895221634</v>
      </c>
      <c r="AU545" s="1">
        <v>111.87243134981316</v>
      </c>
      <c r="AV545" s="1">
        <v>91.679333373564717</v>
      </c>
      <c r="AW545" s="1">
        <v>91.273157771774748</v>
      </c>
      <c r="AX545" s="1">
        <v>61.982956568804688</v>
      </c>
      <c r="AY545" s="1">
        <v>91.87734506520566</v>
      </c>
      <c r="AZ545" s="1">
        <v>80.013356770631702</v>
      </c>
      <c r="BA545" s="1">
        <v>81.69667025614838</v>
      </c>
      <c r="BB545" s="1">
        <v>79.794868466511275</v>
      </c>
      <c r="BC545" s="2">
        <v>8.9181565948742242E-2</v>
      </c>
      <c r="BD545" s="2">
        <v>0.10665277883445198</v>
      </c>
      <c r="BE545" s="2">
        <v>9.438849084854764E-2</v>
      </c>
      <c r="BF545" s="2">
        <v>7.149564986855049E-2</v>
      </c>
      <c r="BG545" s="2">
        <v>0.10368571810536763</v>
      </c>
      <c r="BH545" s="2">
        <v>8.4970330952544637E-2</v>
      </c>
      <c r="BI545" s="2">
        <v>8.4593878877262704E-2</v>
      </c>
      <c r="BJ545" s="2">
        <v>5.7447105462779965E-2</v>
      </c>
      <c r="BK545" s="2">
        <v>8.5153852345557474E-2</v>
      </c>
      <c r="BL545" s="2">
        <v>7.4158058913035174E-2</v>
      </c>
      <c r="BM545" s="2">
        <v>7.5718189192107169E-2</v>
      </c>
      <c r="BN545" s="2">
        <v>7.3955559365675619E-2</v>
      </c>
    </row>
    <row r="546" spans="1:66" x14ac:dyDescent="0.25">
      <c r="A546" s="8">
        <v>2368</v>
      </c>
      <c r="B546" s="8" t="s">
        <v>450</v>
      </c>
      <c r="C546" s="5">
        <v>0</v>
      </c>
      <c r="D546" s="5">
        <f>+$C546*BC546</f>
        <v>0</v>
      </c>
      <c r="E546" s="5">
        <f>+$C546*BD546</f>
        <v>0</v>
      </c>
      <c r="F546" s="5">
        <f>+$C546*BE546</f>
        <v>0</v>
      </c>
      <c r="G546" s="5">
        <f>+$C546*BF546</f>
        <v>0</v>
      </c>
      <c r="H546" s="5">
        <f>+$C546*BG546</f>
        <v>0</v>
      </c>
      <c r="I546" s="5">
        <f>+$C546*BH546</f>
        <v>0</v>
      </c>
      <c r="J546" s="5">
        <f>+$C546*BI546</f>
        <v>0</v>
      </c>
      <c r="K546" s="5">
        <f>+$C546*BJ546</f>
        <v>0</v>
      </c>
      <c r="L546" s="5">
        <f>+$C546*BK546</f>
        <v>0</v>
      </c>
      <c r="M546" s="5">
        <f>+$C546*BL546</f>
        <v>0</v>
      </c>
      <c r="N546" s="5">
        <f>+$C546*BM546</f>
        <v>0</v>
      </c>
      <c r="O546" s="5">
        <f>+$C546*BN546</f>
        <v>0</v>
      </c>
      <c r="P546" s="5">
        <v>0</v>
      </c>
      <c r="Q546" s="5">
        <f>+$P546*BC546</f>
        <v>0</v>
      </c>
      <c r="R546" s="5">
        <f>+$P546*BD546</f>
        <v>0</v>
      </c>
      <c r="S546" s="5">
        <f>+$P546*BE546</f>
        <v>0</v>
      </c>
      <c r="T546" s="5">
        <f>+$P546*BF546</f>
        <v>0</v>
      </c>
      <c r="U546" s="5">
        <f>+$P546*BG546</f>
        <v>0</v>
      </c>
      <c r="V546" s="5">
        <f>+$P546*BH546</f>
        <v>0</v>
      </c>
      <c r="W546" s="5">
        <f>+$P546*BI546</f>
        <v>0</v>
      </c>
      <c r="X546" s="5">
        <f>+$P546*BJ546</f>
        <v>0</v>
      </c>
      <c r="Y546" s="5">
        <f>+$P546*BK546</f>
        <v>0</v>
      </c>
      <c r="Z546" s="5">
        <f>+$P546*BL546</f>
        <v>0</v>
      </c>
      <c r="AA546" s="5">
        <f>+$P546*BM546</f>
        <v>0</v>
      </c>
      <c r="AB546" s="5">
        <f>+$P546*BN546</f>
        <v>0</v>
      </c>
      <c r="AC546" s="5">
        <v>0</v>
      </c>
      <c r="AD546" s="5">
        <f>+$AC546*BC546</f>
        <v>0</v>
      </c>
      <c r="AE546" s="5">
        <f>+$AC546*BD546</f>
        <v>0</v>
      </c>
      <c r="AF546" s="5">
        <f>+$AC546*BE546</f>
        <v>0</v>
      </c>
      <c r="AG546" s="5">
        <f>+$AC546*BF546</f>
        <v>0</v>
      </c>
      <c r="AH546" s="5">
        <f>+$AC546*BG546</f>
        <v>0</v>
      </c>
      <c r="AI546" s="5">
        <f>+$AC546*BH546</f>
        <v>0</v>
      </c>
      <c r="AJ546" s="5">
        <f>+$AC546*BI546</f>
        <v>0</v>
      </c>
      <c r="AK546" s="5">
        <f>+$AC546*BJ546</f>
        <v>0</v>
      </c>
      <c r="AL546" s="5">
        <f>+$AC546*BK546</f>
        <v>0</v>
      </c>
      <c r="AM546" s="5">
        <f>+$AC546*BL546</f>
        <v>0</v>
      </c>
      <c r="AN546" s="5">
        <f>+$AC546*BM546</f>
        <v>0</v>
      </c>
      <c r="AO546" s="5">
        <f>+$AC546*BN546</f>
        <v>0</v>
      </c>
      <c r="AP546" s="5">
        <f>+AC546+P546+C546</f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2">
        <v>8.9181565948742242E-2</v>
      </c>
      <c r="BD546" s="2">
        <v>0.10665277883445198</v>
      </c>
      <c r="BE546" s="2">
        <v>9.438849084854764E-2</v>
      </c>
      <c r="BF546" s="2">
        <v>7.149564986855049E-2</v>
      </c>
      <c r="BG546" s="2">
        <v>0.10368571810536763</v>
      </c>
      <c r="BH546" s="2">
        <v>8.4970330952544637E-2</v>
      </c>
      <c r="BI546" s="2">
        <v>8.4593878877262704E-2</v>
      </c>
      <c r="BJ546" s="2">
        <v>5.7447105462779965E-2</v>
      </c>
      <c r="BK546" s="2">
        <v>8.5153852345557474E-2</v>
      </c>
      <c r="BL546" s="2">
        <v>7.4158058913035174E-2</v>
      </c>
      <c r="BM546" s="2">
        <v>7.5718189192107169E-2</v>
      </c>
      <c r="BN546" s="2">
        <v>7.3955559365675619E-2</v>
      </c>
    </row>
    <row r="547" spans="1:66" x14ac:dyDescent="0.25">
      <c r="A547" s="8">
        <v>2390</v>
      </c>
      <c r="B547" s="8" t="s">
        <v>449</v>
      </c>
      <c r="C547" s="5">
        <v>0</v>
      </c>
      <c r="D547" s="5">
        <f>+$C547*BC547</f>
        <v>0</v>
      </c>
      <c r="E547" s="5">
        <f>+$C547*BD547</f>
        <v>0</v>
      </c>
      <c r="F547" s="5">
        <f>+$C547*BE547</f>
        <v>0</v>
      </c>
      <c r="G547" s="5">
        <f>+$C547*BF547</f>
        <v>0</v>
      </c>
      <c r="H547" s="5">
        <f>+$C547*BG547</f>
        <v>0</v>
      </c>
      <c r="I547" s="5">
        <f>+$C547*BH547</f>
        <v>0</v>
      </c>
      <c r="J547" s="5">
        <f>+$C547*BI547</f>
        <v>0</v>
      </c>
      <c r="K547" s="5">
        <f>+$C547*BJ547</f>
        <v>0</v>
      </c>
      <c r="L547" s="5">
        <f>+$C547*BK547</f>
        <v>0</v>
      </c>
      <c r="M547" s="5">
        <f>+$C547*BL547</f>
        <v>0</v>
      </c>
      <c r="N547" s="5">
        <f>+$C547*BM547</f>
        <v>0</v>
      </c>
      <c r="O547" s="5">
        <f>+$C547*BN547</f>
        <v>0</v>
      </c>
      <c r="P547" s="5">
        <v>500</v>
      </c>
      <c r="Q547" s="5">
        <f>+$P547*BC547</f>
        <v>44.590782974371123</v>
      </c>
      <c r="R547" s="5">
        <f>+$P547*BD547</f>
        <v>53.32638941722599</v>
      </c>
      <c r="S547" s="5">
        <f>+$P547*BE547</f>
        <v>47.194245424273824</v>
      </c>
      <c r="T547" s="5">
        <f>+$P547*BF547</f>
        <v>35.747824934275243</v>
      </c>
      <c r="U547" s="5">
        <f>+$P547*BG547</f>
        <v>51.842859052683814</v>
      </c>
      <c r="V547" s="5">
        <f>+$P547*BH547</f>
        <v>42.485165476272321</v>
      </c>
      <c r="W547" s="5">
        <f>+$P547*BI547</f>
        <v>42.296939438631355</v>
      </c>
      <c r="X547" s="5">
        <f>+$P547*BJ547</f>
        <v>28.723552731389983</v>
      </c>
      <c r="Y547" s="5">
        <f>+$P547*BK547</f>
        <v>42.576926172778734</v>
      </c>
      <c r="Z547" s="5">
        <f>+$P547*BL547</f>
        <v>37.079029456517588</v>
      </c>
      <c r="AA547" s="5">
        <f>+$P547*BM547</f>
        <v>37.859094596053588</v>
      </c>
      <c r="AB547" s="5">
        <f>+$P547*BN547</f>
        <v>36.977779682837813</v>
      </c>
      <c r="AC547" s="5">
        <v>0</v>
      </c>
      <c r="AD547" s="5">
        <f>+$AC547*BC547</f>
        <v>0</v>
      </c>
      <c r="AE547" s="5">
        <f>+$AC547*BD547</f>
        <v>0</v>
      </c>
      <c r="AF547" s="5">
        <f>+$AC547*BE547</f>
        <v>0</v>
      </c>
      <c r="AG547" s="5">
        <f>+$AC547*BF547</f>
        <v>0</v>
      </c>
      <c r="AH547" s="5">
        <f>+$AC547*BG547</f>
        <v>0</v>
      </c>
      <c r="AI547" s="5">
        <f>+$AC547*BH547</f>
        <v>0</v>
      </c>
      <c r="AJ547" s="5">
        <f>+$AC547*BI547</f>
        <v>0</v>
      </c>
      <c r="AK547" s="5">
        <f>+$AC547*BJ547</f>
        <v>0</v>
      </c>
      <c r="AL547" s="5">
        <f>+$AC547*BK547</f>
        <v>0</v>
      </c>
      <c r="AM547" s="5">
        <f>+$AC547*BL547</f>
        <v>0</v>
      </c>
      <c r="AN547" s="5">
        <f>+$AC547*BM547</f>
        <v>0</v>
      </c>
      <c r="AO547" s="5">
        <f>+$AC547*BN547</f>
        <v>0</v>
      </c>
      <c r="AP547" s="5">
        <f>+AC547+P547+C547</f>
        <v>500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2">
        <v>8.9181565948742242E-2</v>
      </c>
      <c r="BD547" s="2">
        <v>0.10665277883445198</v>
      </c>
      <c r="BE547" s="2">
        <v>9.438849084854764E-2</v>
      </c>
      <c r="BF547" s="2">
        <v>7.149564986855049E-2</v>
      </c>
      <c r="BG547" s="2">
        <v>0.10368571810536763</v>
      </c>
      <c r="BH547" s="2">
        <v>8.4970330952544637E-2</v>
      </c>
      <c r="BI547" s="2">
        <v>8.4593878877262704E-2</v>
      </c>
      <c r="BJ547" s="2">
        <v>5.7447105462779965E-2</v>
      </c>
      <c r="BK547" s="2">
        <v>8.5153852345557474E-2</v>
      </c>
      <c r="BL547" s="2">
        <v>7.4158058913035174E-2</v>
      </c>
      <c r="BM547" s="2">
        <v>7.5718189192107169E-2</v>
      </c>
      <c r="BN547" s="2">
        <v>7.3955559365675619E-2</v>
      </c>
    </row>
    <row r="548" spans="1:66" x14ac:dyDescent="0.25">
      <c r="A548" s="8">
        <v>2451</v>
      </c>
      <c r="B548" s="8" t="s">
        <v>448</v>
      </c>
      <c r="C548" s="5">
        <v>0</v>
      </c>
      <c r="D548" s="5">
        <f>+$C548*BC548</f>
        <v>0</v>
      </c>
      <c r="E548" s="5">
        <f>+$C548*BD548</f>
        <v>0</v>
      </c>
      <c r="F548" s="5">
        <f>+$C548*BE548</f>
        <v>0</v>
      </c>
      <c r="G548" s="5">
        <f>+$C548*BF548</f>
        <v>0</v>
      </c>
      <c r="H548" s="5">
        <f>+$C548*BG548</f>
        <v>0</v>
      </c>
      <c r="I548" s="5">
        <f>+$C548*BH548</f>
        <v>0</v>
      </c>
      <c r="J548" s="5">
        <f>+$C548*BI548</f>
        <v>0</v>
      </c>
      <c r="K548" s="5">
        <f>+$C548*BJ548</f>
        <v>0</v>
      </c>
      <c r="L548" s="5">
        <f>+$C548*BK548</f>
        <v>0</v>
      </c>
      <c r="M548" s="5">
        <f>+$C548*BL548</f>
        <v>0</v>
      </c>
      <c r="N548" s="5">
        <f>+$C548*BM548</f>
        <v>0</v>
      </c>
      <c r="O548" s="5">
        <f>+$C548*BN548</f>
        <v>0</v>
      </c>
      <c r="P548" s="5">
        <v>4500</v>
      </c>
      <c r="Q548" s="5">
        <f>+$P548*BC548</f>
        <v>401.3170467693401</v>
      </c>
      <c r="R548" s="5">
        <f>+$P548*BD548</f>
        <v>479.9375047550339</v>
      </c>
      <c r="S548" s="5">
        <f>+$P548*BE548</f>
        <v>424.74820881846438</v>
      </c>
      <c r="T548" s="5">
        <f>+$P548*BF548</f>
        <v>321.73042440847718</v>
      </c>
      <c r="U548" s="5">
        <f>+$P548*BG548</f>
        <v>466.58573147415433</v>
      </c>
      <c r="V548" s="5">
        <f>+$P548*BH548</f>
        <v>382.36648928645087</v>
      </c>
      <c r="W548" s="5">
        <f>+$P548*BI548</f>
        <v>380.67245494768218</v>
      </c>
      <c r="X548" s="5">
        <f>+$P548*BJ548</f>
        <v>258.51197458250982</v>
      </c>
      <c r="Y548" s="5">
        <f>+$P548*BK548</f>
        <v>383.19233555500864</v>
      </c>
      <c r="Z548" s="5">
        <f>+$P548*BL548</f>
        <v>333.71126510865827</v>
      </c>
      <c r="AA548" s="5">
        <f>+$P548*BM548</f>
        <v>340.73185136448228</v>
      </c>
      <c r="AB548" s="5">
        <f>+$P548*BN548</f>
        <v>332.80001714554027</v>
      </c>
      <c r="AC548" s="5">
        <v>0</v>
      </c>
      <c r="AD548" s="5">
        <f>+$AC548*BC548</f>
        <v>0</v>
      </c>
      <c r="AE548" s="5">
        <f>+$AC548*BD548</f>
        <v>0</v>
      </c>
      <c r="AF548" s="5">
        <f>+$AC548*BE548</f>
        <v>0</v>
      </c>
      <c r="AG548" s="5">
        <f>+$AC548*BF548</f>
        <v>0</v>
      </c>
      <c r="AH548" s="5">
        <f>+$AC548*BG548</f>
        <v>0</v>
      </c>
      <c r="AI548" s="5">
        <f>+$AC548*BH548</f>
        <v>0</v>
      </c>
      <c r="AJ548" s="5">
        <f>+$AC548*BI548</f>
        <v>0</v>
      </c>
      <c r="AK548" s="5">
        <f>+$AC548*BJ548</f>
        <v>0</v>
      </c>
      <c r="AL548" s="5">
        <f>+$AC548*BK548</f>
        <v>0</v>
      </c>
      <c r="AM548" s="5">
        <f>+$AC548*BL548</f>
        <v>0</v>
      </c>
      <c r="AN548" s="5">
        <f>+$AC548*BM548</f>
        <v>0</v>
      </c>
      <c r="AO548" s="5">
        <f>+$AC548*BN548</f>
        <v>0</v>
      </c>
      <c r="AP548" s="5">
        <f>+AC548+P548+C548</f>
        <v>4500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2">
        <v>8.9181565948742242E-2</v>
      </c>
      <c r="BD548" s="2">
        <v>0.10665277883445198</v>
      </c>
      <c r="BE548" s="2">
        <v>9.438849084854764E-2</v>
      </c>
      <c r="BF548" s="2">
        <v>7.149564986855049E-2</v>
      </c>
      <c r="BG548" s="2">
        <v>0.10368571810536763</v>
      </c>
      <c r="BH548" s="2">
        <v>8.4970330952544637E-2</v>
      </c>
      <c r="BI548" s="2">
        <v>8.4593878877262704E-2</v>
      </c>
      <c r="BJ548" s="2">
        <v>5.7447105462779965E-2</v>
      </c>
      <c r="BK548" s="2">
        <v>8.5153852345557474E-2</v>
      </c>
      <c r="BL548" s="2">
        <v>7.4158058913035174E-2</v>
      </c>
      <c r="BM548" s="2">
        <v>7.5718189192107169E-2</v>
      </c>
      <c r="BN548" s="2">
        <v>7.3955559365675619E-2</v>
      </c>
    </row>
    <row r="549" spans="1:66" x14ac:dyDescent="0.25">
      <c r="A549" s="8">
        <v>2452</v>
      </c>
      <c r="B549" s="8" t="s">
        <v>447</v>
      </c>
      <c r="C549" s="5">
        <v>0</v>
      </c>
      <c r="D549" s="5">
        <f>+$C549*BC549</f>
        <v>0</v>
      </c>
      <c r="E549" s="5">
        <f>+$C549*BD549</f>
        <v>0</v>
      </c>
      <c r="F549" s="5">
        <f>+$C549*BE549</f>
        <v>0</v>
      </c>
      <c r="G549" s="5">
        <f>+$C549*BF549</f>
        <v>0</v>
      </c>
      <c r="H549" s="5">
        <f>+$C549*BG549</f>
        <v>0</v>
      </c>
      <c r="I549" s="5">
        <f>+$C549*BH549</f>
        <v>0</v>
      </c>
      <c r="J549" s="5">
        <f>+$C549*BI549</f>
        <v>0</v>
      </c>
      <c r="K549" s="5">
        <f>+$C549*BJ549</f>
        <v>0</v>
      </c>
      <c r="L549" s="5">
        <f>+$C549*BK549</f>
        <v>0</v>
      </c>
      <c r="M549" s="5">
        <f>+$C549*BL549</f>
        <v>0</v>
      </c>
      <c r="N549" s="5">
        <f>+$C549*BM549</f>
        <v>0</v>
      </c>
      <c r="O549" s="5">
        <f>+$C549*BN549</f>
        <v>0</v>
      </c>
      <c r="P549" s="5">
        <v>0</v>
      </c>
      <c r="Q549" s="5">
        <f>+$P549*BC549</f>
        <v>0</v>
      </c>
      <c r="R549" s="5">
        <f>+$P549*BD549</f>
        <v>0</v>
      </c>
      <c r="S549" s="5">
        <f>+$P549*BE549</f>
        <v>0</v>
      </c>
      <c r="T549" s="5">
        <f>+$P549*BF549</f>
        <v>0</v>
      </c>
      <c r="U549" s="5">
        <f>+$P549*BG549</f>
        <v>0</v>
      </c>
      <c r="V549" s="5">
        <f>+$P549*BH549</f>
        <v>0</v>
      </c>
      <c r="W549" s="5">
        <f>+$P549*BI549</f>
        <v>0</v>
      </c>
      <c r="X549" s="5">
        <f>+$P549*BJ549</f>
        <v>0</v>
      </c>
      <c r="Y549" s="5">
        <f>+$P549*BK549</f>
        <v>0</v>
      </c>
      <c r="Z549" s="5">
        <f>+$P549*BL549</f>
        <v>0</v>
      </c>
      <c r="AA549" s="5">
        <f>+$P549*BM549</f>
        <v>0</v>
      </c>
      <c r="AB549" s="5">
        <f>+$P549*BN549</f>
        <v>0</v>
      </c>
      <c r="AC549" s="5">
        <v>0</v>
      </c>
      <c r="AD549" s="5">
        <f>+$AC549*BC549</f>
        <v>0</v>
      </c>
      <c r="AE549" s="5">
        <f>+$AC549*BD549</f>
        <v>0</v>
      </c>
      <c r="AF549" s="5">
        <f>+$AC549*BE549</f>
        <v>0</v>
      </c>
      <c r="AG549" s="5">
        <f>+$AC549*BF549</f>
        <v>0</v>
      </c>
      <c r="AH549" s="5">
        <f>+$AC549*BG549</f>
        <v>0</v>
      </c>
      <c r="AI549" s="5">
        <f>+$AC549*BH549</f>
        <v>0</v>
      </c>
      <c r="AJ549" s="5">
        <f>+$AC549*BI549</f>
        <v>0</v>
      </c>
      <c r="AK549" s="5">
        <f>+$AC549*BJ549</f>
        <v>0</v>
      </c>
      <c r="AL549" s="5">
        <f>+$AC549*BK549</f>
        <v>0</v>
      </c>
      <c r="AM549" s="5">
        <f>+$AC549*BL549</f>
        <v>0</v>
      </c>
      <c r="AN549" s="5">
        <f>+$AC549*BM549</f>
        <v>0</v>
      </c>
      <c r="AO549" s="5">
        <f>+$AC549*BN549</f>
        <v>0</v>
      </c>
      <c r="AP549" s="5">
        <f>+AC549+P549+C549</f>
        <v>0</v>
      </c>
      <c r="AQ549" s="1">
        <v>75.411218713728857</v>
      </c>
      <c r="AR549" s="1">
        <v>90.184736560181932</v>
      </c>
      <c r="AS549" s="1">
        <v>79.8141527536051</v>
      </c>
      <c r="AT549" s="1">
        <v>60.456149563647351</v>
      </c>
      <c r="AU549" s="1">
        <v>87.675813744154027</v>
      </c>
      <c r="AV549" s="1">
        <v>71.850232090824136</v>
      </c>
      <c r="AW549" s="1">
        <v>71.531907227582337</v>
      </c>
      <c r="AX549" s="1">
        <v>48.57681280248304</v>
      </c>
      <c r="AY549" s="1">
        <v>72.005416312584643</v>
      </c>
      <c r="AZ549" s="1">
        <v>62.707461352391249</v>
      </c>
      <c r="BA549" s="1">
        <v>64.026695035332295</v>
      </c>
      <c r="BB549" s="1">
        <v>62.536229355140385</v>
      </c>
      <c r="BC549" s="2">
        <v>8.9181565948742242E-2</v>
      </c>
      <c r="BD549" s="2">
        <v>0.10665277883445198</v>
      </c>
      <c r="BE549" s="2">
        <v>9.438849084854764E-2</v>
      </c>
      <c r="BF549" s="2">
        <v>7.149564986855049E-2</v>
      </c>
      <c r="BG549" s="2">
        <v>0.10368571810536763</v>
      </c>
      <c r="BH549" s="2">
        <v>8.4970330952544637E-2</v>
      </c>
      <c r="BI549" s="2">
        <v>8.4593878877262704E-2</v>
      </c>
      <c r="BJ549" s="2">
        <v>5.7447105462779965E-2</v>
      </c>
      <c r="BK549" s="2">
        <v>8.5153852345557474E-2</v>
      </c>
      <c r="BL549" s="2">
        <v>7.4158058913035174E-2</v>
      </c>
      <c r="BM549" s="2">
        <v>7.5718189192107169E-2</v>
      </c>
      <c r="BN549" s="2">
        <v>7.3955559365675619E-2</v>
      </c>
    </row>
    <row r="550" spans="1:66" x14ac:dyDescent="0.25">
      <c r="A550" s="8">
        <v>2473</v>
      </c>
      <c r="B550" s="8" t="s">
        <v>446</v>
      </c>
      <c r="C550" s="5">
        <v>6000</v>
      </c>
      <c r="D550" s="5">
        <f>+$C550*BC550</f>
        <v>535.08939569245342</v>
      </c>
      <c r="E550" s="5">
        <f>+$C550*BD550</f>
        <v>639.9166730067119</v>
      </c>
      <c r="F550" s="5">
        <f>+$C550*BE550</f>
        <v>566.3309450912858</v>
      </c>
      <c r="G550" s="5">
        <f>+$C550*BF550</f>
        <v>428.97389921130292</v>
      </c>
      <c r="H550" s="5">
        <f>+$C550*BG550</f>
        <v>622.11430863220573</v>
      </c>
      <c r="I550" s="5">
        <f>+$C550*BH550</f>
        <v>509.82198571526783</v>
      </c>
      <c r="J550" s="5">
        <f>+$C550*BI550</f>
        <v>507.56327326357621</v>
      </c>
      <c r="K550" s="5">
        <f>+$C550*BJ550</f>
        <v>344.68263277667978</v>
      </c>
      <c r="L550" s="5">
        <f>+$C550*BK550</f>
        <v>510.92311407334483</v>
      </c>
      <c r="M550" s="5">
        <f>+$C550*BL550</f>
        <v>444.94835347821106</v>
      </c>
      <c r="N550" s="5">
        <f>+$C550*BM550</f>
        <v>454.30913515264302</v>
      </c>
      <c r="O550" s="5">
        <f>+$C550*BN550</f>
        <v>443.73335619405373</v>
      </c>
      <c r="P550" s="5">
        <v>0</v>
      </c>
      <c r="Q550" s="5">
        <f>+$P550*BC550</f>
        <v>0</v>
      </c>
      <c r="R550" s="5">
        <f>+$P550*BD550</f>
        <v>0</v>
      </c>
      <c r="S550" s="5">
        <f>+$P550*BE550</f>
        <v>0</v>
      </c>
      <c r="T550" s="5">
        <f>+$P550*BF550</f>
        <v>0</v>
      </c>
      <c r="U550" s="5">
        <f>+$P550*BG550</f>
        <v>0</v>
      </c>
      <c r="V550" s="5">
        <f>+$P550*BH550</f>
        <v>0</v>
      </c>
      <c r="W550" s="5">
        <f>+$P550*BI550</f>
        <v>0</v>
      </c>
      <c r="X550" s="5">
        <f>+$P550*BJ550</f>
        <v>0</v>
      </c>
      <c r="Y550" s="5">
        <f>+$P550*BK550</f>
        <v>0</v>
      </c>
      <c r="Z550" s="5">
        <f>+$P550*BL550</f>
        <v>0</v>
      </c>
      <c r="AA550" s="5">
        <f>+$P550*BM550</f>
        <v>0</v>
      </c>
      <c r="AB550" s="5">
        <f>+$P550*BN550</f>
        <v>0</v>
      </c>
      <c r="AC550" s="5">
        <v>0</v>
      </c>
      <c r="AD550" s="5">
        <f>+$AC550*BC550</f>
        <v>0</v>
      </c>
      <c r="AE550" s="5">
        <f>+$AC550*BD550</f>
        <v>0</v>
      </c>
      <c r="AF550" s="5">
        <f>+$AC550*BE550</f>
        <v>0</v>
      </c>
      <c r="AG550" s="5">
        <f>+$AC550*BF550</f>
        <v>0</v>
      </c>
      <c r="AH550" s="5">
        <f>+$AC550*BG550</f>
        <v>0</v>
      </c>
      <c r="AI550" s="5">
        <f>+$AC550*BH550</f>
        <v>0</v>
      </c>
      <c r="AJ550" s="5">
        <f>+$AC550*BI550</f>
        <v>0</v>
      </c>
      <c r="AK550" s="5">
        <f>+$AC550*BJ550</f>
        <v>0</v>
      </c>
      <c r="AL550" s="5">
        <f>+$AC550*BK550</f>
        <v>0</v>
      </c>
      <c r="AM550" s="5">
        <f>+$AC550*BL550</f>
        <v>0</v>
      </c>
      <c r="AN550" s="5">
        <f>+$AC550*BM550</f>
        <v>0</v>
      </c>
      <c r="AO550" s="5">
        <f>+$AC550*BN550</f>
        <v>0</v>
      </c>
      <c r="AP550" s="5">
        <f>+AC550+P550+C550</f>
        <v>6000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2">
        <v>8.9181565948742242E-2</v>
      </c>
      <c r="BD550" s="2">
        <v>0.10665277883445198</v>
      </c>
      <c r="BE550" s="2">
        <v>9.438849084854764E-2</v>
      </c>
      <c r="BF550" s="2">
        <v>7.149564986855049E-2</v>
      </c>
      <c r="BG550" s="2">
        <v>0.10368571810536763</v>
      </c>
      <c r="BH550" s="2">
        <v>8.4970330952544637E-2</v>
      </c>
      <c r="BI550" s="2">
        <v>8.4593878877262704E-2</v>
      </c>
      <c r="BJ550" s="2">
        <v>5.7447105462779965E-2</v>
      </c>
      <c r="BK550" s="2">
        <v>8.5153852345557474E-2</v>
      </c>
      <c r="BL550" s="2">
        <v>7.4158058913035174E-2</v>
      </c>
      <c r="BM550" s="2">
        <v>7.5718189192107169E-2</v>
      </c>
      <c r="BN550" s="2">
        <v>7.3955559365675619E-2</v>
      </c>
    </row>
    <row r="551" spans="1:66" x14ac:dyDescent="0.25">
      <c r="A551" s="8">
        <v>2483</v>
      </c>
      <c r="B551" s="8" t="s">
        <v>445</v>
      </c>
      <c r="C551" s="5">
        <v>0</v>
      </c>
      <c r="D551" s="5">
        <f>+$C551*BC551</f>
        <v>0</v>
      </c>
      <c r="E551" s="5">
        <f>+$C551*BD551</f>
        <v>0</v>
      </c>
      <c r="F551" s="5">
        <f>+$C551*BE551</f>
        <v>0</v>
      </c>
      <c r="G551" s="5">
        <f>+$C551*BF551</f>
        <v>0</v>
      </c>
      <c r="H551" s="5">
        <f>+$C551*BG551</f>
        <v>0</v>
      </c>
      <c r="I551" s="5">
        <f>+$C551*BH551</f>
        <v>0</v>
      </c>
      <c r="J551" s="5">
        <f>+$C551*BI551</f>
        <v>0</v>
      </c>
      <c r="K551" s="5">
        <f>+$C551*BJ551</f>
        <v>0</v>
      </c>
      <c r="L551" s="5">
        <f>+$C551*BK551</f>
        <v>0</v>
      </c>
      <c r="M551" s="5">
        <f>+$C551*BL551</f>
        <v>0</v>
      </c>
      <c r="N551" s="5">
        <f>+$C551*BM551</f>
        <v>0</v>
      </c>
      <c r="O551" s="5">
        <f>+$C551*BN551</f>
        <v>0</v>
      </c>
      <c r="P551" s="5">
        <v>0</v>
      </c>
      <c r="Q551" s="5">
        <f>+$P551*BC551</f>
        <v>0</v>
      </c>
      <c r="R551" s="5">
        <f>+$P551*BD551</f>
        <v>0</v>
      </c>
      <c r="S551" s="5">
        <f>+$P551*BE551</f>
        <v>0</v>
      </c>
      <c r="T551" s="5">
        <f>+$P551*BF551</f>
        <v>0</v>
      </c>
      <c r="U551" s="5">
        <f>+$P551*BG551</f>
        <v>0</v>
      </c>
      <c r="V551" s="5">
        <f>+$P551*BH551</f>
        <v>0</v>
      </c>
      <c r="W551" s="5">
        <f>+$P551*BI551</f>
        <v>0</v>
      </c>
      <c r="X551" s="5">
        <f>+$P551*BJ551</f>
        <v>0</v>
      </c>
      <c r="Y551" s="5">
        <f>+$P551*BK551</f>
        <v>0</v>
      </c>
      <c r="Z551" s="5">
        <f>+$P551*BL551</f>
        <v>0</v>
      </c>
      <c r="AA551" s="5">
        <f>+$P551*BM551</f>
        <v>0</v>
      </c>
      <c r="AB551" s="5">
        <f>+$P551*BN551</f>
        <v>0</v>
      </c>
      <c r="AC551" s="5">
        <v>0</v>
      </c>
      <c r="AD551" s="5">
        <f>+$AC551*BC551</f>
        <v>0</v>
      </c>
      <c r="AE551" s="5">
        <f>+$AC551*BD551</f>
        <v>0</v>
      </c>
      <c r="AF551" s="5">
        <f>+$AC551*BE551</f>
        <v>0</v>
      </c>
      <c r="AG551" s="5">
        <f>+$AC551*BF551</f>
        <v>0</v>
      </c>
      <c r="AH551" s="5">
        <f>+$AC551*BG551</f>
        <v>0</v>
      </c>
      <c r="AI551" s="5">
        <f>+$AC551*BH551</f>
        <v>0</v>
      </c>
      <c r="AJ551" s="5">
        <f>+$AC551*BI551</f>
        <v>0</v>
      </c>
      <c r="AK551" s="5">
        <f>+$AC551*BJ551</f>
        <v>0</v>
      </c>
      <c r="AL551" s="5">
        <f>+$AC551*BK551</f>
        <v>0</v>
      </c>
      <c r="AM551" s="5">
        <f>+$AC551*BL551</f>
        <v>0</v>
      </c>
      <c r="AN551" s="5">
        <f>+$AC551*BM551</f>
        <v>0</v>
      </c>
      <c r="AO551" s="5">
        <f>+$AC551*BN551</f>
        <v>0</v>
      </c>
      <c r="AP551" s="5">
        <f>+AC551+P551+C551</f>
        <v>0</v>
      </c>
      <c r="AQ551" s="1">
        <v>11.085268647428661</v>
      </c>
      <c r="AR551" s="1">
        <v>13.256940409122382</v>
      </c>
      <c r="AS551" s="1">
        <v>11.732489412474473</v>
      </c>
      <c r="AT551" s="1">
        <v>8.886909278660827</v>
      </c>
      <c r="AU551" s="1">
        <v>12.888134760497197</v>
      </c>
      <c r="AV551" s="1">
        <v>10.561812137401299</v>
      </c>
      <c r="AW551" s="1">
        <v>10.515019144443755</v>
      </c>
      <c r="AX551" s="1">
        <v>7.1406752090235504</v>
      </c>
      <c r="AY551" s="1">
        <v>10.584623846552795</v>
      </c>
      <c r="AZ551" s="1">
        <v>9.2178467228902736</v>
      </c>
      <c r="BA551" s="1">
        <v>9.4117709165789218</v>
      </c>
      <c r="BB551" s="1">
        <v>9.1926760291534801</v>
      </c>
      <c r="BC551" s="2">
        <v>8.9181565948742242E-2</v>
      </c>
      <c r="BD551" s="2">
        <v>0.10665277883445198</v>
      </c>
      <c r="BE551" s="2">
        <v>9.438849084854764E-2</v>
      </c>
      <c r="BF551" s="2">
        <v>7.149564986855049E-2</v>
      </c>
      <c r="BG551" s="2">
        <v>0.10368571810536763</v>
      </c>
      <c r="BH551" s="2">
        <v>8.4970330952544637E-2</v>
      </c>
      <c r="BI551" s="2">
        <v>8.4593878877262704E-2</v>
      </c>
      <c r="BJ551" s="2">
        <v>5.7447105462779965E-2</v>
      </c>
      <c r="BK551" s="2">
        <v>8.5153852345557474E-2</v>
      </c>
      <c r="BL551" s="2">
        <v>7.4158058913035174E-2</v>
      </c>
      <c r="BM551" s="2">
        <v>7.5718189192107169E-2</v>
      </c>
      <c r="BN551" s="2">
        <v>7.3955559365675619E-2</v>
      </c>
    </row>
    <row r="552" spans="1:66" x14ac:dyDescent="0.25">
      <c r="A552" s="8">
        <v>2541</v>
      </c>
      <c r="B552" s="8" t="s">
        <v>444</v>
      </c>
      <c r="C552" s="5">
        <v>0</v>
      </c>
      <c r="D552" s="5">
        <f>+$C552*BC552</f>
        <v>0</v>
      </c>
      <c r="E552" s="5">
        <f>+$C552*BD552</f>
        <v>0</v>
      </c>
      <c r="F552" s="5">
        <f>+$C552*BE552</f>
        <v>0</v>
      </c>
      <c r="G552" s="5">
        <f>+$C552*BF552</f>
        <v>0</v>
      </c>
      <c r="H552" s="5">
        <f>+$C552*BG552</f>
        <v>0</v>
      </c>
      <c r="I552" s="5">
        <f>+$C552*BH552</f>
        <v>0</v>
      </c>
      <c r="J552" s="5">
        <f>+$C552*BI552</f>
        <v>0</v>
      </c>
      <c r="K552" s="5">
        <f>+$C552*BJ552</f>
        <v>0</v>
      </c>
      <c r="L552" s="5">
        <f>+$C552*BK552</f>
        <v>0</v>
      </c>
      <c r="M552" s="5">
        <f>+$C552*BL552</f>
        <v>0</v>
      </c>
      <c r="N552" s="5">
        <f>+$C552*BM552</f>
        <v>0</v>
      </c>
      <c r="O552" s="5">
        <f>+$C552*BN552</f>
        <v>0</v>
      </c>
      <c r="P552" s="5">
        <v>1500</v>
      </c>
      <c r="Q552" s="5">
        <f>+$P552*BC552</f>
        <v>133.77234892311336</v>
      </c>
      <c r="R552" s="5">
        <f>+$P552*BD552</f>
        <v>159.97916825167798</v>
      </c>
      <c r="S552" s="5">
        <f>+$P552*BE552</f>
        <v>141.58273627282145</v>
      </c>
      <c r="T552" s="5">
        <f>+$P552*BF552</f>
        <v>107.24347480282573</v>
      </c>
      <c r="U552" s="5">
        <f>+$P552*BG552</f>
        <v>155.52857715805143</v>
      </c>
      <c r="V552" s="5">
        <f>+$P552*BH552</f>
        <v>127.45549642881696</v>
      </c>
      <c r="W552" s="5">
        <f>+$P552*BI552</f>
        <v>126.89081831589405</v>
      </c>
      <c r="X552" s="5">
        <f>+$P552*BJ552</f>
        <v>86.170658194169945</v>
      </c>
      <c r="Y552" s="5">
        <f>+$P552*BK552</f>
        <v>127.73077851833621</v>
      </c>
      <c r="Z552" s="5">
        <f>+$P552*BL552</f>
        <v>111.23708836955277</v>
      </c>
      <c r="AA552" s="5">
        <f>+$P552*BM552</f>
        <v>113.57728378816076</v>
      </c>
      <c r="AB552" s="5">
        <f>+$P552*BN552</f>
        <v>110.93333904851343</v>
      </c>
      <c r="AC552" s="5">
        <v>0</v>
      </c>
      <c r="AD552" s="5">
        <f>+$AC552*BC552</f>
        <v>0</v>
      </c>
      <c r="AE552" s="5">
        <f>+$AC552*BD552</f>
        <v>0</v>
      </c>
      <c r="AF552" s="5">
        <f>+$AC552*BE552</f>
        <v>0</v>
      </c>
      <c r="AG552" s="5">
        <f>+$AC552*BF552</f>
        <v>0</v>
      </c>
      <c r="AH552" s="5">
        <f>+$AC552*BG552</f>
        <v>0</v>
      </c>
      <c r="AI552" s="5">
        <f>+$AC552*BH552</f>
        <v>0</v>
      </c>
      <c r="AJ552" s="5">
        <f>+$AC552*BI552</f>
        <v>0</v>
      </c>
      <c r="AK552" s="5">
        <f>+$AC552*BJ552</f>
        <v>0</v>
      </c>
      <c r="AL552" s="5">
        <f>+$AC552*BK552</f>
        <v>0</v>
      </c>
      <c r="AM552" s="5">
        <f>+$AC552*BL552</f>
        <v>0</v>
      </c>
      <c r="AN552" s="5">
        <f>+$AC552*BM552</f>
        <v>0</v>
      </c>
      <c r="AO552" s="5">
        <f>+$AC552*BN552</f>
        <v>0</v>
      </c>
      <c r="AP552" s="5">
        <f>+AC552+P552+C552</f>
        <v>1500</v>
      </c>
      <c r="AQ552" s="1">
        <v>1.6676952832414802</v>
      </c>
      <c r="AR552" s="1">
        <v>1.9944069642042523</v>
      </c>
      <c r="AS552" s="1">
        <v>1.7650647788678411</v>
      </c>
      <c r="AT552" s="1">
        <v>1.3369686525418945</v>
      </c>
      <c r="AU552" s="1">
        <v>1.9389229285703748</v>
      </c>
      <c r="AV552" s="1">
        <v>1.588945188812585</v>
      </c>
      <c r="AW552" s="1">
        <v>1.5819055350048128</v>
      </c>
      <c r="AX552" s="1">
        <v>1.0742608721539855</v>
      </c>
      <c r="AY552" s="1">
        <v>1.5923770388619249</v>
      </c>
      <c r="AZ552" s="1">
        <v>1.3867557016737579</v>
      </c>
      <c r="BA552" s="1">
        <v>1.4159301378924043</v>
      </c>
      <c r="BB552" s="1">
        <v>1.3829689601381343</v>
      </c>
      <c r="BC552" s="2">
        <v>8.9181565948742242E-2</v>
      </c>
      <c r="BD552" s="2">
        <v>0.10665277883445198</v>
      </c>
      <c r="BE552" s="2">
        <v>9.438849084854764E-2</v>
      </c>
      <c r="BF552" s="2">
        <v>7.149564986855049E-2</v>
      </c>
      <c r="BG552" s="2">
        <v>0.10368571810536763</v>
      </c>
      <c r="BH552" s="2">
        <v>8.4970330952544637E-2</v>
      </c>
      <c r="BI552" s="2">
        <v>8.4593878877262704E-2</v>
      </c>
      <c r="BJ552" s="2">
        <v>5.7447105462779965E-2</v>
      </c>
      <c r="BK552" s="2">
        <v>8.5153852345557474E-2</v>
      </c>
      <c r="BL552" s="2">
        <v>7.4158058913035174E-2</v>
      </c>
      <c r="BM552" s="2">
        <v>7.5718189192107169E-2</v>
      </c>
      <c r="BN552" s="2">
        <v>7.3955559365675619E-2</v>
      </c>
    </row>
    <row r="553" spans="1:66" x14ac:dyDescent="0.25">
      <c r="A553" s="8">
        <v>2548</v>
      </c>
      <c r="B553" s="8" t="s">
        <v>443</v>
      </c>
      <c r="C553" s="5">
        <v>0</v>
      </c>
      <c r="D553" s="5">
        <f>+$C553*BC553</f>
        <v>0</v>
      </c>
      <c r="E553" s="5">
        <f>+$C553*BD553</f>
        <v>0</v>
      </c>
      <c r="F553" s="5">
        <f>+$C553*BE553</f>
        <v>0</v>
      </c>
      <c r="G553" s="5">
        <f>+$C553*BF553</f>
        <v>0</v>
      </c>
      <c r="H553" s="5">
        <f>+$C553*BG553</f>
        <v>0</v>
      </c>
      <c r="I553" s="5">
        <f>+$C553*BH553</f>
        <v>0</v>
      </c>
      <c r="J553" s="5">
        <f>+$C553*BI553</f>
        <v>0</v>
      </c>
      <c r="K553" s="5">
        <f>+$C553*BJ553</f>
        <v>0</v>
      </c>
      <c r="L553" s="5">
        <f>+$C553*BK553</f>
        <v>0</v>
      </c>
      <c r="M553" s="5">
        <f>+$C553*BL553</f>
        <v>0</v>
      </c>
      <c r="N553" s="5">
        <f>+$C553*BM553</f>
        <v>0</v>
      </c>
      <c r="O553" s="5">
        <f>+$C553*BN553</f>
        <v>0</v>
      </c>
      <c r="P553" s="5">
        <v>2000</v>
      </c>
      <c r="Q553" s="5">
        <f>+$P553*BC553</f>
        <v>178.36313189748449</v>
      </c>
      <c r="R553" s="5">
        <f>+$P553*BD553</f>
        <v>213.30555766890396</v>
      </c>
      <c r="S553" s="5">
        <f>+$P553*BE553</f>
        <v>188.77698169709529</v>
      </c>
      <c r="T553" s="5">
        <f>+$P553*BF553</f>
        <v>142.99129973710097</v>
      </c>
      <c r="U553" s="5">
        <f>+$P553*BG553</f>
        <v>207.37143621073525</v>
      </c>
      <c r="V553" s="5">
        <f>+$P553*BH553</f>
        <v>169.94066190508929</v>
      </c>
      <c r="W553" s="5">
        <f>+$P553*BI553</f>
        <v>169.18775775452542</v>
      </c>
      <c r="X553" s="5">
        <f>+$P553*BJ553</f>
        <v>114.89421092555993</v>
      </c>
      <c r="Y553" s="5">
        <f>+$P553*BK553</f>
        <v>170.30770469111494</v>
      </c>
      <c r="Z553" s="5">
        <f>+$P553*BL553</f>
        <v>148.31611782607035</v>
      </c>
      <c r="AA553" s="5">
        <f>+$P553*BM553</f>
        <v>151.43637838421435</v>
      </c>
      <c r="AB553" s="5">
        <f>+$P553*BN553</f>
        <v>147.91111873135125</v>
      </c>
      <c r="AC553" s="5">
        <v>0</v>
      </c>
      <c r="AD553" s="5">
        <f>+$AC553*BC553</f>
        <v>0</v>
      </c>
      <c r="AE553" s="5">
        <f>+$AC553*BD553</f>
        <v>0</v>
      </c>
      <c r="AF553" s="5">
        <f>+$AC553*BE553</f>
        <v>0</v>
      </c>
      <c r="AG553" s="5">
        <f>+$AC553*BF553</f>
        <v>0</v>
      </c>
      <c r="AH553" s="5">
        <f>+$AC553*BG553</f>
        <v>0</v>
      </c>
      <c r="AI553" s="5">
        <f>+$AC553*BH553</f>
        <v>0</v>
      </c>
      <c r="AJ553" s="5">
        <f>+$AC553*BI553</f>
        <v>0</v>
      </c>
      <c r="AK553" s="5">
        <f>+$AC553*BJ553</f>
        <v>0</v>
      </c>
      <c r="AL553" s="5">
        <f>+$AC553*BK553</f>
        <v>0</v>
      </c>
      <c r="AM553" s="5">
        <f>+$AC553*BL553</f>
        <v>0</v>
      </c>
      <c r="AN553" s="5">
        <f>+$AC553*BM553</f>
        <v>0</v>
      </c>
      <c r="AO553" s="5">
        <f>+$AC553*BN553</f>
        <v>0</v>
      </c>
      <c r="AP553" s="5">
        <f>+AC553+P553+C553</f>
        <v>2000</v>
      </c>
      <c r="AQ553" s="1">
        <v>256.0285038721338</v>
      </c>
      <c r="AR553" s="1">
        <v>306.18604986690553</v>
      </c>
      <c r="AS553" s="1">
        <v>270.97689794538832</v>
      </c>
      <c r="AT553" s="1">
        <v>205.25457334682582</v>
      </c>
      <c r="AU553" s="1">
        <v>297.6680101657206</v>
      </c>
      <c r="AV553" s="1">
        <v>243.93860408106994</v>
      </c>
      <c r="AW553" s="1">
        <v>242.85785986460945</v>
      </c>
      <c r="AX553" s="1">
        <v>164.92305676572022</v>
      </c>
      <c r="AY553" s="1">
        <v>244.46546977558592</v>
      </c>
      <c r="AZ553" s="1">
        <v>212.89799827554748</v>
      </c>
      <c r="BA553" s="1">
        <v>217.37692636956635</v>
      </c>
      <c r="BB553" s="1">
        <v>212.31664880501847</v>
      </c>
      <c r="BC553" s="2">
        <v>8.9181565948742242E-2</v>
      </c>
      <c r="BD553" s="2">
        <v>0.10665277883445198</v>
      </c>
      <c r="BE553" s="2">
        <v>9.438849084854764E-2</v>
      </c>
      <c r="BF553" s="2">
        <v>7.149564986855049E-2</v>
      </c>
      <c r="BG553" s="2">
        <v>0.10368571810536763</v>
      </c>
      <c r="BH553" s="2">
        <v>8.4970330952544637E-2</v>
      </c>
      <c r="BI553" s="2">
        <v>8.4593878877262704E-2</v>
      </c>
      <c r="BJ553" s="2">
        <v>5.7447105462779965E-2</v>
      </c>
      <c r="BK553" s="2">
        <v>8.5153852345557474E-2</v>
      </c>
      <c r="BL553" s="2">
        <v>7.4158058913035174E-2</v>
      </c>
      <c r="BM553" s="2">
        <v>7.5718189192107169E-2</v>
      </c>
      <c r="BN553" s="2">
        <v>7.3955559365675619E-2</v>
      </c>
    </row>
    <row r="554" spans="1:66" x14ac:dyDescent="0.25">
      <c r="A554" s="8">
        <v>2643</v>
      </c>
      <c r="B554" s="8" t="s">
        <v>442</v>
      </c>
      <c r="C554" s="5">
        <v>0</v>
      </c>
      <c r="D554" s="5">
        <f>+$C554*BC554</f>
        <v>0</v>
      </c>
      <c r="E554" s="5">
        <f>+$C554*BD554</f>
        <v>0</v>
      </c>
      <c r="F554" s="5">
        <f>+$C554*BE554</f>
        <v>0</v>
      </c>
      <c r="G554" s="5">
        <f>+$C554*BF554</f>
        <v>0</v>
      </c>
      <c r="H554" s="5">
        <f>+$C554*BG554</f>
        <v>0</v>
      </c>
      <c r="I554" s="5">
        <f>+$C554*BH554</f>
        <v>0</v>
      </c>
      <c r="J554" s="5">
        <f>+$C554*BI554</f>
        <v>0</v>
      </c>
      <c r="K554" s="5">
        <f>+$C554*BJ554</f>
        <v>0</v>
      </c>
      <c r="L554" s="5">
        <f>+$C554*BK554</f>
        <v>0</v>
      </c>
      <c r="M554" s="5">
        <f>+$C554*BL554</f>
        <v>0</v>
      </c>
      <c r="N554" s="5">
        <f>+$C554*BM554</f>
        <v>0</v>
      </c>
      <c r="O554" s="5">
        <f>+$C554*BN554</f>
        <v>0</v>
      </c>
      <c r="P554" s="5">
        <v>2000</v>
      </c>
      <c r="Q554" s="5">
        <f>+$P554*BC554</f>
        <v>178.36313189748449</v>
      </c>
      <c r="R554" s="5">
        <f>+$P554*BD554</f>
        <v>213.30555766890396</v>
      </c>
      <c r="S554" s="5">
        <f>+$P554*BE554</f>
        <v>188.77698169709529</v>
      </c>
      <c r="T554" s="5">
        <f>+$P554*BF554</f>
        <v>142.99129973710097</v>
      </c>
      <c r="U554" s="5">
        <f>+$P554*BG554</f>
        <v>207.37143621073525</v>
      </c>
      <c r="V554" s="5">
        <f>+$P554*BH554</f>
        <v>169.94066190508929</v>
      </c>
      <c r="W554" s="5">
        <f>+$P554*BI554</f>
        <v>169.18775775452542</v>
      </c>
      <c r="X554" s="5">
        <f>+$P554*BJ554</f>
        <v>114.89421092555993</v>
      </c>
      <c r="Y554" s="5">
        <f>+$P554*BK554</f>
        <v>170.30770469111494</v>
      </c>
      <c r="Z554" s="5">
        <f>+$P554*BL554</f>
        <v>148.31611782607035</v>
      </c>
      <c r="AA554" s="5">
        <f>+$P554*BM554</f>
        <v>151.43637838421435</v>
      </c>
      <c r="AB554" s="5">
        <f>+$P554*BN554</f>
        <v>147.91111873135125</v>
      </c>
      <c r="AC554" s="5">
        <v>0</v>
      </c>
      <c r="AD554" s="5">
        <f>+$AC554*BC554</f>
        <v>0</v>
      </c>
      <c r="AE554" s="5">
        <f>+$AC554*BD554</f>
        <v>0</v>
      </c>
      <c r="AF554" s="5">
        <f>+$AC554*BE554</f>
        <v>0</v>
      </c>
      <c r="AG554" s="5">
        <f>+$AC554*BF554</f>
        <v>0</v>
      </c>
      <c r="AH554" s="5">
        <f>+$AC554*BG554</f>
        <v>0</v>
      </c>
      <c r="AI554" s="5">
        <f>+$AC554*BH554</f>
        <v>0</v>
      </c>
      <c r="AJ554" s="5">
        <f>+$AC554*BI554</f>
        <v>0</v>
      </c>
      <c r="AK554" s="5">
        <f>+$AC554*BJ554</f>
        <v>0</v>
      </c>
      <c r="AL554" s="5">
        <f>+$AC554*BK554</f>
        <v>0</v>
      </c>
      <c r="AM554" s="5">
        <f>+$AC554*BL554</f>
        <v>0</v>
      </c>
      <c r="AN554" s="5">
        <f>+$AC554*BM554</f>
        <v>0</v>
      </c>
      <c r="AO554" s="5">
        <f>+$AC554*BN554</f>
        <v>0</v>
      </c>
      <c r="AP554" s="5">
        <f>+AC554+P554+C554</f>
        <v>2000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2">
        <v>8.9181565948742242E-2</v>
      </c>
      <c r="BD554" s="2">
        <v>0.10665277883445198</v>
      </c>
      <c r="BE554" s="2">
        <v>9.438849084854764E-2</v>
      </c>
      <c r="BF554" s="2">
        <v>7.149564986855049E-2</v>
      </c>
      <c r="BG554" s="2">
        <v>0.10368571810536763</v>
      </c>
      <c r="BH554" s="2">
        <v>8.4970330952544637E-2</v>
      </c>
      <c r="BI554" s="2">
        <v>8.4593878877262704E-2</v>
      </c>
      <c r="BJ554" s="2">
        <v>5.7447105462779965E-2</v>
      </c>
      <c r="BK554" s="2">
        <v>8.5153852345557474E-2</v>
      </c>
      <c r="BL554" s="2">
        <v>7.4158058913035174E-2</v>
      </c>
      <c r="BM554" s="2">
        <v>7.5718189192107169E-2</v>
      </c>
      <c r="BN554" s="2">
        <v>7.3955559365675619E-2</v>
      </c>
    </row>
    <row r="555" spans="1:66" x14ac:dyDescent="0.25">
      <c r="A555" s="8">
        <v>2660</v>
      </c>
      <c r="B555" s="8" t="s">
        <v>441</v>
      </c>
      <c r="C555" s="5">
        <v>0</v>
      </c>
      <c r="D555" s="5">
        <f>+$C555*BC555</f>
        <v>0</v>
      </c>
      <c r="E555" s="5">
        <f>+$C555*BD555</f>
        <v>0</v>
      </c>
      <c r="F555" s="5">
        <f>+$C555*BE555</f>
        <v>0</v>
      </c>
      <c r="G555" s="5">
        <f>+$C555*BF555</f>
        <v>0</v>
      </c>
      <c r="H555" s="5">
        <f>+$C555*BG555</f>
        <v>0</v>
      </c>
      <c r="I555" s="5">
        <f>+$C555*BH555</f>
        <v>0</v>
      </c>
      <c r="J555" s="5">
        <f>+$C555*BI555</f>
        <v>0</v>
      </c>
      <c r="K555" s="5">
        <f>+$C555*BJ555</f>
        <v>0</v>
      </c>
      <c r="L555" s="5">
        <f>+$C555*BK555</f>
        <v>0</v>
      </c>
      <c r="M555" s="5">
        <f>+$C555*BL555</f>
        <v>0</v>
      </c>
      <c r="N555" s="5">
        <f>+$C555*BM555</f>
        <v>0</v>
      </c>
      <c r="O555" s="5">
        <f>+$C555*BN555</f>
        <v>0</v>
      </c>
      <c r="P555" s="5">
        <v>1000</v>
      </c>
      <c r="Q555" s="5">
        <f>+$P555*BC555</f>
        <v>89.181565948742247</v>
      </c>
      <c r="R555" s="5">
        <f>+$P555*BD555</f>
        <v>106.65277883445198</v>
      </c>
      <c r="S555" s="5">
        <f>+$P555*BE555</f>
        <v>94.388490848547647</v>
      </c>
      <c r="T555" s="5">
        <f>+$P555*BF555</f>
        <v>71.495649868550487</v>
      </c>
      <c r="U555" s="5">
        <f>+$P555*BG555</f>
        <v>103.68571810536763</v>
      </c>
      <c r="V555" s="5">
        <f>+$P555*BH555</f>
        <v>84.970330952544643</v>
      </c>
      <c r="W555" s="5">
        <f>+$P555*BI555</f>
        <v>84.593878877262711</v>
      </c>
      <c r="X555" s="5">
        <f>+$P555*BJ555</f>
        <v>57.447105462779966</v>
      </c>
      <c r="Y555" s="5">
        <f>+$P555*BK555</f>
        <v>85.153852345557468</v>
      </c>
      <c r="Z555" s="5">
        <f>+$P555*BL555</f>
        <v>74.158058913035177</v>
      </c>
      <c r="AA555" s="5">
        <f>+$P555*BM555</f>
        <v>75.718189192107175</v>
      </c>
      <c r="AB555" s="5">
        <f>+$P555*BN555</f>
        <v>73.955559365675626</v>
      </c>
      <c r="AC555" s="5">
        <v>0</v>
      </c>
      <c r="AD555" s="5">
        <f>+$AC555*BC555</f>
        <v>0</v>
      </c>
      <c r="AE555" s="5">
        <f>+$AC555*BD555</f>
        <v>0</v>
      </c>
      <c r="AF555" s="5">
        <f>+$AC555*BE555</f>
        <v>0</v>
      </c>
      <c r="AG555" s="5">
        <f>+$AC555*BF555</f>
        <v>0</v>
      </c>
      <c r="AH555" s="5">
        <f>+$AC555*BG555</f>
        <v>0</v>
      </c>
      <c r="AI555" s="5">
        <f>+$AC555*BH555</f>
        <v>0</v>
      </c>
      <c r="AJ555" s="5">
        <f>+$AC555*BI555</f>
        <v>0</v>
      </c>
      <c r="AK555" s="5">
        <f>+$AC555*BJ555</f>
        <v>0</v>
      </c>
      <c r="AL555" s="5">
        <f>+$AC555*BK555</f>
        <v>0</v>
      </c>
      <c r="AM555" s="5">
        <f>+$AC555*BL555</f>
        <v>0</v>
      </c>
      <c r="AN555" s="5">
        <f>+$AC555*BM555</f>
        <v>0</v>
      </c>
      <c r="AO555" s="5">
        <f>+$AC555*BN555</f>
        <v>0</v>
      </c>
      <c r="AP555" s="5">
        <f>+AC555+P555+C555</f>
        <v>1000</v>
      </c>
      <c r="AQ555" s="1">
        <v>81.749441787271905</v>
      </c>
      <c r="AR555" s="1">
        <v>97.764656204725256</v>
      </c>
      <c r="AS555" s="1">
        <v>86.52243718670222</v>
      </c>
      <c r="AT555" s="1">
        <v>65.537416895455095</v>
      </c>
      <c r="AU555" s="1">
        <v>95.044861415620602</v>
      </c>
      <c r="AV555" s="1">
        <v>77.889158481952421</v>
      </c>
      <c r="AW555" s="1">
        <v>77.54407879326827</v>
      </c>
      <c r="AX555" s="1">
        <v>52.659636034828274</v>
      </c>
      <c r="AY555" s="1">
        <v>78.057385752635753</v>
      </c>
      <c r="AZ555" s="1">
        <v>67.97794875739956</v>
      </c>
      <c r="BA555" s="1">
        <v>69.408062459404533</v>
      </c>
      <c r="BB555" s="1">
        <v>67.792324914818309</v>
      </c>
      <c r="BC555" s="2">
        <v>8.9181565948742242E-2</v>
      </c>
      <c r="BD555" s="2">
        <v>0.10665277883445198</v>
      </c>
      <c r="BE555" s="2">
        <v>9.438849084854764E-2</v>
      </c>
      <c r="BF555" s="2">
        <v>7.149564986855049E-2</v>
      </c>
      <c r="BG555" s="2">
        <v>0.10368571810536763</v>
      </c>
      <c r="BH555" s="2">
        <v>8.4970330952544637E-2</v>
      </c>
      <c r="BI555" s="2">
        <v>8.4593878877262704E-2</v>
      </c>
      <c r="BJ555" s="2">
        <v>5.7447105462779965E-2</v>
      </c>
      <c r="BK555" s="2">
        <v>8.5153852345557474E-2</v>
      </c>
      <c r="BL555" s="2">
        <v>7.4158058913035174E-2</v>
      </c>
      <c r="BM555" s="2">
        <v>7.5718189192107169E-2</v>
      </c>
      <c r="BN555" s="2">
        <v>7.3955559365675619E-2</v>
      </c>
    </row>
    <row r="556" spans="1:66" x14ac:dyDescent="0.25">
      <c r="A556" s="8">
        <v>2740</v>
      </c>
      <c r="B556" s="8" t="s">
        <v>440</v>
      </c>
      <c r="C556" s="5">
        <v>0</v>
      </c>
      <c r="D556" s="5">
        <f>+$C556*BC556</f>
        <v>0</v>
      </c>
      <c r="E556" s="5">
        <f>+$C556*BD556</f>
        <v>0</v>
      </c>
      <c r="F556" s="5">
        <f>+$C556*BE556</f>
        <v>0</v>
      </c>
      <c r="G556" s="5">
        <f>+$C556*BF556</f>
        <v>0</v>
      </c>
      <c r="H556" s="5">
        <f>+$C556*BG556</f>
        <v>0</v>
      </c>
      <c r="I556" s="5">
        <f>+$C556*BH556</f>
        <v>0</v>
      </c>
      <c r="J556" s="5">
        <f>+$C556*BI556</f>
        <v>0</v>
      </c>
      <c r="K556" s="5">
        <f>+$C556*BJ556</f>
        <v>0</v>
      </c>
      <c r="L556" s="5">
        <f>+$C556*BK556</f>
        <v>0</v>
      </c>
      <c r="M556" s="5">
        <f>+$C556*BL556</f>
        <v>0</v>
      </c>
      <c r="N556" s="5">
        <f>+$C556*BM556</f>
        <v>0</v>
      </c>
      <c r="O556" s="5">
        <f>+$C556*BN556</f>
        <v>0</v>
      </c>
      <c r="P556" s="5">
        <v>0</v>
      </c>
      <c r="Q556" s="5">
        <f>+$P556*BC556</f>
        <v>0</v>
      </c>
      <c r="R556" s="5">
        <f>+$P556*BD556</f>
        <v>0</v>
      </c>
      <c r="S556" s="5">
        <f>+$P556*BE556</f>
        <v>0</v>
      </c>
      <c r="T556" s="5">
        <f>+$P556*BF556</f>
        <v>0</v>
      </c>
      <c r="U556" s="5">
        <f>+$P556*BG556</f>
        <v>0</v>
      </c>
      <c r="V556" s="5">
        <f>+$P556*BH556</f>
        <v>0</v>
      </c>
      <c r="W556" s="5">
        <f>+$P556*BI556</f>
        <v>0</v>
      </c>
      <c r="X556" s="5">
        <f>+$P556*BJ556</f>
        <v>0</v>
      </c>
      <c r="Y556" s="5">
        <f>+$P556*BK556</f>
        <v>0</v>
      </c>
      <c r="Z556" s="5">
        <f>+$P556*BL556</f>
        <v>0</v>
      </c>
      <c r="AA556" s="5">
        <f>+$P556*BM556</f>
        <v>0</v>
      </c>
      <c r="AB556" s="5">
        <f>+$P556*BN556</f>
        <v>0</v>
      </c>
      <c r="AC556" s="5">
        <v>0</v>
      </c>
      <c r="AD556" s="5">
        <f>+$AC556*BC556</f>
        <v>0</v>
      </c>
      <c r="AE556" s="5">
        <f>+$AC556*BD556</f>
        <v>0</v>
      </c>
      <c r="AF556" s="5">
        <f>+$AC556*BE556</f>
        <v>0</v>
      </c>
      <c r="AG556" s="5">
        <f>+$AC556*BF556</f>
        <v>0</v>
      </c>
      <c r="AH556" s="5">
        <f>+$AC556*BG556</f>
        <v>0</v>
      </c>
      <c r="AI556" s="5">
        <f>+$AC556*BH556</f>
        <v>0</v>
      </c>
      <c r="AJ556" s="5">
        <f>+$AC556*BI556</f>
        <v>0</v>
      </c>
      <c r="AK556" s="5">
        <f>+$AC556*BJ556</f>
        <v>0</v>
      </c>
      <c r="AL556" s="5">
        <f>+$AC556*BK556</f>
        <v>0</v>
      </c>
      <c r="AM556" s="5">
        <f>+$AC556*BL556</f>
        <v>0</v>
      </c>
      <c r="AN556" s="5">
        <f>+$AC556*BM556</f>
        <v>0</v>
      </c>
      <c r="AO556" s="5">
        <f>+$AC556*BN556</f>
        <v>0</v>
      </c>
      <c r="AP556" s="5">
        <f>+AC556+P556+C556</f>
        <v>0</v>
      </c>
      <c r="AQ556" s="1">
        <v>445.9078297437112</v>
      </c>
      <c r="AR556" s="1">
        <v>533.26389417225994</v>
      </c>
      <c r="AS556" s="1">
        <v>471.94245424273822</v>
      </c>
      <c r="AT556" s="1">
        <v>357.47824934275246</v>
      </c>
      <c r="AU556" s="1">
        <v>518.42859052683809</v>
      </c>
      <c r="AV556" s="1">
        <v>424.85165476272317</v>
      </c>
      <c r="AW556" s="1">
        <v>422.96939438631352</v>
      </c>
      <c r="AX556" s="1">
        <v>287.23552731389981</v>
      </c>
      <c r="AY556" s="1">
        <v>425.76926172778735</v>
      </c>
      <c r="AZ556" s="1">
        <v>370.79029456517588</v>
      </c>
      <c r="BA556" s="1">
        <v>378.59094596053586</v>
      </c>
      <c r="BB556" s="1">
        <v>369.77779682837809</v>
      </c>
      <c r="BC556" s="2">
        <v>8.9181565948742242E-2</v>
      </c>
      <c r="BD556" s="2">
        <v>0.10665277883445198</v>
      </c>
      <c r="BE556" s="2">
        <v>9.438849084854764E-2</v>
      </c>
      <c r="BF556" s="2">
        <v>7.149564986855049E-2</v>
      </c>
      <c r="BG556" s="2">
        <v>0.10368571810536763</v>
      </c>
      <c r="BH556" s="2">
        <v>8.4970330952544637E-2</v>
      </c>
      <c r="BI556" s="2">
        <v>8.4593878877262704E-2</v>
      </c>
      <c r="BJ556" s="2">
        <v>5.7447105462779965E-2</v>
      </c>
      <c r="BK556" s="2">
        <v>8.5153852345557474E-2</v>
      </c>
      <c r="BL556" s="2">
        <v>7.4158058913035174E-2</v>
      </c>
      <c r="BM556" s="2">
        <v>7.5718189192107169E-2</v>
      </c>
      <c r="BN556" s="2">
        <v>7.3955559365675619E-2</v>
      </c>
    </row>
    <row r="557" spans="1:66" x14ac:dyDescent="0.25">
      <c r="A557" s="8">
        <v>2746</v>
      </c>
      <c r="B557" s="8" t="s">
        <v>439</v>
      </c>
      <c r="C557" s="5">
        <v>1000</v>
      </c>
      <c r="D557" s="5">
        <f>+$C557*BC557</f>
        <v>89.181565948742247</v>
      </c>
      <c r="E557" s="5">
        <f>+$C557*BD557</f>
        <v>106.65277883445198</v>
      </c>
      <c r="F557" s="5">
        <f>+$C557*BE557</f>
        <v>94.388490848547647</v>
      </c>
      <c r="G557" s="5">
        <f>+$C557*BF557</f>
        <v>71.495649868550487</v>
      </c>
      <c r="H557" s="5">
        <f>+$C557*BG557</f>
        <v>103.68571810536763</v>
      </c>
      <c r="I557" s="5">
        <f>+$C557*BH557</f>
        <v>84.970330952544643</v>
      </c>
      <c r="J557" s="5">
        <f>+$C557*BI557</f>
        <v>84.593878877262711</v>
      </c>
      <c r="K557" s="5">
        <f>+$C557*BJ557</f>
        <v>57.447105462779966</v>
      </c>
      <c r="L557" s="5">
        <f>+$C557*BK557</f>
        <v>85.153852345557468</v>
      </c>
      <c r="M557" s="5">
        <f>+$C557*BL557</f>
        <v>74.158058913035177</v>
      </c>
      <c r="N557" s="5">
        <f>+$C557*BM557</f>
        <v>75.718189192107175</v>
      </c>
      <c r="O557" s="5">
        <f>+$C557*BN557</f>
        <v>73.955559365675626</v>
      </c>
      <c r="P557" s="5">
        <v>0</v>
      </c>
      <c r="Q557" s="5">
        <f>+$P557*BC557</f>
        <v>0</v>
      </c>
      <c r="R557" s="5">
        <f>+$P557*BD557</f>
        <v>0</v>
      </c>
      <c r="S557" s="5">
        <f>+$P557*BE557</f>
        <v>0</v>
      </c>
      <c r="T557" s="5">
        <f>+$P557*BF557</f>
        <v>0</v>
      </c>
      <c r="U557" s="5">
        <f>+$P557*BG557</f>
        <v>0</v>
      </c>
      <c r="V557" s="5">
        <f>+$P557*BH557</f>
        <v>0</v>
      </c>
      <c r="W557" s="5">
        <f>+$P557*BI557</f>
        <v>0</v>
      </c>
      <c r="X557" s="5">
        <f>+$P557*BJ557</f>
        <v>0</v>
      </c>
      <c r="Y557" s="5">
        <f>+$P557*BK557</f>
        <v>0</v>
      </c>
      <c r="Z557" s="5">
        <f>+$P557*BL557</f>
        <v>0</v>
      </c>
      <c r="AA557" s="5">
        <f>+$P557*BM557</f>
        <v>0</v>
      </c>
      <c r="AB557" s="5">
        <f>+$P557*BN557</f>
        <v>0</v>
      </c>
      <c r="AC557" s="5">
        <v>0</v>
      </c>
      <c r="AD557" s="5">
        <f>+$AC557*BC557</f>
        <v>0</v>
      </c>
      <c r="AE557" s="5">
        <f>+$AC557*BD557</f>
        <v>0</v>
      </c>
      <c r="AF557" s="5">
        <f>+$AC557*BE557</f>
        <v>0</v>
      </c>
      <c r="AG557" s="5">
        <f>+$AC557*BF557</f>
        <v>0</v>
      </c>
      <c r="AH557" s="5">
        <f>+$AC557*BG557</f>
        <v>0</v>
      </c>
      <c r="AI557" s="5">
        <f>+$AC557*BH557</f>
        <v>0</v>
      </c>
      <c r="AJ557" s="5">
        <f>+$AC557*BI557</f>
        <v>0</v>
      </c>
      <c r="AK557" s="5">
        <f>+$AC557*BJ557</f>
        <v>0</v>
      </c>
      <c r="AL557" s="5">
        <f>+$AC557*BK557</f>
        <v>0</v>
      </c>
      <c r="AM557" s="5">
        <f>+$AC557*BL557</f>
        <v>0</v>
      </c>
      <c r="AN557" s="5">
        <f>+$AC557*BM557</f>
        <v>0</v>
      </c>
      <c r="AO557" s="5">
        <f>+$AC557*BN557</f>
        <v>0</v>
      </c>
      <c r="AP557" s="5">
        <f>+AC557+P557+C557</f>
        <v>1000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2">
        <v>8.9181565948742242E-2</v>
      </c>
      <c r="BD557" s="2">
        <v>0.10665277883445198</v>
      </c>
      <c r="BE557" s="2">
        <v>9.438849084854764E-2</v>
      </c>
      <c r="BF557" s="2">
        <v>7.149564986855049E-2</v>
      </c>
      <c r="BG557" s="2">
        <v>0.10368571810536763</v>
      </c>
      <c r="BH557" s="2">
        <v>8.4970330952544637E-2</v>
      </c>
      <c r="BI557" s="2">
        <v>8.4593878877262704E-2</v>
      </c>
      <c r="BJ557" s="2">
        <v>5.7447105462779965E-2</v>
      </c>
      <c r="BK557" s="2">
        <v>8.5153852345557474E-2</v>
      </c>
      <c r="BL557" s="2">
        <v>7.4158058913035174E-2</v>
      </c>
      <c r="BM557" s="2">
        <v>7.5718189192107169E-2</v>
      </c>
      <c r="BN557" s="2">
        <v>7.3955559365675619E-2</v>
      </c>
    </row>
    <row r="558" spans="1:66" x14ac:dyDescent="0.25">
      <c r="A558" s="8">
        <v>2748</v>
      </c>
      <c r="B558" s="8" t="s">
        <v>438</v>
      </c>
      <c r="C558" s="5">
        <v>0</v>
      </c>
      <c r="D558" s="5">
        <f>+$C558*BC558</f>
        <v>0</v>
      </c>
      <c r="E558" s="5">
        <f>+$C558*BD558</f>
        <v>0</v>
      </c>
      <c r="F558" s="5">
        <f>+$C558*BE558</f>
        <v>0</v>
      </c>
      <c r="G558" s="5">
        <f>+$C558*BF558</f>
        <v>0</v>
      </c>
      <c r="H558" s="5">
        <f>+$C558*BG558</f>
        <v>0</v>
      </c>
      <c r="I558" s="5">
        <f>+$C558*BH558</f>
        <v>0</v>
      </c>
      <c r="J558" s="5">
        <f>+$C558*BI558</f>
        <v>0</v>
      </c>
      <c r="K558" s="5">
        <f>+$C558*BJ558</f>
        <v>0</v>
      </c>
      <c r="L558" s="5">
        <f>+$C558*BK558</f>
        <v>0</v>
      </c>
      <c r="M558" s="5">
        <f>+$C558*BL558</f>
        <v>0</v>
      </c>
      <c r="N558" s="5">
        <f>+$C558*BM558</f>
        <v>0</v>
      </c>
      <c r="O558" s="5">
        <f>+$C558*BN558</f>
        <v>0</v>
      </c>
      <c r="P558" s="5">
        <v>0</v>
      </c>
      <c r="Q558" s="5">
        <f>+$P558*BC558</f>
        <v>0</v>
      </c>
      <c r="R558" s="5">
        <f>+$P558*BD558</f>
        <v>0</v>
      </c>
      <c r="S558" s="5">
        <f>+$P558*BE558</f>
        <v>0</v>
      </c>
      <c r="T558" s="5">
        <f>+$P558*BF558</f>
        <v>0</v>
      </c>
      <c r="U558" s="5">
        <f>+$P558*BG558</f>
        <v>0</v>
      </c>
      <c r="V558" s="5">
        <f>+$P558*BH558</f>
        <v>0</v>
      </c>
      <c r="W558" s="5">
        <f>+$P558*BI558</f>
        <v>0</v>
      </c>
      <c r="X558" s="5">
        <f>+$P558*BJ558</f>
        <v>0</v>
      </c>
      <c r="Y558" s="5">
        <f>+$P558*BK558</f>
        <v>0</v>
      </c>
      <c r="Z558" s="5">
        <f>+$P558*BL558</f>
        <v>0</v>
      </c>
      <c r="AA558" s="5">
        <f>+$P558*BM558</f>
        <v>0</v>
      </c>
      <c r="AB558" s="5">
        <f>+$P558*BN558</f>
        <v>0</v>
      </c>
      <c r="AC558" s="5">
        <v>0</v>
      </c>
      <c r="AD558" s="5">
        <f>+$AC558*BC558</f>
        <v>0</v>
      </c>
      <c r="AE558" s="5">
        <f>+$AC558*BD558</f>
        <v>0</v>
      </c>
      <c r="AF558" s="5">
        <f>+$AC558*BE558</f>
        <v>0</v>
      </c>
      <c r="AG558" s="5">
        <f>+$AC558*BF558</f>
        <v>0</v>
      </c>
      <c r="AH558" s="5">
        <f>+$AC558*BG558</f>
        <v>0</v>
      </c>
      <c r="AI558" s="5">
        <f>+$AC558*BH558</f>
        <v>0</v>
      </c>
      <c r="AJ558" s="5">
        <f>+$AC558*BI558</f>
        <v>0</v>
      </c>
      <c r="AK558" s="5">
        <f>+$AC558*BJ558</f>
        <v>0</v>
      </c>
      <c r="AL558" s="5">
        <f>+$AC558*BK558</f>
        <v>0</v>
      </c>
      <c r="AM558" s="5">
        <f>+$AC558*BL558</f>
        <v>0</v>
      </c>
      <c r="AN558" s="5">
        <f>+$AC558*BM558</f>
        <v>0</v>
      </c>
      <c r="AO558" s="5">
        <f>+$AC558*BN558</f>
        <v>0</v>
      </c>
      <c r="AP558" s="5">
        <f>+AC558+P558+C558</f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2">
        <v>8.9181565948742242E-2</v>
      </c>
      <c r="BD558" s="2">
        <v>0.10665277883445198</v>
      </c>
      <c r="BE558" s="2">
        <v>9.438849084854764E-2</v>
      </c>
      <c r="BF558" s="2">
        <v>7.149564986855049E-2</v>
      </c>
      <c r="BG558" s="2">
        <v>0.10368571810536763</v>
      </c>
      <c r="BH558" s="2">
        <v>8.4970330952544637E-2</v>
      </c>
      <c r="BI558" s="2">
        <v>8.4593878877262704E-2</v>
      </c>
      <c r="BJ558" s="2">
        <v>5.7447105462779965E-2</v>
      </c>
      <c r="BK558" s="2">
        <v>8.5153852345557474E-2</v>
      </c>
      <c r="BL558" s="2">
        <v>7.4158058913035174E-2</v>
      </c>
      <c r="BM558" s="2">
        <v>7.5718189192107169E-2</v>
      </c>
      <c r="BN558" s="2">
        <v>7.3955559365675619E-2</v>
      </c>
    </row>
    <row r="559" spans="1:66" x14ac:dyDescent="0.25">
      <c r="A559" s="8">
        <v>2787</v>
      </c>
      <c r="B559" s="8" t="s">
        <v>437</v>
      </c>
      <c r="C559" s="5">
        <v>0</v>
      </c>
      <c r="D559" s="5">
        <f>+$C559*BC559</f>
        <v>0</v>
      </c>
      <c r="E559" s="5">
        <f>+$C559*BD559</f>
        <v>0</v>
      </c>
      <c r="F559" s="5">
        <f>+$C559*BE559</f>
        <v>0</v>
      </c>
      <c r="G559" s="5">
        <f>+$C559*BF559</f>
        <v>0</v>
      </c>
      <c r="H559" s="5">
        <f>+$C559*BG559</f>
        <v>0</v>
      </c>
      <c r="I559" s="5">
        <f>+$C559*BH559</f>
        <v>0</v>
      </c>
      <c r="J559" s="5">
        <f>+$C559*BI559</f>
        <v>0</v>
      </c>
      <c r="K559" s="5">
        <f>+$C559*BJ559</f>
        <v>0</v>
      </c>
      <c r="L559" s="5">
        <f>+$C559*BK559</f>
        <v>0</v>
      </c>
      <c r="M559" s="5">
        <f>+$C559*BL559</f>
        <v>0</v>
      </c>
      <c r="N559" s="5">
        <f>+$C559*BM559</f>
        <v>0</v>
      </c>
      <c r="O559" s="5">
        <f>+$C559*BN559</f>
        <v>0</v>
      </c>
      <c r="P559" s="5">
        <v>500</v>
      </c>
      <c r="Q559" s="5">
        <f>+$P559*BC559</f>
        <v>44.590782974371123</v>
      </c>
      <c r="R559" s="5">
        <f>+$P559*BD559</f>
        <v>53.32638941722599</v>
      </c>
      <c r="S559" s="5">
        <f>+$P559*BE559</f>
        <v>47.194245424273824</v>
      </c>
      <c r="T559" s="5">
        <f>+$P559*BF559</f>
        <v>35.747824934275243</v>
      </c>
      <c r="U559" s="5">
        <f>+$P559*BG559</f>
        <v>51.842859052683814</v>
      </c>
      <c r="V559" s="5">
        <f>+$P559*BH559</f>
        <v>42.485165476272321</v>
      </c>
      <c r="W559" s="5">
        <f>+$P559*BI559</f>
        <v>42.296939438631355</v>
      </c>
      <c r="X559" s="5">
        <f>+$P559*BJ559</f>
        <v>28.723552731389983</v>
      </c>
      <c r="Y559" s="5">
        <f>+$P559*BK559</f>
        <v>42.576926172778734</v>
      </c>
      <c r="Z559" s="5">
        <f>+$P559*BL559</f>
        <v>37.079029456517588</v>
      </c>
      <c r="AA559" s="5">
        <f>+$P559*BM559</f>
        <v>37.859094596053588</v>
      </c>
      <c r="AB559" s="5">
        <f>+$P559*BN559</f>
        <v>36.977779682837813</v>
      </c>
      <c r="AC559" s="5">
        <v>0</v>
      </c>
      <c r="AD559" s="5">
        <f>+$AC559*BC559</f>
        <v>0</v>
      </c>
      <c r="AE559" s="5">
        <f>+$AC559*BD559</f>
        <v>0</v>
      </c>
      <c r="AF559" s="5">
        <f>+$AC559*BE559</f>
        <v>0</v>
      </c>
      <c r="AG559" s="5">
        <f>+$AC559*BF559</f>
        <v>0</v>
      </c>
      <c r="AH559" s="5">
        <f>+$AC559*BG559</f>
        <v>0</v>
      </c>
      <c r="AI559" s="5">
        <f>+$AC559*BH559</f>
        <v>0</v>
      </c>
      <c r="AJ559" s="5">
        <f>+$AC559*BI559</f>
        <v>0</v>
      </c>
      <c r="AK559" s="5">
        <f>+$AC559*BJ559</f>
        <v>0</v>
      </c>
      <c r="AL559" s="5">
        <f>+$AC559*BK559</f>
        <v>0</v>
      </c>
      <c r="AM559" s="5">
        <f>+$AC559*BL559</f>
        <v>0</v>
      </c>
      <c r="AN559" s="5">
        <f>+$AC559*BM559</f>
        <v>0</v>
      </c>
      <c r="AO559" s="5">
        <f>+$AC559*BN559</f>
        <v>0</v>
      </c>
      <c r="AP559" s="5">
        <f>+AC559+P559+C559</f>
        <v>500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2">
        <v>8.9181565948742242E-2</v>
      </c>
      <c r="BD559" s="2">
        <v>0.10665277883445198</v>
      </c>
      <c r="BE559" s="2">
        <v>9.438849084854764E-2</v>
      </c>
      <c r="BF559" s="2">
        <v>7.149564986855049E-2</v>
      </c>
      <c r="BG559" s="2">
        <v>0.10368571810536763</v>
      </c>
      <c r="BH559" s="2">
        <v>8.4970330952544637E-2</v>
      </c>
      <c r="BI559" s="2">
        <v>8.4593878877262704E-2</v>
      </c>
      <c r="BJ559" s="2">
        <v>5.7447105462779965E-2</v>
      </c>
      <c r="BK559" s="2">
        <v>8.5153852345557474E-2</v>
      </c>
      <c r="BL559" s="2">
        <v>7.4158058913035174E-2</v>
      </c>
      <c r="BM559" s="2">
        <v>7.5718189192107169E-2</v>
      </c>
      <c r="BN559" s="2">
        <v>7.3955559365675619E-2</v>
      </c>
    </row>
    <row r="560" spans="1:66" x14ac:dyDescent="0.25">
      <c r="A560" s="8">
        <v>2792</v>
      </c>
      <c r="B560" s="8" t="s">
        <v>436</v>
      </c>
      <c r="C560" s="5">
        <v>0</v>
      </c>
      <c r="D560" s="5">
        <f>+$C560*BC560</f>
        <v>0</v>
      </c>
      <c r="E560" s="5">
        <f>+$C560*BD560</f>
        <v>0</v>
      </c>
      <c r="F560" s="5">
        <f>+$C560*BE560</f>
        <v>0</v>
      </c>
      <c r="G560" s="5">
        <f>+$C560*BF560</f>
        <v>0</v>
      </c>
      <c r="H560" s="5">
        <f>+$C560*BG560</f>
        <v>0</v>
      </c>
      <c r="I560" s="5">
        <f>+$C560*BH560</f>
        <v>0</v>
      </c>
      <c r="J560" s="5">
        <f>+$C560*BI560</f>
        <v>0</v>
      </c>
      <c r="K560" s="5">
        <f>+$C560*BJ560</f>
        <v>0</v>
      </c>
      <c r="L560" s="5">
        <f>+$C560*BK560</f>
        <v>0</v>
      </c>
      <c r="M560" s="5">
        <f>+$C560*BL560</f>
        <v>0</v>
      </c>
      <c r="N560" s="5">
        <f>+$C560*BM560</f>
        <v>0</v>
      </c>
      <c r="O560" s="5">
        <f>+$C560*BN560</f>
        <v>0</v>
      </c>
      <c r="P560" s="5">
        <v>0</v>
      </c>
      <c r="Q560" s="5">
        <f>+$P560*BC560</f>
        <v>0</v>
      </c>
      <c r="R560" s="5">
        <f>+$P560*BD560</f>
        <v>0</v>
      </c>
      <c r="S560" s="5">
        <f>+$P560*BE560</f>
        <v>0</v>
      </c>
      <c r="T560" s="5">
        <f>+$P560*BF560</f>
        <v>0</v>
      </c>
      <c r="U560" s="5">
        <f>+$P560*BG560</f>
        <v>0</v>
      </c>
      <c r="V560" s="5">
        <f>+$P560*BH560</f>
        <v>0</v>
      </c>
      <c r="W560" s="5">
        <f>+$P560*BI560</f>
        <v>0</v>
      </c>
      <c r="X560" s="5">
        <f>+$P560*BJ560</f>
        <v>0</v>
      </c>
      <c r="Y560" s="5">
        <f>+$P560*BK560</f>
        <v>0</v>
      </c>
      <c r="Z560" s="5">
        <f>+$P560*BL560</f>
        <v>0</v>
      </c>
      <c r="AA560" s="5">
        <f>+$P560*BM560</f>
        <v>0</v>
      </c>
      <c r="AB560" s="5">
        <f>+$P560*BN560</f>
        <v>0</v>
      </c>
      <c r="AC560" s="5">
        <v>0</v>
      </c>
      <c r="AD560" s="5">
        <f>+$AC560*BC560</f>
        <v>0</v>
      </c>
      <c r="AE560" s="5">
        <f>+$AC560*BD560</f>
        <v>0</v>
      </c>
      <c r="AF560" s="5">
        <f>+$AC560*BE560</f>
        <v>0</v>
      </c>
      <c r="AG560" s="5">
        <f>+$AC560*BF560</f>
        <v>0</v>
      </c>
      <c r="AH560" s="5">
        <f>+$AC560*BG560</f>
        <v>0</v>
      </c>
      <c r="AI560" s="5">
        <f>+$AC560*BH560</f>
        <v>0</v>
      </c>
      <c r="AJ560" s="5">
        <f>+$AC560*BI560</f>
        <v>0</v>
      </c>
      <c r="AK560" s="5">
        <f>+$AC560*BJ560</f>
        <v>0</v>
      </c>
      <c r="AL560" s="5">
        <f>+$AC560*BK560</f>
        <v>0</v>
      </c>
      <c r="AM560" s="5">
        <f>+$AC560*BL560</f>
        <v>0</v>
      </c>
      <c r="AN560" s="5">
        <f>+$AC560*BM560</f>
        <v>0</v>
      </c>
      <c r="AO560" s="5">
        <f>+$AC560*BN560</f>
        <v>0</v>
      </c>
      <c r="AP560" s="5">
        <f>+AC560+P560+C560</f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2">
        <v>8.9181565948742242E-2</v>
      </c>
      <c r="BD560" s="2">
        <v>0.10665277883445198</v>
      </c>
      <c r="BE560" s="2">
        <v>9.438849084854764E-2</v>
      </c>
      <c r="BF560" s="2">
        <v>7.149564986855049E-2</v>
      </c>
      <c r="BG560" s="2">
        <v>0.10368571810536763</v>
      </c>
      <c r="BH560" s="2">
        <v>8.4970330952544637E-2</v>
      </c>
      <c r="BI560" s="2">
        <v>8.4593878877262704E-2</v>
      </c>
      <c r="BJ560" s="2">
        <v>5.7447105462779965E-2</v>
      </c>
      <c r="BK560" s="2">
        <v>8.5153852345557474E-2</v>
      </c>
      <c r="BL560" s="2">
        <v>7.4158058913035174E-2</v>
      </c>
      <c r="BM560" s="2">
        <v>7.5718189192107169E-2</v>
      </c>
      <c r="BN560" s="2">
        <v>7.3955559365675619E-2</v>
      </c>
    </row>
    <row r="561" spans="1:66" x14ac:dyDescent="0.25">
      <c r="A561" s="8">
        <v>2942</v>
      </c>
      <c r="B561" s="8" t="s">
        <v>435</v>
      </c>
      <c r="C561" s="5">
        <v>0</v>
      </c>
      <c r="D561" s="5">
        <f>+$C561*BC561</f>
        <v>0</v>
      </c>
      <c r="E561" s="5">
        <f>+$C561*BD561</f>
        <v>0</v>
      </c>
      <c r="F561" s="5">
        <f>+$C561*BE561</f>
        <v>0</v>
      </c>
      <c r="G561" s="5">
        <f>+$C561*BF561</f>
        <v>0</v>
      </c>
      <c r="H561" s="5">
        <f>+$C561*BG561</f>
        <v>0</v>
      </c>
      <c r="I561" s="5">
        <f>+$C561*BH561</f>
        <v>0</v>
      </c>
      <c r="J561" s="5">
        <f>+$C561*BI561</f>
        <v>0</v>
      </c>
      <c r="K561" s="5">
        <f>+$C561*BJ561</f>
        <v>0</v>
      </c>
      <c r="L561" s="5">
        <f>+$C561*BK561</f>
        <v>0</v>
      </c>
      <c r="M561" s="5">
        <f>+$C561*BL561</f>
        <v>0</v>
      </c>
      <c r="N561" s="5">
        <f>+$C561*BM561</f>
        <v>0</v>
      </c>
      <c r="O561" s="5">
        <f>+$C561*BN561</f>
        <v>0</v>
      </c>
      <c r="P561" s="5">
        <v>0</v>
      </c>
      <c r="Q561" s="5">
        <f>+$P561*BC561</f>
        <v>0</v>
      </c>
      <c r="R561" s="5">
        <f>+$P561*BD561</f>
        <v>0</v>
      </c>
      <c r="S561" s="5">
        <f>+$P561*BE561</f>
        <v>0</v>
      </c>
      <c r="T561" s="5">
        <f>+$P561*BF561</f>
        <v>0</v>
      </c>
      <c r="U561" s="5">
        <f>+$P561*BG561</f>
        <v>0</v>
      </c>
      <c r="V561" s="5">
        <f>+$P561*BH561</f>
        <v>0</v>
      </c>
      <c r="W561" s="5">
        <f>+$P561*BI561</f>
        <v>0</v>
      </c>
      <c r="X561" s="5">
        <f>+$P561*BJ561</f>
        <v>0</v>
      </c>
      <c r="Y561" s="5">
        <f>+$P561*BK561</f>
        <v>0</v>
      </c>
      <c r="Z561" s="5">
        <f>+$P561*BL561</f>
        <v>0</v>
      </c>
      <c r="AA561" s="5">
        <f>+$P561*BM561</f>
        <v>0</v>
      </c>
      <c r="AB561" s="5">
        <f>+$P561*BN561</f>
        <v>0</v>
      </c>
      <c r="AC561" s="5">
        <v>0</v>
      </c>
      <c r="AD561" s="5">
        <f>+$AC561*BC561</f>
        <v>0</v>
      </c>
      <c r="AE561" s="5">
        <f>+$AC561*BD561</f>
        <v>0</v>
      </c>
      <c r="AF561" s="5">
        <f>+$AC561*BE561</f>
        <v>0</v>
      </c>
      <c r="AG561" s="5">
        <f>+$AC561*BF561</f>
        <v>0</v>
      </c>
      <c r="AH561" s="5">
        <f>+$AC561*BG561</f>
        <v>0</v>
      </c>
      <c r="AI561" s="5">
        <f>+$AC561*BH561</f>
        <v>0</v>
      </c>
      <c r="AJ561" s="5">
        <f>+$AC561*BI561</f>
        <v>0</v>
      </c>
      <c r="AK561" s="5">
        <f>+$AC561*BJ561</f>
        <v>0</v>
      </c>
      <c r="AL561" s="5">
        <f>+$AC561*BK561</f>
        <v>0</v>
      </c>
      <c r="AM561" s="5">
        <f>+$AC561*BL561</f>
        <v>0</v>
      </c>
      <c r="AN561" s="5">
        <f>+$AC561*BM561</f>
        <v>0</v>
      </c>
      <c r="AO561" s="5">
        <f>+$AC561*BN561</f>
        <v>0</v>
      </c>
      <c r="AP561" s="5">
        <f>+AC561+P561+C561</f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2">
        <v>8.9181565948742242E-2</v>
      </c>
      <c r="BD561" s="2">
        <v>0.10665277883445198</v>
      </c>
      <c r="BE561" s="2">
        <v>9.438849084854764E-2</v>
      </c>
      <c r="BF561" s="2">
        <v>7.149564986855049E-2</v>
      </c>
      <c r="BG561" s="2">
        <v>0.10368571810536763</v>
      </c>
      <c r="BH561" s="2">
        <v>8.4970330952544637E-2</v>
      </c>
      <c r="BI561" s="2">
        <v>8.4593878877262704E-2</v>
      </c>
      <c r="BJ561" s="2">
        <v>5.7447105462779965E-2</v>
      </c>
      <c r="BK561" s="2">
        <v>8.5153852345557474E-2</v>
      </c>
      <c r="BL561" s="2">
        <v>7.4158058913035174E-2</v>
      </c>
      <c r="BM561" s="2">
        <v>7.5718189192107169E-2</v>
      </c>
      <c r="BN561" s="2">
        <v>7.3955559365675619E-2</v>
      </c>
    </row>
    <row r="562" spans="1:66" x14ac:dyDescent="0.25">
      <c r="A562" s="8">
        <v>2960</v>
      </c>
      <c r="B562" s="8" t="s">
        <v>434</v>
      </c>
      <c r="C562" s="5">
        <v>0</v>
      </c>
      <c r="D562" s="5">
        <f>+$C562*BC562</f>
        <v>0</v>
      </c>
      <c r="E562" s="5">
        <f>+$C562*BD562</f>
        <v>0</v>
      </c>
      <c r="F562" s="5">
        <f>+$C562*BE562</f>
        <v>0</v>
      </c>
      <c r="G562" s="5">
        <f>+$C562*BF562</f>
        <v>0</v>
      </c>
      <c r="H562" s="5">
        <f>+$C562*BG562</f>
        <v>0</v>
      </c>
      <c r="I562" s="5">
        <f>+$C562*BH562</f>
        <v>0</v>
      </c>
      <c r="J562" s="5">
        <f>+$C562*BI562</f>
        <v>0</v>
      </c>
      <c r="K562" s="5">
        <f>+$C562*BJ562</f>
        <v>0</v>
      </c>
      <c r="L562" s="5">
        <f>+$C562*BK562</f>
        <v>0</v>
      </c>
      <c r="M562" s="5">
        <f>+$C562*BL562</f>
        <v>0</v>
      </c>
      <c r="N562" s="5">
        <f>+$C562*BM562</f>
        <v>0</v>
      </c>
      <c r="O562" s="5">
        <f>+$C562*BN562</f>
        <v>0</v>
      </c>
      <c r="P562" s="5">
        <v>0</v>
      </c>
      <c r="Q562" s="5">
        <f>+$P562*BC562</f>
        <v>0</v>
      </c>
      <c r="R562" s="5">
        <f>+$P562*BD562</f>
        <v>0</v>
      </c>
      <c r="S562" s="5">
        <f>+$P562*BE562</f>
        <v>0</v>
      </c>
      <c r="T562" s="5">
        <f>+$P562*BF562</f>
        <v>0</v>
      </c>
      <c r="U562" s="5">
        <f>+$P562*BG562</f>
        <v>0</v>
      </c>
      <c r="V562" s="5">
        <f>+$P562*BH562</f>
        <v>0</v>
      </c>
      <c r="W562" s="5">
        <f>+$P562*BI562</f>
        <v>0</v>
      </c>
      <c r="X562" s="5">
        <f>+$P562*BJ562</f>
        <v>0</v>
      </c>
      <c r="Y562" s="5">
        <f>+$P562*BK562</f>
        <v>0</v>
      </c>
      <c r="Z562" s="5">
        <f>+$P562*BL562</f>
        <v>0</v>
      </c>
      <c r="AA562" s="5">
        <f>+$P562*BM562</f>
        <v>0</v>
      </c>
      <c r="AB562" s="5">
        <f>+$P562*BN562</f>
        <v>0</v>
      </c>
      <c r="AC562" s="5">
        <v>0</v>
      </c>
      <c r="AD562" s="5">
        <f>+$AC562*BC562</f>
        <v>0</v>
      </c>
      <c r="AE562" s="5">
        <f>+$AC562*BD562</f>
        <v>0</v>
      </c>
      <c r="AF562" s="5">
        <f>+$AC562*BE562</f>
        <v>0</v>
      </c>
      <c r="AG562" s="5">
        <f>+$AC562*BF562</f>
        <v>0</v>
      </c>
      <c r="AH562" s="5">
        <f>+$AC562*BG562</f>
        <v>0</v>
      </c>
      <c r="AI562" s="5">
        <f>+$AC562*BH562</f>
        <v>0</v>
      </c>
      <c r="AJ562" s="5">
        <f>+$AC562*BI562</f>
        <v>0</v>
      </c>
      <c r="AK562" s="5">
        <f>+$AC562*BJ562</f>
        <v>0</v>
      </c>
      <c r="AL562" s="5">
        <f>+$AC562*BK562</f>
        <v>0</v>
      </c>
      <c r="AM562" s="5">
        <f>+$AC562*BL562</f>
        <v>0</v>
      </c>
      <c r="AN562" s="5">
        <f>+$AC562*BM562</f>
        <v>0</v>
      </c>
      <c r="AO562" s="5">
        <f>+$AC562*BN562</f>
        <v>0</v>
      </c>
      <c r="AP562" s="5">
        <f>+AC562+P562+C562</f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2">
        <v>8.9181565948742242E-2</v>
      </c>
      <c r="BD562" s="2">
        <v>0.10665277883445198</v>
      </c>
      <c r="BE562" s="2">
        <v>9.438849084854764E-2</v>
      </c>
      <c r="BF562" s="2">
        <v>7.149564986855049E-2</v>
      </c>
      <c r="BG562" s="2">
        <v>0.10368571810536763</v>
      </c>
      <c r="BH562" s="2">
        <v>8.4970330952544637E-2</v>
      </c>
      <c r="BI562" s="2">
        <v>8.4593878877262704E-2</v>
      </c>
      <c r="BJ562" s="2">
        <v>5.7447105462779965E-2</v>
      </c>
      <c r="BK562" s="2">
        <v>8.5153852345557474E-2</v>
      </c>
      <c r="BL562" s="2">
        <v>7.4158058913035174E-2</v>
      </c>
      <c r="BM562" s="2">
        <v>7.5718189192107169E-2</v>
      </c>
      <c r="BN562" s="2">
        <v>7.3955559365675619E-2</v>
      </c>
    </row>
    <row r="563" spans="1:66" x14ac:dyDescent="0.25">
      <c r="A563" s="8">
        <v>3002</v>
      </c>
      <c r="B563" s="8" t="s">
        <v>433</v>
      </c>
      <c r="C563" s="5">
        <v>0</v>
      </c>
      <c r="D563" s="5">
        <f>+$C563*BC563</f>
        <v>0</v>
      </c>
      <c r="E563" s="5">
        <f>+$C563*BD563</f>
        <v>0</v>
      </c>
      <c r="F563" s="5">
        <f>+$C563*BE563</f>
        <v>0</v>
      </c>
      <c r="G563" s="5">
        <f>+$C563*BF563</f>
        <v>0</v>
      </c>
      <c r="H563" s="5">
        <f>+$C563*BG563</f>
        <v>0</v>
      </c>
      <c r="I563" s="5">
        <f>+$C563*BH563</f>
        <v>0</v>
      </c>
      <c r="J563" s="5">
        <f>+$C563*BI563</f>
        <v>0</v>
      </c>
      <c r="K563" s="5">
        <f>+$C563*BJ563</f>
        <v>0</v>
      </c>
      <c r="L563" s="5">
        <f>+$C563*BK563</f>
        <v>0</v>
      </c>
      <c r="M563" s="5">
        <f>+$C563*BL563</f>
        <v>0</v>
      </c>
      <c r="N563" s="5">
        <f>+$C563*BM563</f>
        <v>0</v>
      </c>
      <c r="O563" s="5">
        <f>+$C563*BN563</f>
        <v>0</v>
      </c>
      <c r="P563" s="5">
        <v>0</v>
      </c>
      <c r="Q563" s="5">
        <f>+$P563*BC563</f>
        <v>0</v>
      </c>
      <c r="R563" s="5">
        <f>+$P563*BD563</f>
        <v>0</v>
      </c>
      <c r="S563" s="5">
        <f>+$P563*BE563</f>
        <v>0</v>
      </c>
      <c r="T563" s="5">
        <f>+$P563*BF563</f>
        <v>0</v>
      </c>
      <c r="U563" s="5">
        <f>+$P563*BG563</f>
        <v>0</v>
      </c>
      <c r="V563" s="5">
        <f>+$P563*BH563</f>
        <v>0</v>
      </c>
      <c r="W563" s="5">
        <f>+$P563*BI563</f>
        <v>0</v>
      </c>
      <c r="X563" s="5">
        <f>+$P563*BJ563</f>
        <v>0</v>
      </c>
      <c r="Y563" s="5">
        <f>+$P563*BK563</f>
        <v>0</v>
      </c>
      <c r="Z563" s="5">
        <f>+$P563*BL563</f>
        <v>0</v>
      </c>
      <c r="AA563" s="5">
        <f>+$P563*BM563</f>
        <v>0</v>
      </c>
      <c r="AB563" s="5">
        <f>+$P563*BN563</f>
        <v>0</v>
      </c>
      <c r="AC563" s="5">
        <v>0</v>
      </c>
      <c r="AD563" s="5">
        <f>+$AC563*BC563</f>
        <v>0</v>
      </c>
      <c r="AE563" s="5">
        <f>+$AC563*BD563</f>
        <v>0</v>
      </c>
      <c r="AF563" s="5">
        <f>+$AC563*BE563</f>
        <v>0</v>
      </c>
      <c r="AG563" s="5">
        <f>+$AC563*BF563</f>
        <v>0</v>
      </c>
      <c r="AH563" s="5">
        <f>+$AC563*BG563</f>
        <v>0</v>
      </c>
      <c r="AI563" s="5">
        <f>+$AC563*BH563</f>
        <v>0</v>
      </c>
      <c r="AJ563" s="5">
        <f>+$AC563*BI563</f>
        <v>0</v>
      </c>
      <c r="AK563" s="5">
        <f>+$AC563*BJ563</f>
        <v>0</v>
      </c>
      <c r="AL563" s="5">
        <f>+$AC563*BK563</f>
        <v>0</v>
      </c>
      <c r="AM563" s="5">
        <f>+$AC563*BL563</f>
        <v>0</v>
      </c>
      <c r="AN563" s="5">
        <f>+$AC563*BM563</f>
        <v>0</v>
      </c>
      <c r="AO563" s="5">
        <f>+$AC563*BN563</f>
        <v>0</v>
      </c>
      <c r="AP563" s="5">
        <f>+AC563+P563+C563</f>
        <v>0</v>
      </c>
      <c r="AQ563" s="1">
        <v>18.486892713344524</v>
      </c>
      <c r="AR563" s="1">
        <v>22.108587788487725</v>
      </c>
      <c r="AS563" s="1">
        <v>19.566262210449686</v>
      </c>
      <c r="AT563" s="1">
        <v>14.820690739501176</v>
      </c>
      <c r="AU563" s="1">
        <v>21.493530934652185</v>
      </c>
      <c r="AV563" s="1">
        <v>17.613924754807741</v>
      </c>
      <c r="AW563" s="1">
        <v>17.535888121862175</v>
      </c>
      <c r="AX563" s="1">
        <v>11.908497726906974</v>
      </c>
      <c r="AY563" s="1">
        <v>17.651967821972338</v>
      </c>
      <c r="AZ563" s="1">
        <v>15.372594822377627</v>
      </c>
      <c r="BA563" s="1">
        <v>15.696002028577857</v>
      </c>
      <c r="BB563" s="1">
        <v>15.330617678707728</v>
      </c>
      <c r="BC563" s="2">
        <v>8.9181565948742242E-2</v>
      </c>
      <c r="BD563" s="2">
        <v>0.10665277883445198</v>
      </c>
      <c r="BE563" s="2">
        <v>9.438849084854764E-2</v>
      </c>
      <c r="BF563" s="2">
        <v>7.149564986855049E-2</v>
      </c>
      <c r="BG563" s="2">
        <v>0.10368571810536763</v>
      </c>
      <c r="BH563" s="2">
        <v>8.4970330952544637E-2</v>
      </c>
      <c r="BI563" s="2">
        <v>8.4593878877262704E-2</v>
      </c>
      <c r="BJ563" s="2">
        <v>5.7447105462779965E-2</v>
      </c>
      <c r="BK563" s="2">
        <v>8.5153852345557474E-2</v>
      </c>
      <c r="BL563" s="2">
        <v>7.4158058913035174E-2</v>
      </c>
      <c r="BM563" s="2">
        <v>7.5718189192107169E-2</v>
      </c>
      <c r="BN563" s="2">
        <v>7.3955559365675619E-2</v>
      </c>
    </row>
    <row r="564" spans="1:66" x14ac:dyDescent="0.25">
      <c r="A564" s="8">
        <v>3025</v>
      </c>
      <c r="B564" s="8" t="s">
        <v>432</v>
      </c>
      <c r="C564" s="5">
        <v>0</v>
      </c>
      <c r="D564" s="5">
        <f>+$C564*BC564</f>
        <v>0</v>
      </c>
      <c r="E564" s="5">
        <f>+$C564*BD564</f>
        <v>0</v>
      </c>
      <c r="F564" s="5">
        <f>+$C564*BE564</f>
        <v>0</v>
      </c>
      <c r="G564" s="5">
        <f>+$C564*BF564</f>
        <v>0</v>
      </c>
      <c r="H564" s="5">
        <f>+$C564*BG564</f>
        <v>0</v>
      </c>
      <c r="I564" s="5">
        <f>+$C564*BH564</f>
        <v>0</v>
      </c>
      <c r="J564" s="5">
        <f>+$C564*BI564</f>
        <v>0</v>
      </c>
      <c r="K564" s="5">
        <f>+$C564*BJ564</f>
        <v>0</v>
      </c>
      <c r="L564" s="5">
        <f>+$C564*BK564</f>
        <v>0</v>
      </c>
      <c r="M564" s="5">
        <f>+$C564*BL564</f>
        <v>0</v>
      </c>
      <c r="N564" s="5">
        <f>+$C564*BM564</f>
        <v>0</v>
      </c>
      <c r="O564" s="5">
        <f>+$C564*BN564</f>
        <v>0</v>
      </c>
      <c r="P564" s="5">
        <v>4000</v>
      </c>
      <c r="Q564" s="5">
        <f>+$P564*BC564</f>
        <v>356.72626379496899</v>
      </c>
      <c r="R564" s="5">
        <f>+$P564*BD564</f>
        <v>426.61111533780792</v>
      </c>
      <c r="S564" s="5">
        <f>+$P564*BE564</f>
        <v>377.55396339419059</v>
      </c>
      <c r="T564" s="5">
        <f>+$P564*BF564</f>
        <v>285.98259947420195</v>
      </c>
      <c r="U564" s="5">
        <f>+$P564*BG564</f>
        <v>414.74287242147051</v>
      </c>
      <c r="V564" s="5">
        <f>+$P564*BH564</f>
        <v>339.88132381017857</v>
      </c>
      <c r="W564" s="5">
        <f>+$P564*BI564</f>
        <v>338.37551550905084</v>
      </c>
      <c r="X564" s="5">
        <f>+$P564*BJ564</f>
        <v>229.78842185111986</v>
      </c>
      <c r="Y564" s="5">
        <f>+$P564*BK564</f>
        <v>340.61540938222987</v>
      </c>
      <c r="Z564" s="5">
        <f>+$P564*BL564</f>
        <v>296.63223565214071</v>
      </c>
      <c r="AA564" s="5">
        <f>+$P564*BM564</f>
        <v>302.8727567684287</v>
      </c>
      <c r="AB564" s="5">
        <f>+$P564*BN564</f>
        <v>295.8222374627025</v>
      </c>
      <c r="AC564" s="5">
        <v>0</v>
      </c>
      <c r="AD564" s="5">
        <f>+$AC564*BC564</f>
        <v>0</v>
      </c>
      <c r="AE564" s="5">
        <f>+$AC564*BD564</f>
        <v>0</v>
      </c>
      <c r="AF564" s="5">
        <f>+$AC564*BE564</f>
        <v>0</v>
      </c>
      <c r="AG564" s="5">
        <f>+$AC564*BF564</f>
        <v>0</v>
      </c>
      <c r="AH564" s="5">
        <f>+$AC564*BG564</f>
        <v>0</v>
      </c>
      <c r="AI564" s="5">
        <f>+$AC564*BH564</f>
        <v>0</v>
      </c>
      <c r="AJ564" s="5">
        <f>+$AC564*BI564</f>
        <v>0</v>
      </c>
      <c r="AK564" s="5">
        <f>+$AC564*BJ564</f>
        <v>0</v>
      </c>
      <c r="AL564" s="5">
        <f>+$AC564*BK564</f>
        <v>0</v>
      </c>
      <c r="AM564" s="5">
        <f>+$AC564*BL564</f>
        <v>0</v>
      </c>
      <c r="AN564" s="5">
        <f>+$AC564*BM564</f>
        <v>0</v>
      </c>
      <c r="AO564" s="5">
        <f>+$AC564*BN564</f>
        <v>0</v>
      </c>
      <c r="AP564" s="5">
        <f>+AC564+P564+C564</f>
        <v>4000</v>
      </c>
      <c r="AQ564" s="1">
        <v>19.588552597509334</v>
      </c>
      <c r="AR564" s="1">
        <v>23.42606956542971</v>
      </c>
      <c r="AS564" s="1">
        <v>20.732243237901791</v>
      </c>
      <c r="AT564" s="1">
        <v>15.703876502327377</v>
      </c>
      <c r="AU564" s="1">
        <v>22.77436061040779</v>
      </c>
      <c r="AV564" s="1">
        <v>18.663563253064524</v>
      </c>
      <c r="AW564" s="1">
        <v>18.580876307632998</v>
      </c>
      <c r="AX564" s="1">
        <v>12.618141820688693</v>
      </c>
      <c r="AY564" s="1">
        <v>18.703873359997008</v>
      </c>
      <c r="AZ564" s="1">
        <v>16.28866932413035</v>
      </c>
      <c r="BA564" s="1">
        <v>16.631348819667956</v>
      </c>
      <c r="BB564" s="1">
        <v>16.244190703551919</v>
      </c>
      <c r="BC564" s="2">
        <v>8.9181565948742242E-2</v>
      </c>
      <c r="BD564" s="2">
        <v>0.10665277883445198</v>
      </c>
      <c r="BE564" s="2">
        <v>9.438849084854764E-2</v>
      </c>
      <c r="BF564" s="2">
        <v>7.149564986855049E-2</v>
      </c>
      <c r="BG564" s="2">
        <v>0.10368571810536763</v>
      </c>
      <c r="BH564" s="2">
        <v>8.4970330952544637E-2</v>
      </c>
      <c r="BI564" s="2">
        <v>8.4593878877262704E-2</v>
      </c>
      <c r="BJ564" s="2">
        <v>5.7447105462779965E-2</v>
      </c>
      <c r="BK564" s="2">
        <v>8.5153852345557474E-2</v>
      </c>
      <c r="BL564" s="2">
        <v>7.4158058913035174E-2</v>
      </c>
      <c r="BM564" s="2">
        <v>7.5718189192107169E-2</v>
      </c>
      <c r="BN564" s="2">
        <v>7.3955559365675619E-2</v>
      </c>
    </row>
    <row r="565" spans="1:66" x14ac:dyDescent="0.25">
      <c r="A565" s="8">
        <v>3055</v>
      </c>
      <c r="B565" s="8" t="s">
        <v>431</v>
      </c>
      <c r="C565" s="5">
        <v>0</v>
      </c>
      <c r="D565" s="5">
        <f>+$C565*BC565</f>
        <v>0</v>
      </c>
      <c r="E565" s="5">
        <f>+$C565*BD565</f>
        <v>0</v>
      </c>
      <c r="F565" s="5">
        <f>+$C565*BE565</f>
        <v>0</v>
      </c>
      <c r="G565" s="5">
        <f>+$C565*BF565</f>
        <v>0</v>
      </c>
      <c r="H565" s="5">
        <f>+$C565*BG565</f>
        <v>0</v>
      </c>
      <c r="I565" s="5">
        <f>+$C565*BH565</f>
        <v>0</v>
      </c>
      <c r="J565" s="5">
        <f>+$C565*BI565</f>
        <v>0</v>
      </c>
      <c r="K565" s="5">
        <f>+$C565*BJ565</f>
        <v>0</v>
      </c>
      <c r="L565" s="5">
        <f>+$C565*BK565</f>
        <v>0</v>
      </c>
      <c r="M565" s="5">
        <f>+$C565*BL565</f>
        <v>0</v>
      </c>
      <c r="N565" s="5">
        <f>+$C565*BM565</f>
        <v>0</v>
      </c>
      <c r="O565" s="5">
        <f>+$C565*BN565</f>
        <v>0</v>
      </c>
      <c r="P565" s="5">
        <v>6000</v>
      </c>
      <c r="Q565" s="5">
        <f>+$P565*BC565</f>
        <v>535.08939569245342</v>
      </c>
      <c r="R565" s="5">
        <f>+$P565*BD565</f>
        <v>639.9166730067119</v>
      </c>
      <c r="S565" s="5">
        <f>+$P565*BE565</f>
        <v>566.3309450912858</v>
      </c>
      <c r="T565" s="5">
        <f>+$P565*BF565</f>
        <v>428.97389921130292</v>
      </c>
      <c r="U565" s="5">
        <f>+$P565*BG565</f>
        <v>622.11430863220573</v>
      </c>
      <c r="V565" s="5">
        <f>+$P565*BH565</f>
        <v>509.82198571526783</v>
      </c>
      <c r="W565" s="5">
        <f>+$P565*BI565</f>
        <v>507.56327326357621</v>
      </c>
      <c r="X565" s="5">
        <f>+$P565*BJ565</f>
        <v>344.68263277667978</v>
      </c>
      <c r="Y565" s="5">
        <f>+$P565*BK565</f>
        <v>510.92311407334483</v>
      </c>
      <c r="Z565" s="5">
        <f>+$P565*BL565</f>
        <v>444.94835347821106</v>
      </c>
      <c r="AA565" s="5">
        <f>+$P565*BM565</f>
        <v>454.30913515264302</v>
      </c>
      <c r="AB565" s="5">
        <f>+$P565*BN565</f>
        <v>443.73335619405373</v>
      </c>
      <c r="AC565" s="5">
        <v>0</v>
      </c>
      <c r="AD565" s="5">
        <f>+$AC565*BC565</f>
        <v>0</v>
      </c>
      <c r="AE565" s="5">
        <f>+$AC565*BD565</f>
        <v>0</v>
      </c>
      <c r="AF565" s="5">
        <f>+$AC565*BE565</f>
        <v>0</v>
      </c>
      <c r="AG565" s="5">
        <f>+$AC565*BF565</f>
        <v>0</v>
      </c>
      <c r="AH565" s="5">
        <f>+$AC565*BG565</f>
        <v>0</v>
      </c>
      <c r="AI565" s="5">
        <f>+$AC565*BH565</f>
        <v>0</v>
      </c>
      <c r="AJ565" s="5">
        <f>+$AC565*BI565</f>
        <v>0</v>
      </c>
      <c r="AK565" s="5">
        <f>+$AC565*BJ565</f>
        <v>0</v>
      </c>
      <c r="AL565" s="5">
        <f>+$AC565*BK565</f>
        <v>0</v>
      </c>
      <c r="AM565" s="5">
        <f>+$AC565*BL565</f>
        <v>0</v>
      </c>
      <c r="AN565" s="5">
        <f>+$AC565*BM565</f>
        <v>0</v>
      </c>
      <c r="AO565" s="5">
        <f>+$AC565*BN565</f>
        <v>0</v>
      </c>
      <c r="AP565" s="5">
        <f>+AC565+P565+C565</f>
        <v>6000</v>
      </c>
      <c r="AQ565" s="1">
        <v>104.64395503450113</v>
      </c>
      <c r="AR565" s="1">
        <v>125.14434428154811</v>
      </c>
      <c r="AS565" s="1">
        <v>110.75366178035969</v>
      </c>
      <c r="AT565" s="1">
        <v>83.891637138409649</v>
      </c>
      <c r="AU565" s="1">
        <v>121.66285159619439</v>
      </c>
      <c r="AV565" s="1">
        <v>99.702571903427781</v>
      </c>
      <c r="AW565" s="1">
        <v>99.260850190881399</v>
      </c>
      <c r="AX565" s="1">
        <v>67.407342055022227</v>
      </c>
      <c r="AY565" s="1">
        <v>99.917912419082583</v>
      </c>
      <c r="AZ565" s="1">
        <v>87.015657325436138</v>
      </c>
      <c r="BA565" s="1">
        <v>88.84628455242391</v>
      </c>
      <c r="BB565" s="1">
        <v>86.778048204055835</v>
      </c>
      <c r="BC565" s="2">
        <v>8.9181565948742242E-2</v>
      </c>
      <c r="BD565" s="2">
        <v>0.10665277883445198</v>
      </c>
      <c r="BE565" s="2">
        <v>9.438849084854764E-2</v>
      </c>
      <c r="BF565" s="2">
        <v>7.149564986855049E-2</v>
      </c>
      <c r="BG565" s="2">
        <v>0.10368571810536763</v>
      </c>
      <c r="BH565" s="2">
        <v>8.4970330952544637E-2</v>
      </c>
      <c r="BI565" s="2">
        <v>8.4593878877262704E-2</v>
      </c>
      <c r="BJ565" s="2">
        <v>5.7447105462779965E-2</v>
      </c>
      <c r="BK565" s="2">
        <v>8.5153852345557474E-2</v>
      </c>
      <c r="BL565" s="2">
        <v>7.4158058913035174E-2</v>
      </c>
      <c r="BM565" s="2">
        <v>7.5718189192107169E-2</v>
      </c>
      <c r="BN565" s="2">
        <v>7.3955559365675619E-2</v>
      </c>
    </row>
    <row r="566" spans="1:66" x14ac:dyDescent="0.25">
      <c r="A566" s="8">
        <v>3060</v>
      </c>
      <c r="B566" s="8" t="s">
        <v>430</v>
      </c>
      <c r="C566" s="5">
        <v>0</v>
      </c>
      <c r="D566" s="5">
        <f>+$C566*BC566</f>
        <v>0</v>
      </c>
      <c r="E566" s="5">
        <f>+$C566*BD566</f>
        <v>0</v>
      </c>
      <c r="F566" s="5">
        <f>+$C566*BE566</f>
        <v>0</v>
      </c>
      <c r="G566" s="5">
        <f>+$C566*BF566</f>
        <v>0</v>
      </c>
      <c r="H566" s="5">
        <f>+$C566*BG566</f>
        <v>0</v>
      </c>
      <c r="I566" s="5">
        <f>+$C566*BH566</f>
        <v>0</v>
      </c>
      <c r="J566" s="5">
        <f>+$C566*BI566</f>
        <v>0</v>
      </c>
      <c r="K566" s="5">
        <f>+$C566*BJ566</f>
        <v>0</v>
      </c>
      <c r="L566" s="5">
        <f>+$C566*BK566</f>
        <v>0</v>
      </c>
      <c r="M566" s="5">
        <f>+$C566*BL566</f>
        <v>0</v>
      </c>
      <c r="N566" s="5">
        <f>+$C566*BM566</f>
        <v>0</v>
      </c>
      <c r="O566" s="5">
        <f>+$C566*BN566</f>
        <v>0</v>
      </c>
      <c r="P566" s="5">
        <v>0</v>
      </c>
      <c r="Q566" s="5">
        <f>+$P566*BC566</f>
        <v>0</v>
      </c>
      <c r="R566" s="5">
        <f>+$P566*BD566</f>
        <v>0</v>
      </c>
      <c r="S566" s="5">
        <f>+$P566*BE566</f>
        <v>0</v>
      </c>
      <c r="T566" s="5">
        <f>+$P566*BF566</f>
        <v>0</v>
      </c>
      <c r="U566" s="5">
        <f>+$P566*BG566</f>
        <v>0</v>
      </c>
      <c r="V566" s="5">
        <f>+$P566*BH566</f>
        <v>0</v>
      </c>
      <c r="W566" s="5">
        <f>+$P566*BI566</f>
        <v>0</v>
      </c>
      <c r="X566" s="5">
        <f>+$P566*BJ566</f>
        <v>0</v>
      </c>
      <c r="Y566" s="5">
        <f>+$P566*BK566</f>
        <v>0</v>
      </c>
      <c r="Z566" s="5">
        <f>+$P566*BL566</f>
        <v>0</v>
      </c>
      <c r="AA566" s="5">
        <f>+$P566*BM566</f>
        <v>0</v>
      </c>
      <c r="AB566" s="5">
        <f>+$P566*BN566</f>
        <v>0</v>
      </c>
      <c r="AC566" s="5">
        <v>0</v>
      </c>
      <c r="AD566" s="5">
        <f>+$AC566*BC566</f>
        <v>0</v>
      </c>
      <c r="AE566" s="5">
        <f>+$AC566*BD566</f>
        <v>0</v>
      </c>
      <c r="AF566" s="5">
        <f>+$AC566*BE566</f>
        <v>0</v>
      </c>
      <c r="AG566" s="5">
        <f>+$AC566*BF566</f>
        <v>0</v>
      </c>
      <c r="AH566" s="5">
        <f>+$AC566*BG566</f>
        <v>0</v>
      </c>
      <c r="AI566" s="5">
        <f>+$AC566*BH566</f>
        <v>0</v>
      </c>
      <c r="AJ566" s="5">
        <f>+$AC566*BI566</f>
        <v>0</v>
      </c>
      <c r="AK566" s="5">
        <f>+$AC566*BJ566</f>
        <v>0</v>
      </c>
      <c r="AL566" s="5">
        <f>+$AC566*BK566</f>
        <v>0</v>
      </c>
      <c r="AM566" s="5">
        <f>+$AC566*BL566</f>
        <v>0</v>
      </c>
      <c r="AN566" s="5">
        <f>+$AC566*BM566</f>
        <v>0</v>
      </c>
      <c r="AO566" s="5">
        <f>+$AC566*BN566</f>
        <v>0</v>
      </c>
      <c r="AP566" s="5">
        <f>+AC566+P566+C566</f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2">
        <v>8.9181565948742242E-2</v>
      </c>
      <c r="BD566" s="2">
        <v>0.10665277883445198</v>
      </c>
      <c r="BE566" s="2">
        <v>9.438849084854764E-2</v>
      </c>
      <c r="BF566" s="2">
        <v>7.149564986855049E-2</v>
      </c>
      <c r="BG566" s="2">
        <v>0.10368571810536763</v>
      </c>
      <c r="BH566" s="2">
        <v>8.4970330952544637E-2</v>
      </c>
      <c r="BI566" s="2">
        <v>8.4593878877262704E-2</v>
      </c>
      <c r="BJ566" s="2">
        <v>5.7447105462779965E-2</v>
      </c>
      <c r="BK566" s="2">
        <v>8.5153852345557474E-2</v>
      </c>
      <c r="BL566" s="2">
        <v>7.4158058913035174E-2</v>
      </c>
      <c r="BM566" s="2">
        <v>7.5718189192107169E-2</v>
      </c>
      <c r="BN566" s="2">
        <v>7.3955559365675619E-2</v>
      </c>
    </row>
    <row r="567" spans="1:66" x14ac:dyDescent="0.25">
      <c r="A567" s="8">
        <v>3078</v>
      </c>
      <c r="B567" s="8" t="s">
        <v>429</v>
      </c>
      <c r="C567" s="5">
        <v>0</v>
      </c>
      <c r="D567" s="5">
        <f>+$C567*BC567</f>
        <v>0</v>
      </c>
      <c r="E567" s="5">
        <f>+$C567*BD567</f>
        <v>0</v>
      </c>
      <c r="F567" s="5">
        <f>+$C567*BE567</f>
        <v>0</v>
      </c>
      <c r="G567" s="5">
        <f>+$C567*BF567</f>
        <v>0</v>
      </c>
      <c r="H567" s="5">
        <f>+$C567*BG567</f>
        <v>0</v>
      </c>
      <c r="I567" s="5">
        <f>+$C567*BH567</f>
        <v>0</v>
      </c>
      <c r="J567" s="5">
        <f>+$C567*BI567</f>
        <v>0</v>
      </c>
      <c r="K567" s="5">
        <f>+$C567*BJ567</f>
        <v>0</v>
      </c>
      <c r="L567" s="5">
        <f>+$C567*BK567</f>
        <v>0</v>
      </c>
      <c r="M567" s="5">
        <f>+$C567*BL567</f>
        <v>0</v>
      </c>
      <c r="N567" s="5">
        <f>+$C567*BM567</f>
        <v>0</v>
      </c>
      <c r="O567" s="5">
        <f>+$C567*BN567</f>
        <v>0</v>
      </c>
      <c r="P567" s="5">
        <v>0</v>
      </c>
      <c r="Q567" s="5">
        <f>+$P567*BC567</f>
        <v>0</v>
      </c>
      <c r="R567" s="5">
        <f>+$P567*BD567</f>
        <v>0</v>
      </c>
      <c r="S567" s="5">
        <f>+$P567*BE567</f>
        <v>0</v>
      </c>
      <c r="T567" s="5">
        <f>+$P567*BF567</f>
        <v>0</v>
      </c>
      <c r="U567" s="5">
        <f>+$P567*BG567</f>
        <v>0</v>
      </c>
      <c r="V567" s="5">
        <f>+$P567*BH567</f>
        <v>0</v>
      </c>
      <c r="W567" s="5">
        <f>+$P567*BI567</f>
        <v>0</v>
      </c>
      <c r="X567" s="5">
        <f>+$P567*BJ567</f>
        <v>0</v>
      </c>
      <c r="Y567" s="5">
        <f>+$P567*BK567</f>
        <v>0</v>
      </c>
      <c r="Z567" s="5">
        <f>+$P567*BL567</f>
        <v>0</v>
      </c>
      <c r="AA567" s="5">
        <f>+$P567*BM567</f>
        <v>0</v>
      </c>
      <c r="AB567" s="5">
        <f>+$P567*BN567</f>
        <v>0</v>
      </c>
      <c r="AC567" s="5">
        <v>0</v>
      </c>
      <c r="AD567" s="5">
        <f>+$AC567*BC567</f>
        <v>0</v>
      </c>
      <c r="AE567" s="5">
        <f>+$AC567*BD567</f>
        <v>0</v>
      </c>
      <c r="AF567" s="5">
        <f>+$AC567*BE567</f>
        <v>0</v>
      </c>
      <c r="AG567" s="5">
        <f>+$AC567*BF567</f>
        <v>0</v>
      </c>
      <c r="AH567" s="5">
        <f>+$AC567*BG567</f>
        <v>0</v>
      </c>
      <c r="AI567" s="5">
        <f>+$AC567*BH567</f>
        <v>0</v>
      </c>
      <c r="AJ567" s="5">
        <f>+$AC567*BI567</f>
        <v>0</v>
      </c>
      <c r="AK567" s="5">
        <f>+$AC567*BJ567</f>
        <v>0</v>
      </c>
      <c r="AL567" s="5">
        <f>+$AC567*BK567</f>
        <v>0</v>
      </c>
      <c r="AM567" s="5">
        <f>+$AC567*BL567</f>
        <v>0</v>
      </c>
      <c r="AN567" s="5">
        <f>+$AC567*BM567</f>
        <v>0</v>
      </c>
      <c r="AO567" s="5">
        <f>+$AC567*BN567</f>
        <v>0</v>
      </c>
      <c r="AP567" s="5">
        <f>+AC567+P567+C567</f>
        <v>0</v>
      </c>
      <c r="AQ567" s="1">
        <v>12.19870049829871</v>
      </c>
      <c r="AR567" s="1">
        <v>14.588500352870517</v>
      </c>
      <c r="AS567" s="1">
        <v>12.910929720718592</v>
      </c>
      <c r="AT567" s="1">
        <v>9.7795324672696804</v>
      </c>
      <c r="AU567" s="1">
        <v>14.182650951042714</v>
      </c>
      <c r="AV567" s="1">
        <v>11.622666719343821</v>
      </c>
      <c r="AW567" s="1">
        <v>11.571173722226382</v>
      </c>
      <c r="AX567" s="1">
        <v>7.8579023207263594</v>
      </c>
      <c r="AY567" s="1">
        <v>11.647769693087081</v>
      </c>
      <c r="AZ567" s="1">
        <v>10.143710088419517</v>
      </c>
      <c r="BA567" s="1">
        <v>10.357112508642381</v>
      </c>
      <c r="BB567" s="1">
        <v>10.116011187833941</v>
      </c>
      <c r="BC567" s="2">
        <v>8.9181565948742242E-2</v>
      </c>
      <c r="BD567" s="2">
        <v>0.10665277883445198</v>
      </c>
      <c r="BE567" s="2">
        <v>9.438849084854764E-2</v>
      </c>
      <c r="BF567" s="2">
        <v>7.149564986855049E-2</v>
      </c>
      <c r="BG567" s="2">
        <v>0.10368571810536763</v>
      </c>
      <c r="BH567" s="2">
        <v>8.4970330952544637E-2</v>
      </c>
      <c r="BI567" s="2">
        <v>8.4593878877262704E-2</v>
      </c>
      <c r="BJ567" s="2">
        <v>5.7447105462779965E-2</v>
      </c>
      <c r="BK567" s="2">
        <v>8.5153852345557474E-2</v>
      </c>
      <c r="BL567" s="2">
        <v>7.4158058913035174E-2</v>
      </c>
      <c r="BM567" s="2">
        <v>7.5718189192107169E-2</v>
      </c>
      <c r="BN567" s="2">
        <v>7.3955559365675619E-2</v>
      </c>
    </row>
    <row r="568" spans="1:66" x14ac:dyDescent="0.25">
      <c r="A568" s="8">
        <v>3079</v>
      </c>
      <c r="B568" s="8" t="s">
        <v>428</v>
      </c>
      <c r="C568" s="5">
        <v>0</v>
      </c>
      <c r="D568" s="5">
        <f>+$C568*BC568</f>
        <v>0</v>
      </c>
      <c r="E568" s="5">
        <f>+$C568*BD568</f>
        <v>0</v>
      </c>
      <c r="F568" s="5">
        <f>+$C568*BE568</f>
        <v>0</v>
      </c>
      <c r="G568" s="5">
        <f>+$C568*BF568</f>
        <v>0</v>
      </c>
      <c r="H568" s="5">
        <f>+$C568*BG568</f>
        <v>0</v>
      </c>
      <c r="I568" s="5">
        <f>+$C568*BH568</f>
        <v>0</v>
      </c>
      <c r="J568" s="5">
        <f>+$C568*BI568</f>
        <v>0</v>
      </c>
      <c r="K568" s="5">
        <f>+$C568*BJ568</f>
        <v>0</v>
      </c>
      <c r="L568" s="5">
        <f>+$C568*BK568</f>
        <v>0</v>
      </c>
      <c r="M568" s="5">
        <f>+$C568*BL568</f>
        <v>0</v>
      </c>
      <c r="N568" s="5">
        <f>+$C568*BM568</f>
        <v>0</v>
      </c>
      <c r="O568" s="5">
        <f>+$C568*BN568</f>
        <v>0</v>
      </c>
      <c r="P568" s="5">
        <v>0</v>
      </c>
      <c r="Q568" s="5">
        <f>+$P568*BC568</f>
        <v>0</v>
      </c>
      <c r="R568" s="5">
        <f>+$P568*BD568</f>
        <v>0</v>
      </c>
      <c r="S568" s="5">
        <f>+$P568*BE568</f>
        <v>0</v>
      </c>
      <c r="T568" s="5">
        <f>+$P568*BF568</f>
        <v>0</v>
      </c>
      <c r="U568" s="5">
        <f>+$P568*BG568</f>
        <v>0</v>
      </c>
      <c r="V568" s="5">
        <f>+$P568*BH568</f>
        <v>0</v>
      </c>
      <c r="W568" s="5">
        <f>+$P568*BI568</f>
        <v>0</v>
      </c>
      <c r="X568" s="5">
        <f>+$P568*BJ568</f>
        <v>0</v>
      </c>
      <c r="Y568" s="5">
        <f>+$P568*BK568</f>
        <v>0</v>
      </c>
      <c r="Z568" s="5">
        <f>+$P568*BL568</f>
        <v>0</v>
      </c>
      <c r="AA568" s="5">
        <f>+$P568*BM568</f>
        <v>0</v>
      </c>
      <c r="AB568" s="5">
        <f>+$P568*BN568</f>
        <v>0</v>
      </c>
      <c r="AC568" s="5">
        <v>0</v>
      </c>
      <c r="AD568" s="5">
        <f>+$AC568*BC568</f>
        <v>0</v>
      </c>
      <c r="AE568" s="5">
        <f>+$AC568*BD568</f>
        <v>0</v>
      </c>
      <c r="AF568" s="5">
        <f>+$AC568*BE568</f>
        <v>0</v>
      </c>
      <c r="AG568" s="5">
        <f>+$AC568*BF568</f>
        <v>0</v>
      </c>
      <c r="AH568" s="5">
        <f>+$AC568*BG568</f>
        <v>0</v>
      </c>
      <c r="AI568" s="5">
        <f>+$AC568*BH568</f>
        <v>0</v>
      </c>
      <c r="AJ568" s="5">
        <f>+$AC568*BI568</f>
        <v>0</v>
      </c>
      <c r="AK568" s="5">
        <f>+$AC568*BJ568</f>
        <v>0</v>
      </c>
      <c r="AL568" s="5">
        <f>+$AC568*BK568</f>
        <v>0</v>
      </c>
      <c r="AM568" s="5">
        <f>+$AC568*BL568</f>
        <v>0</v>
      </c>
      <c r="AN568" s="5">
        <f>+$AC568*BM568</f>
        <v>0</v>
      </c>
      <c r="AO568" s="5">
        <f>+$AC568*BN568</f>
        <v>0</v>
      </c>
      <c r="AP568" s="5">
        <f>+AC568+P568+C568</f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2">
        <v>8.9181565948742242E-2</v>
      </c>
      <c r="BD568" s="2">
        <v>0.10665277883445198</v>
      </c>
      <c r="BE568" s="2">
        <v>9.438849084854764E-2</v>
      </c>
      <c r="BF568" s="2">
        <v>7.149564986855049E-2</v>
      </c>
      <c r="BG568" s="2">
        <v>0.10368571810536763</v>
      </c>
      <c r="BH568" s="2">
        <v>8.4970330952544637E-2</v>
      </c>
      <c r="BI568" s="2">
        <v>8.4593878877262704E-2</v>
      </c>
      <c r="BJ568" s="2">
        <v>5.7447105462779965E-2</v>
      </c>
      <c r="BK568" s="2">
        <v>8.5153852345557474E-2</v>
      </c>
      <c r="BL568" s="2">
        <v>7.4158058913035174E-2</v>
      </c>
      <c r="BM568" s="2">
        <v>7.5718189192107169E-2</v>
      </c>
      <c r="BN568" s="2">
        <v>7.3955559365675619E-2</v>
      </c>
    </row>
    <row r="569" spans="1:66" x14ac:dyDescent="0.25">
      <c r="A569" s="8">
        <v>3093</v>
      </c>
      <c r="B569" s="8" t="s">
        <v>427</v>
      </c>
      <c r="C569" s="5">
        <v>0</v>
      </c>
      <c r="D569" s="5">
        <f>+$C569*BC569</f>
        <v>0</v>
      </c>
      <c r="E569" s="5">
        <f>+$C569*BD569</f>
        <v>0</v>
      </c>
      <c r="F569" s="5">
        <f>+$C569*BE569</f>
        <v>0</v>
      </c>
      <c r="G569" s="5">
        <f>+$C569*BF569</f>
        <v>0</v>
      </c>
      <c r="H569" s="5">
        <f>+$C569*BG569</f>
        <v>0</v>
      </c>
      <c r="I569" s="5">
        <f>+$C569*BH569</f>
        <v>0</v>
      </c>
      <c r="J569" s="5">
        <f>+$C569*BI569</f>
        <v>0</v>
      </c>
      <c r="K569" s="5">
        <f>+$C569*BJ569</f>
        <v>0</v>
      </c>
      <c r="L569" s="5">
        <f>+$C569*BK569</f>
        <v>0</v>
      </c>
      <c r="M569" s="5">
        <f>+$C569*BL569</f>
        <v>0</v>
      </c>
      <c r="N569" s="5">
        <f>+$C569*BM569</f>
        <v>0</v>
      </c>
      <c r="O569" s="5">
        <f>+$C569*BN569</f>
        <v>0</v>
      </c>
      <c r="P569" s="5">
        <v>0</v>
      </c>
      <c r="Q569" s="5">
        <f>+$P569*BC569</f>
        <v>0</v>
      </c>
      <c r="R569" s="5">
        <f>+$P569*BD569</f>
        <v>0</v>
      </c>
      <c r="S569" s="5">
        <f>+$P569*BE569</f>
        <v>0</v>
      </c>
      <c r="T569" s="5">
        <f>+$P569*BF569</f>
        <v>0</v>
      </c>
      <c r="U569" s="5">
        <f>+$P569*BG569</f>
        <v>0</v>
      </c>
      <c r="V569" s="5">
        <f>+$P569*BH569</f>
        <v>0</v>
      </c>
      <c r="W569" s="5">
        <f>+$P569*BI569</f>
        <v>0</v>
      </c>
      <c r="X569" s="5">
        <f>+$P569*BJ569</f>
        <v>0</v>
      </c>
      <c r="Y569" s="5">
        <f>+$P569*BK569</f>
        <v>0</v>
      </c>
      <c r="Z569" s="5">
        <f>+$P569*BL569</f>
        <v>0</v>
      </c>
      <c r="AA569" s="5">
        <f>+$P569*BM569</f>
        <v>0</v>
      </c>
      <c r="AB569" s="5">
        <f>+$P569*BN569</f>
        <v>0</v>
      </c>
      <c r="AC569" s="5">
        <v>0</v>
      </c>
      <c r="AD569" s="5">
        <f>+$AC569*BC569</f>
        <v>0</v>
      </c>
      <c r="AE569" s="5">
        <f>+$AC569*BD569</f>
        <v>0</v>
      </c>
      <c r="AF569" s="5">
        <f>+$AC569*BE569</f>
        <v>0</v>
      </c>
      <c r="AG569" s="5">
        <f>+$AC569*BF569</f>
        <v>0</v>
      </c>
      <c r="AH569" s="5">
        <f>+$AC569*BG569</f>
        <v>0</v>
      </c>
      <c r="AI569" s="5">
        <f>+$AC569*BH569</f>
        <v>0</v>
      </c>
      <c r="AJ569" s="5">
        <f>+$AC569*BI569</f>
        <v>0</v>
      </c>
      <c r="AK569" s="5">
        <f>+$AC569*BJ569</f>
        <v>0</v>
      </c>
      <c r="AL569" s="5">
        <f>+$AC569*BK569</f>
        <v>0</v>
      </c>
      <c r="AM569" s="5">
        <f>+$AC569*BL569</f>
        <v>0</v>
      </c>
      <c r="AN569" s="5">
        <f>+$AC569*BM569</f>
        <v>0</v>
      </c>
      <c r="AO569" s="5">
        <f>+$AC569*BN569</f>
        <v>0</v>
      </c>
      <c r="AP569" s="5">
        <f>+AC569+P569+C569</f>
        <v>0</v>
      </c>
      <c r="AQ569" s="1">
        <v>10.967548980376321</v>
      </c>
      <c r="AR569" s="1">
        <v>13.116158741060906</v>
      </c>
      <c r="AS569" s="1">
        <v>11.607896604554389</v>
      </c>
      <c r="AT569" s="1">
        <v>8.7925350208343396</v>
      </c>
      <c r="AU569" s="1">
        <v>12.751269612598112</v>
      </c>
      <c r="AV569" s="1">
        <v>10.449651300543939</v>
      </c>
      <c r="AW569" s="1">
        <v>10.403355224325768</v>
      </c>
      <c r="AX569" s="1">
        <v>7.0648450298126804</v>
      </c>
      <c r="AY569" s="1">
        <v>10.472220761456658</v>
      </c>
      <c r="AZ569" s="1">
        <v>9.1199580851250666</v>
      </c>
      <c r="BA569" s="1">
        <v>9.3118229068453395</v>
      </c>
      <c r="BB569" s="1">
        <v>9.0950546907907874</v>
      </c>
      <c r="BC569" s="2">
        <v>8.9181565948742242E-2</v>
      </c>
      <c r="BD569" s="2">
        <v>0.10665277883445198</v>
      </c>
      <c r="BE569" s="2">
        <v>9.438849084854764E-2</v>
      </c>
      <c r="BF569" s="2">
        <v>7.149564986855049E-2</v>
      </c>
      <c r="BG569" s="2">
        <v>0.10368571810536763</v>
      </c>
      <c r="BH569" s="2">
        <v>8.4970330952544637E-2</v>
      </c>
      <c r="BI569" s="2">
        <v>8.4593878877262704E-2</v>
      </c>
      <c r="BJ569" s="2">
        <v>5.7447105462779965E-2</v>
      </c>
      <c r="BK569" s="2">
        <v>8.5153852345557474E-2</v>
      </c>
      <c r="BL569" s="2">
        <v>7.4158058913035174E-2</v>
      </c>
      <c r="BM569" s="2">
        <v>7.5718189192107169E-2</v>
      </c>
      <c r="BN569" s="2">
        <v>7.3955559365675619E-2</v>
      </c>
    </row>
    <row r="570" spans="1:66" x14ac:dyDescent="0.25">
      <c r="A570" s="8">
        <v>3120</v>
      </c>
      <c r="B570" s="8" t="s">
        <v>426</v>
      </c>
      <c r="C570" s="5">
        <v>0</v>
      </c>
      <c r="D570" s="5">
        <f>+$C570*BC570</f>
        <v>0</v>
      </c>
      <c r="E570" s="5">
        <f>+$C570*BD570</f>
        <v>0</v>
      </c>
      <c r="F570" s="5">
        <f>+$C570*BE570</f>
        <v>0</v>
      </c>
      <c r="G570" s="5">
        <f>+$C570*BF570</f>
        <v>0</v>
      </c>
      <c r="H570" s="5">
        <f>+$C570*BG570</f>
        <v>0</v>
      </c>
      <c r="I570" s="5">
        <f>+$C570*BH570</f>
        <v>0</v>
      </c>
      <c r="J570" s="5">
        <f>+$C570*BI570</f>
        <v>0</v>
      </c>
      <c r="K570" s="5">
        <f>+$C570*BJ570</f>
        <v>0</v>
      </c>
      <c r="L570" s="5">
        <f>+$C570*BK570</f>
        <v>0</v>
      </c>
      <c r="M570" s="5">
        <f>+$C570*BL570</f>
        <v>0</v>
      </c>
      <c r="N570" s="5">
        <f>+$C570*BM570</f>
        <v>0</v>
      </c>
      <c r="O570" s="5">
        <f>+$C570*BN570</f>
        <v>0</v>
      </c>
      <c r="P570" s="5">
        <v>0</v>
      </c>
      <c r="Q570" s="5">
        <f>+$P570*BC570</f>
        <v>0</v>
      </c>
      <c r="R570" s="5">
        <f>+$P570*BD570</f>
        <v>0</v>
      </c>
      <c r="S570" s="5">
        <f>+$P570*BE570</f>
        <v>0</v>
      </c>
      <c r="T570" s="5">
        <f>+$P570*BF570</f>
        <v>0</v>
      </c>
      <c r="U570" s="5">
        <f>+$P570*BG570</f>
        <v>0</v>
      </c>
      <c r="V570" s="5">
        <f>+$P570*BH570</f>
        <v>0</v>
      </c>
      <c r="W570" s="5">
        <f>+$P570*BI570</f>
        <v>0</v>
      </c>
      <c r="X570" s="5">
        <f>+$P570*BJ570</f>
        <v>0</v>
      </c>
      <c r="Y570" s="5">
        <f>+$P570*BK570</f>
        <v>0</v>
      </c>
      <c r="Z570" s="5">
        <f>+$P570*BL570</f>
        <v>0</v>
      </c>
      <c r="AA570" s="5">
        <f>+$P570*BM570</f>
        <v>0</v>
      </c>
      <c r="AB570" s="5">
        <f>+$P570*BN570</f>
        <v>0</v>
      </c>
      <c r="AC570" s="5">
        <v>0</v>
      </c>
      <c r="AD570" s="5">
        <f>+$AC570*BC570</f>
        <v>0</v>
      </c>
      <c r="AE570" s="5">
        <f>+$AC570*BD570</f>
        <v>0</v>
      </c>
      <c r="AF570" s="5">
        <f>+$AC570*BE570</f>
        <v>0</v>
      </c>
      <c r="AG570" s="5">
        <f>+$AC570*BF570</f>
        <v>0</v>
      </c>
      <c r="AH570" s="5">
        <f>+$AC570*BG570</f>
        <v>0</v>
      </c>
      <c r="AI570" s="5">
        <f>+$AC570*BH570</f>
        <v>0</v>
      </c>
      <c r="AJ570" s="5">
        <f>+$AC570*BI570</f>
        <v>0</v>
      </c>
      <c r="AK570" s="5">
        <f>+$AC570*BJ570</f>
        <v>0</v>
      </c>
      <c r="AL570" s="5">
        <f>+$AC570*BK570</f>
        <v>0</v>
      </c>
      <c r="AM570" s="5">
        <f>+$AC570*BL570</f>
        <v>0</v>
      </c>
      <c r="AN570" s="5">
        <f>+$AC570*BM570</f>
        <v>0</v>
      </c>
      <c r="AO570" s="5">
        <f>+$AC570*BN570</f>
        <v>0</v>
      </c>
      <c r="AP570" s="5">
        <f>+AC570+P570+C570</f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2">
        <v>8.9181565948742242E-2</v>
      </c>
      <c r="BD570" s="2">
        <v>0.10665277883445198</v>
      </c>
      <c r="BE570" s="2">
        <v>9.438849084854764E-2</v>
      </c>
      <c r="BF570" s="2">
        <v>7.149564986855049E-2</v>
      </c>
      <c r="BG570" s="2">
        <v>0.10368571810536763</v>
      </c>
      <c r="BH570" s="2">
        <v>8.4970330952544637E-2</v>
      </c>
      <c r="BI570" s="2">
        <v>8.4593878877262704E-2</v>
      </c>
      <c r="BJ570" s="2">
        <v>5.7447105462779965E-2</v>
      </c>
      <c r="BK570" s="2">
        <v>8.5153852345557474E-2</v>
      </c>
      <c r="BL570" s="2">
        <v>7.4158058913035174E-2</v>
      </c>
      <c r="BM570" s="2">
        <v>7.5718189192107169E-2</v>
      </c>
      <c r="BN570" s="2">
        <v>7.3955559365675619E-2</v>
      </c>
    </row>
    <row r="571" spans="1:66" x14ac:dyDescent="0.25">
      <c r="A571" s="8">
        <v>3124</v>
      </c>
      <c r="B571" s="8" t="s">
        <v>425</v>
      </c>
      <c r="C571" s="5">
        <v>0</v>
      </c>
      <c r="D571" s="5">
        <f>+$C571*BC571</f>
        <v>0</v>
      </c>
      <c r="E571" s="5">
        <f>+$C571*BD571</f>
        <v>0</v>
      </c>
      <c r="F571" s="5">
        <f>+$C571*BE571</f>
        <v>0</v>
      </c>
      <c r="G571" s="5">
        <f>+$C571*BF571</f>
        <v>0</v>
      </c>
      <c r="H571" s="5">
        <f>+$C571*BG571</f>
        <v>0</v>
      </c>
      <c r="I571" s="5">
        <f>+$C571*BH571</f>
        <v>0</v>
      </c>
      <c r="J571" s="5">
        <f>+$C571*BI571</f>
        <v>0</v>
      </c>
      <c r="K571" s="5">
        <f>+$C571*BJ571</f>
        <v>0</v>
      </c>
      <c r="L571" s="5">
        <f>+$C571*BK571</f>
        <v>0</v>
      </c>
      <c r="M571" s="5">
        <f>+$C571*BL571</f>
        <v>0</v>
      </c>
      <c r="N571" s="5">
        <f>+$C571*BM571</f>
        <v>0</v>
      </c>
      <c r="O571" s="5">
        <f>+$C571*BN571</f>
        <v>0</v>
      </c>
      <c r="P571" s="5">
        <v>0</v>
      </c>
      <c r="Q571" s="5">
        <f>+$P571*BC571</f>
        <v>0</v>
      </c>
      <c r="R571" s="5">
        <f>+$P571*BD571</f>
        <v>0</v>
      </c>
      <c r="S571" s="5">
        <f>+$P571*BE571</f>
        <v>0</v>
      </c>
      <c r="T571" s="5">
        <f>+$P571*BF571</f>
        <v>0</v>
      </c>
      <c r="U571" s="5">
        <f>+$P571*BG571</f>
        <v>0</v>
      </c>
      <c r="V571" s="5">
        <f>+$P571*BH571</f>
        <v>0</v>
      </c>
      <c r="W571" s="5">
        <f>+$P571*BI571</f>
        <v>0</v>
      </c>
      <c r="X571" s="5">
        <f>+$P571*BJ571</f>
        <v>0</v>
      </c>
      <c r="Y571" s="5">
        <f>+$P571*BK571</f>
        <v>0</v>
      </c>
      <c r="Z571" s="5">
        <f>+$P571*BL571</f>
        <v>0</v>
      </c>
      <c r="AA571" s="5">
        <f>+$P571*BM571</f>
        <v>0</v>
      </c>
      <c r="AB571" s="5">
        <f>+$P571*BN571</f>
        <v>0</v>
      </c>
      <c r="AC571" s="5">
        <v>0</v>
      </c>
      <c r="AD571" s="5">
        <f>+$AC571*BC571</f>
        <v>0</v>
      </c>
      <c r="AE571" s="5">
        <f>+$AC571*BD571</f>
        <v>0</v>
      </c>
      <c r="AF571" s="5">
        <f>+$AC571*BE571</f>
        <v>0</v>
      </c>
      <c r="AG571" s="5">
        <f>+$AC571*BF571</f>
        <v>0</v>
      </c>
      <c r="AH571" s="5">
        <f>+$AC571*BG571</f>
        <v>0</v>
      </c>
      <c r="AI571" s="5">
        <f>+$AC571*BH571</f>
        <v>0</v>
      </c>
      <c r="AJ571" s="5">
        <f>+$AC571*BI571</f>
        <v>0</v>
      </c>
      <c r="AK571" s="5">
        <f>+$AC571*BJ571</f>
        <v>0</v>
      </c>
      <c r="AL571" s="5">
        <f>+$AC571*BK571</f>
        <v>0</v>
      </c>
      <c r="AM571" s="5">
        <f>+$AC571*BL571</f>
        <v>0</v>
      </c>
      <c r="AN571" s="5">
        <f>+$AC571*BM571</f>
        <v>0</v>
      </c>
      <c r="AO571" s="5">
        <f>+$AC571*BN571</f>
        <v>0</v>
      </c>
      <c r="AP571" s="5">
        <f>+AC571+P571+C571</f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2">
        <v>8.9181565948742242E-2</v>
      </c>
      <c r="BD571" s="2">
        <v>0.10665277883445198</v>
      </c>
      <c r="BE571" s="2">
        <v>9.438849084854764E-2</v>
      </c>
      <c r="BF571" s="2">
        <v>7.149564986855049E-2</v>
      </c>
      <c r="BG571" s="2">
        <v>0.10368571810536763</v>
      </c>
      <c r="BH571" s="2">
        <v>8.4970330952544637E-2</v>
      </c>
      <c r="BI571" s="2">
        <v>8.4593878877262704E-2</v>
      </c>
      <c r="BJ571" s="2">
        <v>5.7447105462779965E-2</v>
      </c>
      <c r="BK571" s="2">
        <v>8.5153852345557474E-2</v>
      </c>
      <c r="BL571" s="2">
        <v>7.4158058913035174E-2</v>
      </c>
      <c r="BM571" s="2">
        <v>7.5718189192107169E-2</v>
      </c>
      <c r="BN571" s="2">
        <v>7.3955559365675619E-2</v>
      </c>
    </row>
    <row r="572" spans="1:66" x14ac:dyDescent="0.25">
      <c r="A572" s="8">
        <v>3129</v>
      </c>
      <c r="B572" s="8" t="s">
        <v>424</v>
      </c>
      <c r="C572" s="5">
        <v>0</v>
      </c>
      <c r="D572" s="5">
        <f>+$C572*BC572</f>
        <v>0</v>
      </c>
      <c r="E572" s="5">
        <f>+$C572*BD572</f>
        <v>0</v>
      </c>
      <c r="F572" s="5">
        <f>+$C572*BE572</f>
        <v>0</v>
      </c>
      <c r="G572" s="5">
        <f>+$C572*BF572</f>
        <v>0</v>
      </c>
      <c r="H572" s="5">
        <f>+$C572*BG572</f>
        <v>0</v>
      </c>
      <c r="I572" s="5">
        <f>+$C572*BH572</f>
        <v>0</v>
      </c>
      <c r="J572" s="5">
        <f>+$C572*BI572</f>
        <v>0</v>
      </c>
      <c r="K572" s="5">
        <f>+$C572*BJ572</f>
        <v>0</v>
      </c>
      <c r="L572" s="5">
        <f>+$C572*BK572</f>
        <v>0</v>
      </c>
      <c r="M572" s="5">
        <f>+$C572*BL572</f>
        <v>0</v>
      </c>
      <c r="N572" s="5">
        <f>+$C572*BM572</f>
        <v>0</v>
      </c>
      <c r="O572" s="5">
        <f>+$C572*BN572</f>
        <v>0</v>
      </c>
      <c r="P572" s="5">
        <v>0</v>
      </c>
      <c r="Q572" s="5">
        <f>+$P572*BC572</f>
        <v>0</v>
      </c>
      <c r="R572" s="5">
        <f>+$P572*BD572</f>
        <v>0</v>
      </c>
      <c r="S572" s="5">
        <f>+$P572*BE572</f>
        <v>0</v>
      </c>
      <c r="T572" s="5">
        <f>+$P572*BF572</f>
        <v>0</v>
      </c>
      <c r="U572" s="5">
        <f>+$P572*BG572</f>
        <v>0</v>
      </c>
      <c r="V572" s="5">
        <f>+$P572*BH572</f>
        <v>0</v>
      </c>
      <c r="W572" s="5">
        <f>+$P572*BI572</f>
        <v>0</v>
      </c>
      <c r="X572" s="5">
        <f>+$P572*BJ572</f>
        <v>0</v>
      </c>
      <c r="Y572" s="5">
        <f>+$P572*BK572</f>
        <v>0</v>
      </c>
      <c r="Z572" s="5">
        <f>+$P572*BL572</f>
        <v>0</v>
      </c>
      <c r="AA572" s="5">
        <f>+$P572*BM572</f>
        <v>0</v>
      </c>
      <c r="AB572" s="5">
        <f>+$P572*BN572</f>
        <v>0</v>
      </c>
      <c r="AC572" s="5">
        <v>0</v>
      </c>
      <c r="AD572" s="5">
        <f>+$AC572*BC572</f>
        <v>0</v>
      </c>
      <c r="AE572" s="5">
        <f>+$AC572*BD572</f>
        <v>0</v>
      </c>
      <c r="AF572" s="5">
        <f>+$AC572*BE572</f>
        <v>0</v>
      </c>
      <c r="AG572" s="5">
        <f>+$AC572*BF572</f>
        <v>0</v>
      </c>
      <c r="AH572" s="5">
        <f>+$AC572*BG572</f>
        <v>0</v>
      </c>
      <c r="AI572" s="5">
        <f>+$AC572*BH572</f>
        <v>0</v>
      </c>
      <c r="AJ572" s="5">
        <f>+$AC572*BI572</f>
        <v>0</v>
      </c>
      <c r="AK572" s="5">
        <f>+$AC572*BJ572</f>
        <v>0</v>
      </c>
      <c r="AL572" s="5">
        <f>+$AC572*BK572</f>
        <v>0</v>
      </c>
      <c r="AM572" s="5">
        <f>+$AC572*BL572</f>
        <v>0</v>
      </c>
      <c r="AN572" s="5">
        <f>+$AC572*BM572</f>
        <v>0</v>
      </c>
      <c r="AO572" s="5">
        <f>+$AC572*BN572</f>
        <v>0</v>
      </c>
      <c r="AP572" s="5">
        <f>+AC572+P572+C572</f>
        <v>0</v>
      </c>
      <c r="AQ572" s="1">
        <v>3.5315900115701928</v>
      </c>
      <c r="AR572" s="1">
        <v>4.2234500418442984</v>
      </c>
      <c r="AS572" s="1">
        <v>3.7377842376024866</v>
      </c>
      <c r="AT572" s="1">
        <v>2.8312277347945995</v>
      </c>
      <c r="AU572" s="1">
        <v>4.1059544369725582</v>
      </c>
      <c r="AV572" s="1">
        <v>3.3648251057207679</v>
      </c>
      <c r="AW572" s="1">
        <v>3.3499176035396032</v>
      </c>
      <c r="AX572" s="1">
        <v>2.2749053763260867</v>
      </c>
      <c r="AY572" s="1">
        <v>3.3720925528840762</v>
      </c>
      <c r="AZ572" s="1">
        <v>2.9366591329561929</v>
      </c>
      <c r="BA572" s="1">
        <v>2.998440292007444</v>
      </c>
      <c r="BB572" s="1">
        <v>2.9286401508807547</v>
      </c>
      <c r="BC572" s="2">
        <v>8.9181565948742242E-2</v>
      </c>
      <c r="BD572" s="2">
        <v>0.10665277883445198</v>
      </c>
      <c r="BE572" s="2">
        <v>9.438849084854764E-2</v>
      </c>
      <c r="BF572" s="2">
        <v>7.149564986855049E-2</v>
      </c>
      <c r="BG572" s="2">
        <v>0.10368571810536763</v>
      </c>
      <c r="BH572" s="2">
        <v>8.4970330952544637E-2</v>
      </c>
      <c r="BI572" s="2">
        <v>8.4593878877262704E-2</v>
      </c>
      <c r="BJ572" s="2">
        <v>5.7447105462779965E-2</v>
      </c>
      <c r="BK572" s="2">
        <v>8.5153852345557474E-2</v>
      </c>
      <c r="BL572" s="2">
        <v>7.4158058913035174E-2</v>
      </c>
      <c r="BM572" s="2">
        <v>7.5718189192107169E-2</v>
      </c>
      <c r="BN572" s="2">
        <v>7.3955559365675619E-2</v>
      </c>
    </row>
    <row r="573" spans="1:66" x14ac:dyDescent="0.25">
      <c r="A573" s="8">
        <v>3130</v>
      </c>
      <c r="B573" s="8" t="s">
        <v>423</v>
      </c>
      <c r="C573" s="5">
        <v>0</v>
      </c>
      <c r="D573" s="5">
        <f>+$C573*BC573</f>
        <v>0</v>
      </c>
      <c r="E573" s="5">
        <f>+$C573*BD573</f>
        <v>0</v>
      </c>
      <c r="F573" s="5">
        <f>+$C573*BE573</f>
        <v>0</v>
      </c>
      <c r="G573" s="5">
        <f>+$C573*BF573</f>
        <v>0</v>
      </c>
      <c r="H573" s="5">
        <f>+$C573*BG573</f>
        <v>0</v>
      </c>
      <c r="I573" s="5">
        <f>+$C573*BH573</f>
        <v>0</v>
      </c>
      <c r="J573" s="5">
        <f>+$C573*BI573</f>
        <v>0</v>
      </c>
      <c r="K573" s="5">
        <f>+$C573*BJ573</f>
        <v>0</v>
      </c>
      <c r="L573" s="5">
        <f>+$C573*BK573</f>
        <v>0</v>
      </c>
      <c r="M573" s="5">
        <f>+$C573*BL573</f>
        <v>0</v>
      </c>
      <c r="N573" s="5">
        <f>+$C573*BM573</f>
        <v>0</v>
      </c>
      <c r="O573" s="5">
        <f>+$C573*BN573</f>
        <v>0</v>
      </c>
      <c r="P573" s="5">
        <v>1500</v>
      </c>
      <c r="Q573" s="5">
        <f>+$P573*BC573</f>
        <v>133.77234892311336</v>
      </c>
      <c r="R573" s="5">
        <f>+$P573*BD573</f>
        <v>159.97916825167798</v>
      </c>
      <c r="S573" s="5">
        <f>+$P573*BE573</f>
        <v>141.58273627282145</v>
      </c>
      <c r="T573" s="5">
        <f>+$P573*BF573</f>
        <v>107.24347480282573</v>
      </c>
      <c r="U573" s="5">
        <f>+$P573*BG573</f>
        <v>155.52857715805143</v>
      </c>
      <c r="V573" s="5">
        <f>+$P573*BH573</f>
        <v>127.45549642881696</v>
      </c>
      <c r="W573" s="5">
        <f>+$P573*BI573</f>
        <v>126.89081831589405</v>
      </c>
      <c r="X573" s="5">
        <f>+$P573*BJ573</f>
        <v>86.170658194169945</v>
      </c>
      <c r="Y573" s="5">
        <f>+$P573*BK573</f>
        <v>127.73077851833621</v>
      </c>
      <c r="Z573" s="5">
        <f>+$P573*BL573</f>
        <v>111.23708836955277</v>
      </c>
      <c r="AA573" s="5">
        <f>+$P573*BM573</f>
        <v>113.57728378816076</v>
      </c>
      <c r="AB573" s="5">
        <f>+$P573*BN573</f>
        <v>110.93333904851343</v>
      </c>
      <c r="AC573" s="5">
        <v>0</v>
      </c>
      <c r="AD573" s="5">
        <f>+$AC573*BC573</f>
        <v>0</v>
      </c>
      <c r="AE573" s="5">
        <f>+$AC573*BD573</f>
        <v>0</v>
      </c>
      <c r="AF573" s="5">
        <f>+$AC573*BE573</f>
        <v>0</v>
      </c>
      <c r="AG573" s="5">
        <f>+$AC573*BF573</f>
        <v>0</v>
      </c>
      <c r="AH573" s="5">
        <f>+$AC573*BG573</f>
        <v>0</v>
      </c>
      <c r="AI573" s="5">
        <f>+$AC573*BH573</f>
        <v>0</v>
      </c>
      <c r="AJ573" s="5">
        <f>+$AC573*BI573</f>
        <v>0</v>
      </c>
      <c r="AK573" s="5">
        <f>+$AC573*BJ573</f>
        <v>0</v>
      </c>
      <c r="AL573" s="5">
        <f>+$AC573*BK573</f>
        <v>0</v>
      </c>
      <c r="AM573" s="5">
        <f>+$AC573*BL573</f>
        <v>0</v>
      </c>
      <c r="AN573" s="5">
        <f>+$AC573*BM573</f>
        <v>0</v>
      </c>
      <c r="AO573" s="5">
        <f>+$AC573*BN573</f>
        <v>0</v>
      </c>
      <c r="AP573" s="5">
        <f>+AC573+P573+C573</f>
        <v>1500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2">
        <v>8.9181565948742242E-2</v>
      </c>
      <c r="BD573" s="2">
        <v>0.10665277883445198</v>
      </c>
      <c r="BE573" s="2">
        <v>9.438849084854764E-2</v>
      </c>
      <c r="BF573" s="2">
        <v>7.149564986855049E-2</v>
      </c>
      <c r="BG573" s="2">
        <v>0.10368571810536763</v>
      </c>
      <c r="BH573" s="2">
        <v>8.4970330952544637E-2</v>
      </c>
      <c r="BI573" s="2">
        <v>8.4593878877262704E-2</v>
      </c>
      <c r="BJ573" s="2">
        <v>5.7447105462779965E-2</v>
      </c>
      <c r="BK573" s="2">
        <v>8.5153852345557474E-2</v>
      </c>
      <c r="BL573" s="2">
        <v>7.4158058913035174E-2</v>
      </c>
      <c r="BM573" s="2">
        <v>7.5718189192107169E-2</v>
      </c>
      <c r="BN573" s="2">
        <v>7.3955559365675619E-2</v>
      </c>
    </row>
    <row r="574" spans="1:66" x14ac:dyDescent="0.25">
      <c r="A574" s="8">
        <v>3144</v>
      </c>
      <c r="B574" s="8" t="s">
        <v>422</v>
      </c>
      <c r="C574" s="5">
        <v>0</v>
      </c>
      <c r="D574" s="5">
        <f>+$C574*BC574</f>
        <v>0</v>
      </c>
      <c r="E574" s="5">
        <f>+$C574*BD574</f>
        <v>0</v>
      </c>
      <c r="F574" s="5">
        <f>+$C574*BE574</f>
        <v>0</v>
      </c>
      <c r="G574" s="5">
        <f>+$C574*BF574</f>
        <v>0</v>
      </c>
      <c r="H574" s="5">
        <f>+$C574*BG574</f>
        <v>0</v>
      </c>
      <c r="I574" s="5">
        <f>+$C574*BH574</f>
        <v>0</v>
      </c>
      <c r="J574" s="5">
        <f>+$C574*BI574</f>
        <v>0</v>
      </c>
      <c r="K574" s="5">
        <f>+$C574*BJ574</f>
        <v>0</v>
      </c>
      <c r="L574" s="5">
        <f>+$C574*BK574</f>
        <v>0</v>
      </c>
      <c r="M574" s="5">
        <f>+$C574*BL574</f>
        <v>0</v>
      </c>
      <c r="N574" s="5">
        <f>+$C574*BM574</f>
        <v>0</v>
      </c>
      <c r="O574" s="5">
        <f>+$C574*BN574</f>
        <v>0</v>
      </c>
      <c r="P574" s="5">
        <v>0</v>
      </c>
      <c r="Q574" s="5">
        <f>+$P574*BC574</f>
        <v>0</v>
      </c>
      <c r="R574" s="5">
        <f>+$P574*BD574</f>
        <v>0</v>
      </c>
      <c r="S574" s="5">
        <f>+$P574*BE574</f>
        <v>0</v>
      </c>
      <c r="T574" s="5">
        <f>+$P574*BF574</f>
        <v>0</v>
      </c>
      <c r="U574" s="5">
        <f>+$P574*BG574</f>
        <v>0</v>
      </c>
      <c r="V574" s="5">
        <f>+$P574*BH574</f>
        <v>0</v>
      </c>
      <c r="W574" s="5">
        <f>+$P574*BI574</f>
        <v>0</v>
      </c>
      <c r="X574" s="5">
        <f>+$P574*BJ574</f>
        <v>0</v>
      </c>
      <c r="Y574" s="5">
        <f>+$P574*BK574</f>
        <v>0</v>
      </c>
      <c r="Z574" s="5">
        <f>+$P574*BL574</f>
        <v>0</v>
      </c>
      <c r="AA574" s="5">
        <f>+$P574*BM574</f>
        <v>0</v>
      </c>
      <c r="AB574" s="5">
        <f>+$P574*BN574</f>
        <v>0</v>
      </c>
      <c r="AC574" s="5">
        <v>0</v>
      </c>
      <c r="AD574" s="5">
        <f>+$AC574*BC574</f>
        <v>0</v>
      </c>
      <c r="AE574" s="5">
        <f>+$AC574*BD574</f>
        <v>0</v>
      </c>
      <c r="AF574" s="5">
        <f>+$AC574*BE574</f>
        <v>0</v>
      </c>
      <c r="AG574" s="5">
        <f>+$AC574*BF574</f>
        <v>0</v>
      </c>
      <c r="AH574" s="5">
        <f>+$AC574*BG574</f>
        <v>0</v>
      </c>
      <c r="AI574" s="5">
        <f>+$AC574*BH574</f>
        <v>0</v>
      </c>
      <c r="AJ574" s="5">
        <f>+$AC574*BI574</f>
        <v>0</v>
      </c>
      <c r="AK574" s="5">
        <f>+$AC574*BJ574</f>
        <v>0</v>
      </c>
      <c r="AL574" s="5">
        <f>+$AC574*BK574</f>
        <v>0</v>
      </c>
      <c r="AM574" s="5">
        <f>+$AC574*BL574</f>
        <v>0</v>
      </c>
      <c r="AN574" s="5">
        <f>+$AC574*BM574</f>
        <v>0</v>
      </c>
      <c r="AO574" s="5">
        <f>+$AC574*BN574</f>
        <v>0</v>
      </c>
      <c r="AP574" s="5">
        <f>+AC574+P574+C574</f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2">
        <v>8.9181565948742242E-2</v>
      </c>
      <c r="BD574" s="2">
        <v>0.10665277883445198</v>
      </c>
      <c r="BE574" s="2">
        <v>9.438849084854764E-2</v>
      </c>
      <c r="BF574" s="2">
        <v>7.149564986855049E-2</v>
      </c>
      <c r="BG574" s="2">
        <v>0.10368571810536763</v>
      </c>
      <c r="BH574" s="2">
        <v>8.4970330952544637E-2</v>
      </c>
      <c r="BI574" s="2">
        <v>8.4593878877262704E-2</v>
      </c>
      <c r="BJ574" s="2">
        <v>5.7447105462779965E-2</v>
      </c>
      <c r="BK574" s="2">
        <v>8.5153852345557474E-2</v>
      </c>
      <c r="BL574" s="2">
        <v>7.4158058913035174E-2</v>
      </c>
      <c r="BM574" s="2">
        <v>7.5718189192107169E-2</v>
      </c>
      <c r="BN574" s="2">
        <v>7.3955559365675619E-2</v>
      </c>
    </row>
    <row r="575" spans="1:66" x14ac:dyDescent="0.25">
      <c r="A575" s="8">
        <v>3152</v>
      </c>
      <c r="B575" s="8" t="s">
        <v>421</v>
      </c>
      <c r="C575" s="5">
        <v>0</v>
      </c>
      <c r="D575" s="5">
        <f>+$C575*BC575</f>
        <v>0</v>
      </c>
      <c r="E575" s="5">
        <f>+$C575*BD575</f>
        <v>0</v>
      </c>
      <c r="F575" s="5">
        <f>+$C575*BE575</f>
        <v>0</v>
      </c>
      <c r="G575" s="5">
        <f>+$C575*BF575</f>
        <v>0</v>
      </c>
      <c r="H575" s="5">
        <f>+$C575*BG575</f>
        <v>0</v>
      </c>
      <c r="I575" s="5">
        <f>+$C575*BH575</f>
        <v>0</v>
      </c>
      <c r="J575" s="5">
        <f>+$C575*BI575</f>
        <v>0</v>
      </c>
      <c r="K575" s="5">
        <f>+$C575*BJ575</f>
        <v>0</v>
      </c>
      <c r="L575" s="5">
        <f>+$C575*BK575</f>
        <v>0</v>
      </c>
      <c r="M575" s="5">
        <f>+$C575*BL575</f>
        <v>0</v>
      </c>
      <c r="N575" s="5">
        <f>+$C575*BM575</f>
        <v>0</v>
      </c>
      <c r="O575" s="5">
        <f>+$C575*BN575</f>
        <v>0</v>
      </c>
      <c r="P575" s="5">
        <v>0</v>
      </c>
      <c r="Q575" s="5">
        <f>+$P575*BC575</f>
        <v>0</v>
      </c>
      <c r="R575" s="5">
        <f>+$P575*BD575</f>
        <v>0</v>
      </c>
      <c r="S575" s="5">
        <f>+$P575*BE575</f>
        <v>0</v>
      </c>
      <c r="T575" s="5">
        <f>+$P575*BF575</f>
        <v>0</v>
      </c>
      <c r="U575" s="5">
        <f>+$P575*BG575</f>
        <v>0</v>
      </c>
      <c r="V575" s="5">
        <f>+$P575*BH575</f>
        <v>0</v>
      </c>
      <c r="W575" s="5">
        <f>+$P575*BI575</f>
        <v>0</v>
      </c>
      <c r="X575" s="5">
        <f>+$P575*BJ575</f>
        <v>0</v>
      </c>
      <c r="Y575" s="5">
        <f>+$P575*BK575</f>
        <v>0</v>
      </c>
      <c r="Z575" s="5">
        <f>+$P575*BL575</f>
        <v>0</v>
      </c>
      <c r="AA575" s="5">
        <f>+$P575*BM575</f>
        <v>0</v>
      </c>
      <c r="AB575" s="5">
        <f>+$P575*BN575</f>
        <v>0</v>
      </c>
      <c r="AC575" s="5">
        <v>0</v>
      </c>
      <c r="AD575" s="5">
        <f>+$AC575*BC575</f>
        <v>0</v>
      </c>
      <c r="AE575" s="5">
        <f>+$AC575*BD575</f>
        <v>0</v>
      </c>
      <c r="AF575" s="5">
        <f>+$AC575*BE575</f>
        <v>0</v>
      </c>
      <c r="AG575" s="5">
        <f>+$AC575*BF575</f>
        <v>0</v>
      </c>
      <c r="AH575" s="5">
        <f>+$AC575*BG575</f>
        <v>0</v>
      </c>
      <c r="AI575" s="5">
        <f>+$AC575*BH575</f>
        <v>0</v>
      </c>
      <c r="AJ575" s="5">
        <f>+$AC575*BI575</f>
        <v>0</v>
      </c>
      <c r="AK575" s="5">
        <f>+$AC575*BJ575</f>
        <v>0</v>
      </c>
      <c r="AL575" s="5">
        <f>+$AC575*BK575</f>
        <v>0</v>
      </c>
      <c r="AM575" s="5">
        <f>+$AC575*BL575</f>
        <v>0</v>
      </c>
      <c r="AN575" s="5">
        <f>+$AC575*BM575</f>
        <v>0</v>
      </c>
      <c r="AO575" s="5">
        <f>+$AC575*BN575</f>
        <v>0</v>
      </c>
      <c r="AP575" s="5">
        <f>+AC575+P575+C575</f>
        <v>0</v>
      </c>
      <c r="AQ575" s="1">
        <v>9.8099722543616483</v>
      </c>
      <c r="AR575" s="1">
        <v>11.73180567178972</v>
      </c>
      <c r="AS575" s="1">
        <v>10.382733993340242</v>
      </c>
      <c r="AT575" s="1">
        <v>7.8645214855405552</v>
      </c>
      <c r="AU575" s="1">
        <v>11.405428991590441</v>
      </c>
      <c r="AV575" s="1">
        <v>9.3467364047799109</v>
      </c>
      <c r="AW575" s="1">
        <v>9.3053266764988987</v>
      </c>
      <c r="AX575" s="1">
        <v>6.3191816009057966</v>
      </c>
      <c r="AY575" s="1">
        <v>9.3669237580113229</v>
      </c>
      <c r="AZ575" s="1">
        <v>8.1573864804338694</v>
      </c>
      <c r="BA575" s="1">
        <v>8.3290008111317899</v>
      </c>
      <c r="BB575" s="1">
        <v>8.1351115302243198</v>
      </c>
      <c r="BC575" s="2">
        <v>8.9181565948742242E-2</v>
      </c>
      <c r="BD575" s="2">
        <v>0.10665277883445198</v>
      </c>
      <c r="BE575" s="2">
        <v>9.438849084854764E-2</v>
      </c>
      <c r="BF575" s="2">
        <v>7.149564986855049E-2</v>
      </c>
      <c r="BG575" s="2">
        <v>0.10368571810536763</v>
      </c>
      <c r="BH575" s="2">
        <v>8.4970330952544637E-2</v>
      </c>
      <c r="BI575" s="2">
        <v>8.4593878877262704E-2</v>
      </c>
      <c r="BJ575" s="2">
        <v>5.7447105462779965E-2</v>
      </c>
      <c r="BK575" s="2">
        <v>8.5153852345557474E-2</v>
      </c>
      <c r="BL575" s="2">
        <v>7.4158058913035174E-2</v>
      </c>
      <c r="BM575" s="2">
        <v>7.5718189192107169E-2</v>
      </c>
      <c r="BN575" s="2">
        <v>7.3955559365675619E-2</v>
      </c>
    </row>
    <row r="576" spans="1:66" x14ac:dyDescent="0.25">
      <c r="A576" s="8">
        <v>3201</v>
      </c>
      <c r="B576" s="8" t="s">
        <v>420</v>
      </c>
      <c r="C576" s="5">
        <v>0</v>
      </c>
      <c r="D576" s="5">
        <f>+$C576*BC576</f>
        <v>0</v>
      </c>
      <c r="E576" s="5">
        <f>+$C576*BD576</f>
        <v>0</v>
      </c>
      <c r="F576" s="5">
        <f>+$C576*BE576</f>
        <v>0</v>
      </c>
      <c r="G576" s="5">
        <f>+$C576*BF576</f>
        <v>0</v>
      </c>
      <c r="H576" s="5">
        <f>+$C576*BG576</f>
        <v>0</v>
      </c>
      <c r="I576" s="5">
        <f>+$C576*BH576</f>
        <v>0</v>
      </c>
      <c r="J576" s="5">
        <f>+$C576*BI576</f>
        <v>0</v>
      </c>
      <c r="K576" s="5">
        <f>+$C576*BJ576</f>
        <v>0</v>
      </c>
      <c r="L576" s="5">
        <f>+$C576*BK576</f>
        <v>0</v>
      </c>
      <c r="M576" s="5">
        <f>+$C576*BL576</f>
        <v>0</v>
      </c>
      <c r="N576" s="5">
        <f>+$C576*BM576</f>
        <v>0</v>
      </c>
      <c r="O576" s="5">
        <f>+$C576*BN576</f>
        <v>0</v>
      </c>
      <c r="P576" s="5">
        <v>2000</v>
      </c>
      <c r="Q576" s="5">
        <f>+$P576*BC576</f>
        <v>178.36313189748449</v>
      </c>
      <c r="R576" s="5">
        <f>+$P576*BD576</f>
        <v>213.30555766890396</v>
      </c>
      <c r="S576" s="5">
        <f>+$P576*BE576</f>
        <v>188.77698169709529</v>
      </c>
      <c r="T576" s="5">
        <f>+$P576*BF576</f>
        <v>142.99129973710097</v>
      </c>
      <c r="U576" s="5">
        <f>+$P576*BG576</f>
        <v>207.37143621073525</v>
      </c>
      <c r="V576" s="5">
        <f>+$P576*BH576</f>
        <v>169.94066190508929</v>
      </c>
      <c r="W576" s="5">
        <f>+$P576*BI576</f>
        <v>169.18775775452542</v>
      </c>
      <c r="X576" s="5">
        <f>+$P576*BJ576</f>
        <v>114.89421092555993</v>
      </c>
      <c r="Y576" s="5">
        <f>+$P576*BK576</f>
        <v>170.30770469111494</v>
      </c>
      <c r="Z576" s="5">
        <f>+$P576*BL576</f>
        <v>148.31611782607035</v>
      </c>
      <c r="AA576" s="5">
        <f>+$P576*BM576</f>
        <v>151.43637838421435</v>
      </c>
      <c r="AB576" s="5">
        <f>+$P576*BN576</f>
        <v>147.91111873135125</v>
      </c>
      <c r="AC576" s="5">
        <v>0</v>
      </c>
      <c r="AD576" s="5">
        <f>+$AC576*BC576</f>
        <v>0</v>
      </c>
      <c r="AE576" s="5">
        <f>+$AC576*BD576</f>
        <v>0</v>
      </c>
      <c r="AF576" s="5">
        <f>+$AC576*BE576</f>
        <v>0</v>
      </c>
      <c r="AG576" s="5">
        <f>+$AC576*BF576</f>
        <v>0</v>
      </c>
      <c r="AH576" s="5">
        <f>+$AC576*BG576</f>
        <v>0</v>
      </c>
      <c r="AI576" s="5">
        <f>+$AC576*BH576</f>
        <v>0</v>
      </c>
      <c r="AJ576" s="5">
        <f>+$AC576*BI576</f>
        <v>0</v>
      </c>
      <c r="AK576" s="5">
        <f>+$AC576*BJ576</f>
        <v>0</v>
      </c>
      <c r="AL576" s="5">
        <f>+$AC576*BK576</f>
        <v>0</v>
      </c>
      <c r="AM576" s="5">
        <f>+$AC576*BL576</f>
        <v>0</v>
      </c>
      <c r="AN576" s="5">
        <f>+$AC576*BM576</f>
        <v>0</v>
      </c>
      <c r="AO576" s="5">
        <f>+$AC576*BN576</f>
        <v>0</v>
      </c>
      <c r="AP576" s="5">
        <f>+AC576+P576+C576</f>
        <v>2000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2">
        <v>8.9181565948742242E-2</v>
      </c>
      <c r="BD576" s="2">
        <v>0.10665277883445198</v>
      </c>
      <c r="BE576" s="2">
        <v>9.438849084854764E-2</v>
      </c>
      <c r="BF576" s="2">
        <v>7.149564986855049E-2</v>
      </c>
      <c r="BG576" s="2">
        <v>0.10368571810536763</v>
      </c>
      <c r="BH576" s="2">
        <v>8.4970330952544637E-2</v>
      </c>
      <c r="BI576" s="2">
        <v>8.4593878877262704E-2</v>
      </c>
      <c r="BJ576" s="2">
        <v>5.7447105462779965E-2</v>
      </c>
      <c r="BK576" s="2">
        <v>8.5153852345557474E-2</v>
      </c>
      <c r="BL576" s="2">
        <v>7.4158058913035174E-2</v>
      </c>
      <c r="BM576" s="2">
        <v>7.5718189192107169E-2</v>
      </c>
      <c r="BN576" s="2">
        <v>7.3955559365675619E-2</v>
      </c>
    </row>
    <row r="577" spans="1:66" x14ac:dyDescent="0.25">
      <c r="A577" s="8">
        <v>3224</v>
      </c>
      <c r="B577" s="8" t="s">
        <v>419</v>
      </c>
      <c r="C577" s="5">
        <v>0</v>
      </c>
      <c r="D577" s="5">
        <f>+$C577*BC577</f>
        <v>0</v>
      </c>
      <c r="E577" s="5">
        <f>+$C577*BD577</f>
        <v>0</v>
      </c>
      <c r="F577" s="5">
        <f>+$C577*BE577</f>
        <v>0</v>
      </c>
      <c r="G577" s="5">
        <f>+$C577*BF577</f>
        <v>0</v>
      </c>
      <c r="H577" s="5">
        <f>+$C577*BG577</f>
        <v>0</v>
      </c>
      <c r="I577" s="5">
        <f>+$C577*BH577</f>
        <v>0</v>
      </c>
      <c r="J577" s="5">
        <f>+$C577*BI577</f>
        <v>0</v>
      </c>
      <c r="K577" s="5">
        <f>+$C577*BJ577</f>
        <v>0</v>
      </c>
      <c r="L577" s="5">
        <f>+$C577*BK577</f>
        <v>0</v>
      </c>
      <c r="M577" s="5">
        <f>+$C577*BL577</f>
        <v>0</v>
      </c>
      <c r="N577" s="5">
        <f>+$C577*BM577</f>
        <v>0</v>
      </c>
      <c r="O577" s="5">
        <f>+$C577*BN577</f>
        <v>0</v>
      </c>
      <c r="P577" s="5">
        <v>0</v>
      </c>
      <c r="Q577" s="5">
        <f>+$P577*BC577</f>
        <v>0</v>
      </c>
      <c r="R577" s="5">
        <f>+$P577*BD577</f>
        <v>0</v>
      </c>
      <c r="S577" s="5">
        <f>+$P577*BE577</f>
        <v>0</v>
      </c>
      <c r="T577" s="5">
        <f>+$P577*BF577</f>
        <v>0</v>
      </c>
      <c r="U577" s="5">
        <f>+$P577*BG577</f>
        <v>0</v>
      </c>
      <c r="V577" s="5">
        <f>+$P577*BH577</f>
        <v>0</v>
      </c>
      <c r="W577" s="5">
        <f>+$P577*BI577</f>
        <v>0</v>
      </c>
      <c r="X577" s="5">
        <f>+$P577*BJ577</f>
        <v>0</v>
      </c>
      <c r="Y577" s="5">
        <f>+$P577*BK577</f>
        <v>0</v>
      </c>
      <c r="Z577" s="5">
        <f>+$P577*BL577</f>
        <v>0</v>
      </c>
      <c r="AA577" s="5">
        <f>+$P577*BM577</f>
        <v>0</v>
      </c>
      <c r="AB577" s="5">
        <f>+$P577*BN577</f>
        <v>0</v>
      </c>
      <c r="AC577" s="5">
        <v>0</v>
      </c>
      <c r="AD577" s="5">
        <f>+$AC577*BC577</f>
        <v>0</v>
      </c>
      <c r="AE577" s="5">
        <f>+$AC577*BD577</f>
        <v>0</v>
      </c>
      <c r="AF577" s="5">
        <f>+$AC577*BE577</f>
        <v>0</v>
      </c>
      <c r="AG577" s="5">
        <f>+$AC577*BF577</f>
        <v>0</v>
      </c>
      <c r="AH577" s="5">
        <f>+$AC577*BG577</f>
        <v>0</v>
      </c>
      <c r="AI577" s="5">
        <f>+$AC577*BH577</f>
        <v>0</v>
      </c>
      <c r="AJ577" s="5">
        <f>+$AC577*BI577</f>
        <v>0</v>
      </c>
      <c r="AK577" s="5">
        <f>+$AC577*BJ577</f>
        <v>0</v>
      </c>
      <c r="AL577" s="5">
        <f>+$AC577*BK577</f>
        <v>0</v>
      </c>
      <c r="AM577" s="5">
        <f>+$AC577*BL577</f>
        <v>0</v>
      </c>
      <c r="AN577" s="5">
        <f>+$AC577*BM577</f>
        <v>0</v>
      </c>
      <c r="AO577" s="5">
        <f>+$AC577*BN577</f>
        <v>0</v>
      </c>
      <c r="AP577" s="5">
        <f>+AC577+P577+C577</f>
        <v>0</v>
      </c>
      <c r="AQ577" s="1">
        <v>181.95046038777264</v>
      </c>
      <c r="AR577" s="1">
        <v>217.59566569751979</v>
      </c>
      <c r="AS577" s="1">
        <v>192.57375874147809</v>
      </c>
      <c r="AT577" s="1">
        <v>145.86721225306343</v>
      </c>
      <c r="AU577" s="1">
        <v>211.54219422152366</v>
      </c>
      <c r="AV577" s="1">
        <v>173.35859346765537</v>
      </c>
      <c r="AW577" s="1">
        <v>172.59054653236331</v>
      </c>
      <c r="AX577" s="1">
        <v>117.20502074280024</v>
      </c>
      <c r="AY577" s="1">
        <v>173.73301840171499</v>
      </c>
      <c r="AZ577" s="1">
        <v>151.29912574584719</v>
      </c>
      <c r="BA577" s="1">
        <v>154.48214254446685</v>
      </c>
      <c r="BB577" s="1">
        <v>150.88598110683554</v>
      </c>
      <c r="BC577" s="2">
        <v>8.9181565948742242E-2</v>
      </c>
      <c r="BD577" s="2">
        <v>0.10665277883445198</v>
      </c>
      <c r="BE577" s="2">
        <v>9.438849084854764E-2</v>
      </c>
      <c r="BF577" s="2">
        <v>7.149564986855049E-2</v>
      </c>
      <c r="BG577" s="2">
        <v>0.10368571810536763</v>
      </c>
      <c r="BH577" s="2">
        <v>8.4970330952544637E-2</v>
      </c>
      <c r="BI577" s="2">
        <v>8.4593878877262704E-2</v>
      </c>
      <c r="BJ577" s="2">
        <v>5.7447105462779965E-2</v>
      </c>
      <c r="BK577" s="2">
        <v>8.5153852345557474E-2</v>
      </c>
      <c r="BL577" s="2">
        <v>7.4158058913035174E-2</v>
      </c>
      <c r="BM577" s="2">
        <v>7.5718189192107169E-2</v>
      </c>
      <c r="BN577" s="2">
        <v>7.3955559365675619E-2</v>
      </c>
    </row>
    <row r="578" spans="1:66" x14ac:dyDescent="0.25">
      <c r="A578" s="8">
        <v>3235</v>
      </c>
      <c r="B578" s="8" t="s">
        <v>418</v>
      </c>
      <c r="C578" s="5">
        <v>0</v>
      </c>
      <c r="D578" s="5">
        <f>+$C578*BC578</f>
        <v>0</v>
      </c>
      <c r="E578" s="5">
        <f>+$C578*BD578</f>
        <v>0</v>
      </c>
      <c r="F578" s="5">
        <f>+$C578*BE578</f>
        <v>0</v>
      </c>
      <c r="G578" s="5">
        <f>+$C578*BF578</f>
        <v>0</v>
      </c>
      <c r="H578" s="5">
        <f>+$C578*BG578</f>
        <v>0</v>
      </c>
      <c r="I578" s="5">
        <f>+$C578*BH578</f>
        <v>0</v>
      </c>
      <c r="J578" s="5">
        <f>+$C578*BI578</f>
        <v>0</v>
      </c>
      <c r="K578" s="5">
        <f>+$C578*BJ578</f>
        <v>0</v>
      </c>
      <c r="L578" s="5">
        <f>+$C578*BK578</f>
        <v>0</v>
      </c>
      <c r="M578" s="5">
        <f>+$C578*BL578</f>
        <v>0</v>
      </c>
      <c r="N578" s="5">
        <f>+$C578*BM578</f>
        <v>0</v>
      </c>
      <c r="O578" s="5">
        <f>+$C578*BN578</f>
        <v>0</v>
      </c>
      <c r="P578" s="5">
        <v>500</v>
      </c>
      <c r="Q578" s="5">
        <f>+$P578*BC578</f>
        <v>44.590782974371123</v>
      </c>
      <c r="R578" s="5">
        <f>+$P578*BD578</f>
        <v>53.32638941722599</v>
      </c>
      <c r="S578" s="5">
        <f>+$P578*BE578</f>
        <v>47.194245424273824</v>
      </c>
      <c r="T578" s="5">
        <f>+$P578*BF578</f>
        <v>35.747824934275243</v>
      </c>
      <c r="U578" s="5">
        <f>+$P578*BG578</f>
        <v>51.842859052683814</v>
      </c>
      <c r="V578" s="5">
        <f>+$P578*BH578</f>
        <v>42.485165476272321</v>
      </c>
      <c r="W578" s="5">
        <f>+$P578*BI578</f>
        <v>42.296939438631355</v>
      </c>
      <c r="X578" s="5">
        <f>+$P578*BJ578</f>
        <v>28.723552731389983</v>
      </c>
      <c r="Y578" s="5">
        <f>+$P578*BK578</f>
        <v>42.576926172778734</v>
      </c>
      <c r="Z578" s="5">
        <f>+$P578*BL578</f>
        <v>37.079029456517588</v>
      </c>
      <c r="AA578" s="5">
        <f>+$P578*BM578</f>
        <v>37.859094596053588</v>
      </c>
      <c r="AB578" s="5">
        <f>+$P578*BN578</f>
        <v>36.977779682837813</v>
      </c>
      <c r="AC578" s="5">
        <v>0</v>
      </c>
      <c r="AD578" s="5">
        <f>+$AC578*BC578</f>
        <v>0</v>
      </c>
      <c r="AE578" s="5">
        <f>+$AC578*BD578</f>
        <v>0</v>
      </c>
      <c r="AF578" s="5">
        <f>+$AC578*BE578</f>
        <v>0</v>
      </c>
      <c r="AG578" s="5">
        <f>+$AC578*BF578</f>
        <v>0</v>
      </c>
      <c r="AH578" s="5">
        <f>+$AC578*BG578</f>
        <v>0</v>
      </c>
      <c r="AI578" s="5">
        <f>+$AC578*BH578</f>
        <v>0</v>
      </c>
      <c r="AJ578" s="5">
        <f>+$AC578*BI578</f>
        <v>0</v>
      </c>
      <c r="AK578" s="5">
        <f>+$AC578*BJ578</f>
        <v>0</v>
      </c>
      <c r="AL578" s="5">
        <f>+$AC578*BK578</f>
        <v>0</v>
      </c>
      <c r="AM578" s="5">
        <f>+$AC578*BL578</f>
        <v>0</v>
      </c>
      <c r="AN578" s="5">
        <f>+$AC578*BM578</f>
        <v>0</v>
      </c>
      <c r="AO578" s="5">
        <f>+$AC578*BN578</f>
        <v>0</v>
      </c>
      <c r="AP578" s="5">
        <f>+AC578+P578+C578</f>
        <v>500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2">
        <v>8.9181565948742242E-2</v>
      </c>
      <c r="BD578" s="2">
        <v>0.10665277883445198</v>
      </c>
      <c r="BE578" s="2">
        <v>9.438849084854764E-2</v>
      </c>
      <c r="BF578" s="2">
        <v>7.149564986855049E-2</v>
      </c>
      <c r="BG578" s="2">
        <v>0.10368571810536763</v>
      </c>
      <c r="BH578" s="2">
        <v>8.4970330952544637E-2</v>
      </c>
      <c r="BI578" s="2">
        <v>8.4593878877262704E-2</v>
      </c>
      <c r="BJ578" s="2">
        <v>5.7447105462779965E-2</v>
      </c>
      <c r="BK578" s="2">
        <v>8.5153852345557474E-2</v>
      </c>
      <c r="BL578" s="2">
        <v>7.4158058913035174E-2</v>
      </c>
      <c r="BM578" s="2">
        <v>7.5718189192107169E-2</v>
      </c>
      <c r="BN578" s="2">
        <v>7.3955559365675619E-2</v>
      </c>
    </row>
    <row r="579" spans="1:66" x14ac:dyDescent="0.25">
      <c r="A579" s="8">
        <v>3261</v>
      </c>
      <c r="B579" s="8" t="s">
        <v>417</v>
      </c>
      <c r="C579" s="5">
        <v>0</v>
      </c>
      <c r="D579" s="5">
        <f>+$C579*BC579</f>
        <v>0</v>
      </c>
      <c r="E579" s="5">
        <f>+$C579*BD579</f>
        <v>0</v>
      </c>
      <c r="F579" s="5">
        <f>+$C579*BE579</f>
        <v>0</v>
      </c>
      <c r="G579" s="5">
        <f>+$C579*BF579</f>
        <v>0</v>
      </c>
      <c r="H579" s="5">
        <f>+$C579*BG579</f>
        <v>0</v>
      </c>
      <c r="I579" s="5">
        <f>+$C579*BH579</f>
        <v>0</v>
      </c>
      <c r="J579" s="5">
        <f>+$C579*BI579</f>
        <v>0</v>
      </c>
      <c r="K579" s="5">
        <f>+$C579*BJ579</f>
        <v>0</v>
      </c>
      <c r="L579" s="5">
        <f>+$C579*BK579</f>
        <v>0</v>
      </c>
      <c r="M579" s="5">
        <f>+$C579*BL579</f>
        <v>0</v>
      </c>
      <c r="N579" s="5">
        <f>+$C579*BM579</f>
        <v>0</v>
      </c>
      <c r="O579" s="5">
        <f>+$C579*BN579</f>
        <v>0</v>
      </c>
      <c r="P579" s="5">
        <v>0</v>
      </c>
      <c r="Q579" s="5">
        <f>+$P579*BC579</f>
        <v>0</v>
      </c>
      <c r="R579" s="5">
        <f>+$P579*BD579</f>
        <v>0</v>
      </c>
      <c r="S579" s="5">
        <f>+$P579*BE579</f>
        <v>0</v>
      </c>
      <c r="T579" s="5">
        <f>+$P579*BF579</f>
        <v>0</v>
      </c>
      <c r="U579" s="5">
        <f>+$P579*BG579</f>
        <v>0</v>
      </c>
      <c r="V579" s="5">
        <f>+$P579*BH579</f>
        <v>0</v>
      </c>
      <c r="W579" s="5">
        <f>+$P579*BI579</f>
        <v>0</v>
      </c>
      <c r="X579" s="5">
        <f>+$P579*BJ579</f>
        <v>0</v>
      </c>
      <c r="Y579" s="5">
        <f>+$P579*BK579</f>
        <v>0</v>
      </c>
      <c r="Z579" s="5">
        <f>+$P579*BL579</f>
        <v>0</v>
      </c>
      <c r="AA579" s="5">
        <f>+$P579*BM579</f>
        <v>0</v>
      </c>
      <c r="AB579" s="5">
        <f>+$P579*BN579</f>
        <v>0</v>
      </c>
      <c r="AC579" s="5">
        <v>0</v>
      </c>
      <c r="AD579" s="5">
        <f>+$AC579*BC579</f>
        <v>0</v>
      </c>
      <c r="AE579" s="5">
        <f>+$AC579*BD579</f>
        <v>0</v>
      </c>
      <c r="AF579" s="5">
        <f>+$AC579*BE579</f>
        <v>0</v>
      </c>
      <c r="AG579" s="5">
        <f>+$AC579*BF579</f>
        <v>0</v>
      </c>
      <c r="AH579" s="5">
        <f>+$AC579*BG579</f>
        <v>0</v>
      </c>
      <c r="AI579" s="5">
        <f>+$AC579*BH579</f>
        <v>0</v>
      </c>
      <c r="AJ579" s="5">
        <f>+$AC579*BI579</f>
        <v>0</v>
      </c>
      <c r="AK579" s="5">
        <f>+$AC579*BJ579</f>
        <v>0</v>
      </c>
      <c r="AL579" s="5">
        <f>+$AC579*BK579</f>
        <v>0</v>
      </c>
      <c r="AM579" s="5">
        <f>+$AC579*BL579</f>
        <v>0</v>
      </c>
      <c r="AN579" s="5">
        <f>+$AC579*BM579</f>
        <v>0</v>
      </c>
      <c r="AO579" s="5">
        <f>+$AC579*BN579</f>
        <v>0</v>
      </c>
      <c r="AP579" s="5">
        <f>+AC579+P579+C579</f>
        <v>0</v>
      </c>
      <c r="AQ579" s="1">
        <v>20.600941734159459</v>
      </c>
      <c r="AR579" s="1">
        <v>24.636791910758411</v>
      </c>
      <c r="AS579" s="1">
        <v>21.803741386014508</v>
      </c>
      <c r="AT579" s="1">
        <v>16.515495119635165</v>
      </c>
      <c r="AU579" s="1">
        <v>23.951400882339925</v>
      </c>
      <c r="AV579" s="1">
        <v>19.628146450037814</v>
      </c>
      <c r="AW579" s="1">
        <v>19.541186020647686</v>
      </c>
      <c r="AX579" s="1">
        <v>13.270281361902173</v>
      </c>
      <c r="AY579" s="1">
        <v>19.670539891823779</v>
      </c>
      <c r="AZ579" s="1">
        <v>17.130511608911128</v>
      </c>
      <c r="BA579" s="1">
        <v>17.490901703376757</v>
      </c>
      <c r="BB579" s="1">
        <v>17.083734213471072</v>
      </c>
      <c r="BC579" s="2">
        <v>8.9181565948742242E-2</v>
      </c>
      <c r="BD579" s="2">
        <v>0.10665277883445198</v>
      </c>
      <c r="BE579" s="2">
        <v>9.438849084854764E-2</v>
      </c>
      <c r="BF579" s="2">
        <v>7.149564986855049E-2</v>
      </c>
      <c r="BG579" s="2">
        <v>0.10368571810536763</v>
      </c>
      <c r="BH579" s="2">
        <v>8.4970330952544637E-2</v>
      </c>
      <c r="BI579" s="2">
        <v>8.4593878877262704E-2</v>
      </c>
      <c r="BJ579" s="2">
        <v>5.7447105462779965E-2</v>
      </c>
      <c r="BK579" s="2">
        <v>8.5153852345557474E-2</v>
      </c>
      <c r="BL579" s="2">
        <v>7.4158058913035174E-2</v>
      </c>
      <c r="BM579" s="2">
        <v>7.5718189192107169E-2</v>
      </c>
      <c r="BN579" s="2">
        <v>7.3955559365675619E-2</v>
      </c>
    </row>
    <row r="580" spans="1:66" x14ac:dyDescent="0.25">
      <c r="A580" s="8">
        <v>3264</v>
      </c>
      <c r="B580" s="8" t="s">
        <v>416</v>
      </c>
      <c r="C580" s="5">
        <v>0</v>
      </c>
      <c r="D580" s="5">
        <f>+$C580*BC580</f>
        <v>0</v>
      </c>
      <c r="E580" s="5">
        <f>+$C580*BD580</f>
        <v>0</v>
      </c>
      <c r="F580" s="5">
        <f>+$C580*BE580</f>
        <v>0</v>
      </c>
      <c r="G580" s="5">
        <f>+$C580*BF580</f>
        <v>0</v>
      </c>
      <c r="H580" s="5">
        <f>+$C580*BG580</f>
        <v>0</v>
      </c>
      <c r="I580" s="5">
        <f>+$C580*BH580</f>
        <v>0</v>
      </c>
      <c r="J580" s="5">
        <f>+$C580*BI580</f>
        <v>0</v>
      </c>
      <c r="K580" s="5">
        <f>+$C580*BJ580</f>
        <v>0</v>
      </c>
      <c r="L580" s="5">
        <f>+$C580*BK580</f>
        <v>0</v>
      </c>
      <c r="M580" s="5">
        <f>+$C580*BL580</f>
        <v>0</v>
      </c>
      <c r="N580" s="5">
        <f>+$C580*BM580</f>
        <v>0</v>
      </c>
      <c r="O580" s="5">
        <f>+$C580*BN580</f>
        <v>0</v>
      </c>
      <c r="P580" s="5">
        <v>0</v>
      </c>
      <c r="Q580" s="5">
        <f>+$P580*BC580</f>
        <v>0</v>
      </c>
      <c r="R580" s="5">
        <f>+$P580*BD580</f>
        <v>0</v>
      </c>
      <c r="S580" s="5">
        <f>+$P580*BE580</f>
        <v>0</v>
      </c>
      <c r="T580" s="5">
        <f>+$P580*BF580</f>
        <v>0</v>
      </c>
      <c r="U580" s="5">
        <f>+$P580*BG580</f>
        <v>0</v>
      </c>
      <c r="V580" s="5">
        <f>+$P580*BH580</f>
        <v>0</v>
      </c>
      <c r="W580" s="5">
        <f>+$P580*BI580</f>
        <v>0</v>
      </c>
      <c r="X580" s="5">
        <f>+$P580*BJ580</f>
        <v>0</v>
      </c>
      <c r="Y580" s="5">
        <f>+$P580*BK580</f>
        <v>0</v>
      </c>
      <c r="Z580" s="5">
        <f>+$P580*BL580</f>
        <v>0</v>
      </c>
      <c r="AA580" s="5">
        <f>+$P580*BM580</f>
        <v>0</v>
      </c>
      <c r="AB580" s="5">
        <f>+$P580*BN580</f>
        <v>0</v>
      </c>
      <c r="AC580" s="5">
        <v>0</v>
      </c>
      <c r="AD580" s="5">
        <f>+$AC580*BC580</f>
        <v>0</v>
      </c>
      <c r="AE580" s="5">
        <f>+$AC580*BD580</f>
        <v>0</v>
      </c>
      <c r="AF580" s="5">
        <f>+$AC580*BE580</f>
        <v>0</v>
      </c>
      <c r="AG580" s="5">
        <f>+$AC580*BF580</f>
        <v>0</v>
      </c>
      <c r="AH580" s="5">
        <f>+$AC580*BG580</f>
        <v>0</v>
      </c>
      <c r="AI580" s="5">
        <f>+$AC580*BH580</f>
        <v>0</v>
      </c>
      <c r="AJ580" s="5">
        <f>+$AC580*BI580</f>
        <v>0</v>
      </c>
      <c r="AK580" s="5">
        <f>+$AC580*BJ580</f>
        <v>0</v>
      </c>
      <c r="AL580" s="5">
        <f>+$AC580*BK580</f>
        <v>0</v>
      </c>
      <c r="AM580" s="5">
        <f>+$AC580*BL580</f>
        <v>0</v>
      </c>
      <c r="AN580" s="5">
        <f>+$AC580*BM580</f>
        <v>0</v>
      </c>
      <c r="AO580" s="5">
        <f>+$AC580*BN580</f>
        <v>0</v>
      </c>
      <c r="AP580" s="5">
        <f>+AC580+P580+C580</f>
        <v>0</v>
      </c>
      <c r="AQ580" s="1">
        <v>8.3777163052248476</v>
      </c>
      <c r="AR580" s="1">
        <v>10.01896204370842</v>
      </c>
      <c r="AS580" s="1">
        <v>8.8668548303125672</v>
      </c>
      <c r="AT580" s="1">
        <v>6.7163013486516343</v>
      </c>
      <c r="AU580" s="1">
        <v>9.7402363588182368</v>
      </c>
      <c r="AV580" s="1">
        <v>7.9821128896820444</v>
      </c>
      <c r="AW580" s="1">
        <v>7.9467489817300594</v>
      </c>
      <c r="AX580" s="1">
        <v>5.3965810871735505</v>
      </c>
      <c r="AY580" s="1">
        <v>7.9993528893416697</v>
      </c>
      <c r="AZ580" s="1">
        <v>6.9664080542905253</v>
      </c>
      <c r="BA580" s="1">
        <v>7.1129666927065482</v>
      </c>
      <c r="BB580" s="1">
        <v>6.9473852468115682</v>
      </c>
      <c r="BC580" s="2">
        <v>8.9181565948742242E-2</v>
      </c>
      <c r="BD580" s="2">
        <v>0.10665277883445198</v>
      </c>
      <c r="BE580" s="2">
        <v>9.438849084854764E-2</v>
      </c>
      <c r="BF580" s="2">
        <v>7.149564986855049E-2</v>
      </c>
      <c r="BG580" s="2">
        <v>0.10368571810536763</v>
      </c>
      <c r="BH580" s="2">
        <v>8.4970330952544637E-2</v>
      </c>
      <c r="BI580" s="2">
        <v>8.4593878877262704E-2</v>
      </c>
      <c r="BJ580" s="2">
        <v>5.7447105462779965E-2</v>
      </c>
      <c r="BK580" s="2">
        <v>8.5153852345557474E-2</v>
      </c>
      <c r="BL580" s="2">
        <v>7.4158058913035174E-2</v>
      </c>
      <c r="BM580" s="2">
        <v>7.5718189192107169E-2</v>
      </c>
      <c r="BN580" s="2">
        <v>7.3955559365675619E-2</v>
      </c>
    </row>
    <row r="581" spans="1:66" x14ac:dyDescent="0.25">
      <c r="A581" s="8">
        <v>3269</v>
      </c>
      <c r="B581" s="8" t="s">
        <v>415</v>
      </c>
      <c r="C581" s="5">
        <v>0</v>
      </c>
      <c r="D581" s="5">
        <f>+$C581*BC581</f>
        <v>0</v>
      </c>
      <c r="E581" s="5">
        <f>+$C581*BD581</f>
        <v>0</v>
      </c>
      <c r="F581" s="5">
        <f>+$C581*BE581</f>
        <v>0</v>
      </c>
      <c r="G581" s="5">
        <f>+$C581*BF581</f>
        <v>0</v>
      </c>
      <c r="H581" s="5">
        <f>+$C581*BG581</f>
        <v>0</v>
      </c>
      <c r="I581" s="5">
        <f>+$C581*BH581</f>
        <v>0</v>
      </c>
      <c r="J581" s="5">
        <f>+$C581*BI581</f>
        <v>0</v>
      </c>
      <c r="K581" s="5">
        <f>+$C581*BJ581</f>
        <v>0</v>
      </c>
      <c r="L581" s="5">
        <f>+$C581*BK581</f>
        <v>0</v>
      </c>
      <c r="M581" s="5">
        <f>+$C581*BL581</f>
        <v>0</v>
      </c>
      <c r="N581" s="5">
        <f>+$C581*BM581</f>
        <v>0</v>
      </c>
      <c r="O581" s="5">
        <f>+$C581*BN581</f>
        <v>0</v>
      </c>
      <c r="P581" s="5">
        <v>2500</v>
      </c>
      <c r="Q581" s="5">
        <f>+$P581*BC581</f>
        <v>222.9539148718556</v>
      </c>
      <c r="R581" s="5">
        <f>+$P581*BD581</f>
        <v>266.63194708612997</v>
      </c>
      <c r="S581" s="5">
        <f>+$P581*BE581</f>
        <v>235.97122712136911</v>
      </c>
      <c r="T581" s="5">
        <f>+$P581*BF581</f>
        <v>178.73912467137623</v>
      </c>
      <c r="U581" s="5">
        <f>+$P581*BG581</f>
        <v>259.21429526341905</v>
      </c>
      <c r="V581" s="5">
        <f>+$P581*BH581</f>
        <v>212.42582738136159</v>
      </c>
      <c r="W581" s="5">
        <f>+$P581*BI581</f>
        <v>211.48469719315676</v>
      </c>
      <c r="X581" s="5">
        <f>+$P581*BJ581</f>
        <v>143.6177636569499</v>
      </c>
      <c r="Y581" s="5">
        <f>+$P581*BK581</f>
        <v>212.88463086389368</v>
      </c>
      <c r="Z581" s="5">
        <f>+$P581*BL581</f>
        <v>185.39514728258794</v>
      </c>
      <c r="AA581" s="5">
        <f>+$P581*BM581</f>
        <v>189.29547298026793</v>
      </c>
      <c r="AB581" s="5">
        <f>+$P581*BN581</f>
        <v>184.88889841418904</v>
      </c>
      <c r="AC581" s="5">
        <v>0</v>
      </c>
      <c r="AD581" s="5">
        <f>+$AC581*BC581</f>
        <v>0</v>
      </c>
      <c r="AE581" s="5">
        <f>+$AC581*BD581</f>
        <v>0</v>
      </c>
      <c r="AF581" s="5">
        <f>+$AC581*BE581</f>
        <v>0</v>
      </c>
      <c r="AG581" s="5">
        <f>+$AC581*BF581</f>
        <v>0</v>
      </c>
      <c r="AH581" s="5">
        <f>+$AC581*BG581</f>
        <v>0</v>
      </c>
      <c r="AI581" s="5">
        <f>+$AC581*BH581</f>
        <v>0</v>
      </c>
      <c r="AJ581" s="5">
        <f>+$AC581*BI581</f>
        <v>0</v>
      </c>
      <c r="AK581" s="5">
        <f>+$AC581*BJ581</f>
        <v>0</v>
      </c>
      <c r="AL581" s="5">
        <f>+$AC581*BK581</f>
        <v>0</v>
      </c>
      <c r="AM581" s="5">
        <f>+$AC581*BL581</f>
        <v>0</v>
      </c>
      <c r="AN581" s="5">
        <f>+$AC581*BM581</f>
        <v>0</v>
      </c>
      <c r="AO581" s="5">
        <f>+$AC581*BN581</f>
        <v>0</v>
      </c>
      <c r="AP581" s="5">
        <f>+AC581+P581+C581</f>
        <v>2500</v>
      </c>
      <c r="AQ581" s="1">
        <v>63.117361484562835</v>
      </c>
      <c r="AR581" s="1">
        <v>75.482437692295051</v>
      </c>
      <c r="AS581" s="1">
        <v>66.802510513151105</v>
      </c>
      <c r="AT581" s="1">
        <v>50.600331237967922</v>
      </c>
      <c r="AU581" s="1">
        <v>73.382530131892892</v>
      </c>
      <c r="AV581" s="1">
        <v>60.136902028353944</v>
      </c>
      <c r="AW581" s="1">
        <v>59.870471836593907</v>
      </c>
      <c r="AX581" s="1">
        <v>40.657614420227894</v>
      </c>
      <c r="AY581" s="1">
        <v>60.266787459044849</v>
      </c>
      <c r="AZ581" s="1">
        <v>52.484624615111514</v>
      </c>
      <c r="BA581" s="1">
        <v>53.588791218821932</v>
      </c>
      <c r="BB581" s="1">
        <v>52.341307585463262</v>
      </c>
      <c r="BC581" s="2">
        <v>8.9181565948742242E-2</v>
      </c>
      <c r="BD581" s="2">
        <v>0.10665277883445198</v>
      </c>
      <c r="BE581" s="2">
        <v>9.438849084854764E-2</v>
      </c>
      <c r="BF581" s="2">
        <v>7.149564986855049E-2</v>
      </c>
      <c r="BG581" s="2">
        <v>0.10368571810536763</v>
      </c>
      <c r="BH581" s="2">
        <v>8.4970330952544637E-2</v>
      </c>
      <c r="BI581" s="2">
        <v>8.4593878877262704E-2</v>
      </c>
      <c r="BJ581" s="2">
        <v>5.7447105462779965E-2</v>
      </c>
      <c r="BK581" s="2">
        <v>8.5153852345557474E-2</v>
      </c>
      <c r="BL581" s="2">
        <v>7.4158058913035174E-2</v>
      </c>
      <c r="BM581" s="2">
        <v>7.5718189192107169E-2</v>
      </c>
      <c r="BN581" s="2">
        <v>7.3955559365675619E-2</v>
      </c>
    </row>
    <row r="582" spans="1:66" x14ac:dyDescent="0.25">
      <c r="A582" s="8">
        <v>3279</v>
      </c>
      <c r="B582" s="8" t="s">
        <v>414</v>
      </c>
      <c r="C582" s="5">
        <v>0</v>
      </c>
      <c r="D582" s="5">
        <f>+$C582*BC582</f>
        <v>0</v>
      </c>
      <c r="E582" s="5">
        <f>+$C582*BD582</f>
        <v>0</v>
      </c>
      <c r="F582" s="5">
        <f>+$C582*BE582</f>
        <v>0</v>
      </c>
      <c r="G582" s="5">
        <f>+$C582*BF582</f>
        <v>0</v>
      </c>
      <c r="H582" s="5">
        <f>+$C582*BG582</f>
        <v>0</v>
      </c>
      <c r="I582" s="5">
        <f>+$C582*BH582</f>
        <v>0</v>
      </c>
      <c r="J582" s="5">
        <f>+$C582*BI582</f>
        <v>0</v>
      </c>
      <c r="K582" s="5">
        <f>+$C582*BJ582</f>
        <v>0</v>
      </c>
      <c r="L582" s="5">
        <f>+$C582*BK582</f>
        <v>0</v>
      </c>
      <c r="M582" s="5">
        <f>+$C582*BL582</f>
        <v>0</v>
      </c>
      <c r="N582" s="5">
        <f>+$C582*BM582</f>
        <v>0</v>
      </c>
      <c r="O582" s="5">
        <f>+$C582*BN582</f>
        <v>0</v>
      </c>
      <c r="P582" s="5">
        <v>0</v>
      </c>
      <c r="Q582" s="5">
        <f>+$P582*BC582</f>
        <v>0</v>
      </c>
      <c r="R582" s="5">
        <f>+$P582*BD582</f>
        <v>0</v>
      </c>
      <c r="S582" s="5">
        <f>+$P582*BE582</f>
        <v>0</v>
      </c>
      <c r="T582" s="5">
        <f>+$P582*BF582</f>
        <v>0</v>
      </c>
      <c r="U582" s="5">
        <f>+$P582*BG582</f>
        <v>0</v>
      </c>
      <c r="V582" s="5">
        <f>+$P582*BH582</f>
        <v>0</v>
      </c>
      <c r="W582" s="5">
        <f>+$P582*BI582</f>
        <v>0</v>
      </c>
      <c r="X582" s="5">
        <f>+$P582*BJ582</f>
        <v>0</v>
      </c>
      <c r="Y582" s="5">
        <f>+$P582*BK582</f>
        <v>0</v>
      </c>
      <c r="Z582" s="5">
        <f>+$P582*BL582</f>
        <v>0</v>
      </c>
      <c r="AA582" s="5">
        <f>+$P582*BM582</f>
        <v>0</v>
      </c>
      <c r="AB582" s="5">
        <f>+$P582*BN582</f>
        <v>0</v>
      </c>
      <c r="AC582" s="5">
        <v>0</v>
      </c>
      <c r="AD582" s="5">
        <f>+$AC582*BC582</f>
        <v>0</v>
      </c>
      <c r="AE582" s="5">
        <f>+$AC582*BD582</f>
        <v>0</v>
      </c>
      <c r="AF582" s="5">
        <f>+$AC582*BE582</f>
        <v>0</v>
      </c>
      <c r="AG582" s="5">
        <f>+$AC582*BF582</f>
        <v>0</v>
      </c>
      <c r="AH582" s="5">
        <f>+$AC582*BG582</f>
        <v>0</v>
      </c>
      <c r="AI582" s="5">
        <f>+$AC582*BH582</f>
        <v>0</v>
      </c>
      <c r="AJ582" s="5">
        <f>+$AC582*BI582</f>
        <v>0</v>
      </c>
      <c r="AK582" s="5">
        <f>+$AC582*BJ582</f>
        <v>0</v>
      </c>
      <c r="AL582" s="5">
        <f>+$AC582*BK582</f>
        <v>0</v>
      </c>
      <c r="AM582" s="5">
        <f>+$AC582*BL582</f>
        <v>0</v>
      </c>
      <c r="AN582" s="5">
        <f>+$AC582*BM582</f>
        <v>0</v>
      </c>
      <c r="AO582" s="5">
        <f>+$AC582*BN582</f>
        <v>0</v>
      </c>
      <c r="AP582" s="5">
        <f>+AC582+P582+C582</f>
        <v>0</v>
      </c>
      <c r="AQ582" s="1">
        <v>286.84358871753454</v>
      </c>
      <c r="AR582" s="1">
        <v>343.03799784313139</v>
      </c>
      <c r="AS582" s="1">
        <v>303.59114196526866</v>
      </c>
      <c r="AT582" s="1">
        <v>229.95860823720579</v>
      </c>
      <c r="AU582" s="1">
        <v>333.49474371410446</v>
      </c>
      <c r="AV582" s="1">
        <v>273.29857247576456</v>
      </c>
      <c r="AW582" s="1">
        <v>272.08775202082779</v>
      </c>
      <c r="AX582" s="1">
        <v>184.77287001048549</v>
      </c>
      <c r="AY582" s="1">
        <v>273.88885068425105</v>
      </c>
      <c r="AZ582" s="1">
        <v>238.52198068788636</v>
      </c>
      <c r="BA582" s="1">
        <v>243.5399837174935</v>
      </c>
      <c r="BB582" s="1">
        <v>237.87066114375907</v>
      </c>
      <c r="BC582" s="2">
        <v>8.9181565948742242E-2</v>
      </c>
      <c r="BD582" s="2">
        <v>0.10665277883445198</v>
      </c>
      <c r="BE582" s="2">
        <v>9.438849084854764E-2</v>
      </c>
      <c r="BF582" s="2">
        <v>7.149564986855049E-2</v>
      </c>
      <c r="BG582" s="2">
        <v>0.10368571810536763</v>
      </c>
      <c r="BH582" s="2">
        <v>8.4970330952544637E-2</v>
      </c>
      <c r="BI582" s="2">
        <v>8.4593878877262704E-2</v>
      </c>
      <c r="BJ582" s="2">
        <v>5.7447105462779965E-2</v>
      </c>
      <c r="BK582" s="2">
        <v>8.5153852345557474E-2</v>
      </c>
      <c r="BL582" s="2">
        <v>7.4158058913035174E-2</v>
      </c>
      <c r="BM582" s="2">
        <v>7.5718189192107169E-2</v>
      </c>
      <c r="BN582" s="2">
        <v>7.3955559365675619E-2</v>
      </c>
    </row>
    <row r="583" spans="1:66" x14ac:dyDescent="0.25">
      <c r="A583" s="8">
        <v>3315</v>
      </c>
      <c r="B583" s="8" t="s">
        <v>413</v>
      </c>
      <c r="C583" s="5">
        <v>0</v>
      </c>
      <c r="D583" s="5">
        <f>+$C583*BC583</f>
        <v>0</v>
      </c>
      <c r="E583" s="5">
        <f>+$C583*BD583</f>
        <v>0</v>
      </c>
      <c r="F583" s="5">
        <f>+$C583*BE583</f>
        <v>0</v>
      </c>
      <c r="G583" s="5">
        <f>+$C583*BF583</f>
        <v>0</v>
      </c>
      <c r="H583" s="5">
        <f>+$C583*BG583</f>
        <v>0</v>
      </c>
      <c r="I583" s="5">
        <f>+$C583*BH583</f>
        <v>0</v>
      </c>
      <c r="J583" s="5">
        <f>+$C583*BI583</f>
        <v>0</v>
      </c>
      <c r="K583" s="5">
        <f>+$C583*BJ583</f>
        <v>0</v>
      </c>
      <c r="L583" s="5">
        <f>+$C583*BK583</f>
        <v>0</v>
      </c>
      <c r="M583" s="5">
        <f>+$C583*BL583</f>
        <v>0</v>
      </c>
      <c r="N583" s="5">
        <f>+$C583*BM583</f>
        <v>0</v>
      </c>
      <c r="O583" s="5">
        <f>+$C583*BN583</f>
        <v>0</v>
      </c>
      <c r="P583" s="5">
        <v>1500</v>
      </c>
      <c r="Q583" s="5">
        <f>+$P583*BC583</f>
        <v>133.77234892311336</v>
      </c>
      <c r="R583" s="5">
        <f>+$P583*BD583</f>
        <v>159.97916825167798</v>
      </c>
      <c r="S583" s="5">
        <f>+$P583*BE583</f>
        <v>141.58273627282145</v>
      </c>
      <c r="T583" s="5">
        <f>+$P583*BF583</f>
        <v>107.24347480282573</v>
      </c>
      <c r="U583" s="5">
        <f>+$P583*BG583</f>
        <v>155.52857715805143</v>
      </c>
      <c r="V583" s="5">
        <f>+$P583*BH583</f>
        <v>127.45549642881696</v>
      </c>
      <c r="W583" s="5">
        <f>+$P583*BI583</f>
        <v>126.89081831589405</v>
      </c>
      <c r="X583" s="5">
        <f>+$P583*BJ583</f>
        <v>86.170658194169945</v>
      </c>
      <c r="Y583" s="5">
        <f>+$P583*BK583</f>
        <v>127.73077851833621</v>
      </c>
      <c r="Z583" s="5">
        <f>+$P583*BL583</f>
        <v>111.23708836955277</v>
      </c>
      <c r="AA583" s="5">
        <f>+$P583*BM583</f>
        <v>113.57728378816076</v>
      </c>
      <c r="AB583" s="5">
        <f>+$P583*BN583</f>
        <v>110.93333904851343</v>
      </c>
      <c r="AC583" s="5">
        <v>0</v>
      </c>
      <c r="AD583" s="5">
        <f>+$AC583*BC583</f>
        <v>0</v>
      </c>
      <c r="AE583" s="5">
        <f>+$AC583*BD583</f>
        <v>0</v>
      </c>
      <c r="AF583" s="5">
        <f>+$AC583*BE583</f>
        <v>0</v>
      </c>
      <c r="AG583" s="5">
        <f>+$AC583*BF583</f>
        <v>0</v>
      </c>
      <c r="AH583" s="5">
        <f>+$AC583*BG583</f>
        <v>0</v>
      </c>
      <c r="AI583" s="5">
        <f>+$AC583*BH583</f>
        <v>0</v>
      </c>
      <c r="AJ583" s="5">
        <f>+$AC583*BI583</f>
        <v>0</v>
      </c>
      <c r="AK583" s="5">
        <f>+$AC583*BJ583</f>
        <v>0</v>
      </c>
      <c r="AL583" s="5">
        <f>+$AC583*BK583</f>
        <v>0</v>
      </c>
      <c r="AM583" s="5">
        <f>+$AC583*BL583</f>
        <v>0</v>
      </c>
      <c r="AN583" s="5">
        <f>+$AC583*BM583</f>
        <v>0</v>
      </c>
      <c r="AO583" s="5">
        <f>+$AC583*BN583</f>
        <v>0</v>
      </c>
      <c r="AP583" s="5">
        <f>+AC583+P583+C583</f>
        <v>1500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2">
        <v>8.9181565948742242E-2</v>
      </c>
      <c r="BD583" s="2">
        <v>0.10665277883445198</v>
      </c>
      <c r="BE583" s="2">
        <v>9.438849084854764E-2</v>
      </c>
      <c r="BF583" s="2">
        <v>7.149564986855049E-2</v>
      </c>
      <c r="BG583" s="2">
        <v>0.10368571810536763</v>
      </c>
      <c r="BH583" s="2">
        <v>8.4970330952544637E-2</v>
      </c>
      <c r="BI583" s="2">
        <v>8.4593878877262704E-2</v>
      </c>
      <c r="BJ583" s="2">
        <v>5.7447105462779965E-2</v>
      </c>
      <c r="BK583" s="2">
        <v>8.5153852345557474E-2</v>
      </c>
      <c r="BL583" s="2">
        <v>7.4158058913035174E-2</v>
      </c>
      <c r="BM583" s="2">
        <v>7.5718189192107169E-2</v>
      </c>
      <c r="BN583" s="2">
        <v>7.3955559365675619E-2</v>
      </c>
    </row>
    <row r="584" spans="1:66" x14ac:dyDescent="0.25">
      <c r="A584" s="8">
        <v>3316</v>
      </c>
      <c r="B584" s="8" t="s">
        <v>412</v>
      </c>
      <c r="C584" s="5">
        <v>0</v>
      </c>
      <c r="D584" s="5">
        <f>+$C584*BC584</f>
        <v>0</v>
      </c>
      <c r="E584" s="5">
        <f>+$C584*BD584</f>
        <v>0</v>
      </c>
      <c r="F584" s="5">
        <f>+$C584*BE584</f>
        <v>0</v>
      </c>
      <c r="G584" s="5">
        <f>+$C584*BF584</f>
        <v>0</v>
      </c>
      <c r="H584" s="5">
        <f>+$C584*BG584</f>
        <v>0</v>
      </c>
      <c r="I584" s="5">
        <f>+$C584*BH584</f>
        <v>0</v>
      </c>
      <c r="J584" s="5">
        <f>+$C584*BI584</f>
        <v>0</v>
      </c>
      <c r="K584" s="5">
        <f>+$C584*BJ584</f>
        <v>0</v>
      </c>
      <c r="L584" s="5">
        <f>+$C584*BK584</f>
        <v>0</v>
      </c>
      <c r="M584" s="5">
        <f>+$C584*BL584</f>
        <v>0</v>
      </c>
      <c r="N584" s="5">
        <f>+$C584*BM584</f>
        <v>0</v>
      </c>
      <c r="O584" s="5">
        <f>+$C584*BN584</f>
        <v>0</v>
      </c>
      <c r="P584" s="5">
        <v>0</v>
      </c>
      <c r="Q584" s="5">
        <f>+$P584*BC584</f>
        <v>0</v>
      </c>
      <c r="R584" s="5">
        <f>+$P584*BD584</f>
        <v>0</v>
      </c>
      <c r="S584" s="5">
        <f>+$P584*BE584</f>
        <v>0</v>
      </c>
      <c r="T584" s="5">
        <f>+$P584*BF584</f>
        <v>0</v>
      </c>
      <c r="U584" s="5">
        <f>+$P584*BG584</f>
        <v>0</v>
      </c>
      <c r="V584" s="5">
        <f>+$P584*BH584</f>
        <v>0</v>
      </c>
      <c r="W584" s="5">
        <f>+$P584*BI584</f>
        <v>0</v>
      </c>
      <c r="X584" s="5">
        <f>+$P584*BJ584</f>
        <v>0</v>
      </c>
      <c r="Y584" s="5">
        <f>+$P584*BK584</f>
        <v>0</v>
      </c>
      <c r="Z584" s="5">
        <f>+$P584*BL584</f>
        <v>0</v>
      </c>
      <c r="AA584" s="5">
        <f>+$P584*BM584</f>
        <v>0</v>
      </c>
      <c r="AB584" s="5">
        <f>+$P584*BN584</f>
        <v>0</v>
      </c>
      <c r="AC584" s="5">
        <v>0</v>
      </c>
      <c r="AD584" s="5">
        <f>+$AC584*BC584</f>
        <v>0</v>
      </c>
      <c r="AE584" s="5">
        <f>+$AC584*BD584</f>
        <v>0</v>
      </c>
      <c r="AF584" s="5">
        <f>+$AC584*BE584</f>
        <v>0</v>
      </c>
      <c r="AG584" s="5">
        <f>+$AC584*BF584</f>
        <v>0</v>
      </c>
      <c r="AH584" s="5">
        <f>+$AC584*BG584</f>
        <v>0</v>
      </c>
      <c r="AI584" s="5">
        <f>+$AC584*BH584</f>
        <v>0</v>
      </c>
      <c r="AJ584" s="5">
        <f>+$AC584*BI584</f>
        <v>0</v>
      </c>
      <c r="AK584" s="5">
        <f>+$AC584*BJ584</f>
        <v>0</v>
      </c>
      <c r="AL584" s="5">
        <f>+$AC584*BK584</f>
        <v>0</v>
      </c>
      <c r="AM584" s="5">
        <f>+$AC584*BL584</f>
        <v>0</v>
      </c>
      <c r="AN584" s="5">
        <f>+$AC584*BM584</f>
        <v>0</v>
      </c>
      <c r="AO584" s="5">
        <f>+$AC584*BN584</f>
        <v>0</v>
      </c>
      <c r="AP584" s="5">
        <f>+AC584+P584+C584</f>
        <v>0</v>
      </c>
      <c r="AQ584" s="1">
        <v>89.064738097349391</v>
      </c>
      <c r="AR584" s="1">
        <v>106.51306369417885</v>
      </c>
      <c r="AS584" s="1">
        <v>94.264841925536047</v>
      </c>
      <c r="AT584" s="1">
        <v>71.401990567222697</v>
      </c>
      <c r="AU584" s="1">
        <v>103.5498898146496</v>
      </c>
      <c r="AV584" s="1">
        <v>84.859019818996813</v>
      </c>
      <c r="AW584" s="1">
        <v>84.483060895933491</v>
      </c>
      <c r="AX584" s="1">
        <v>57.371849754623724</v>
      </c>
      <c r="AY584" s="1">
        <v>85.042300798984797</v>
      </c>
      <c r="AZ584" s="1">
        <v>74.060911855859104</v>
      </c>
      <c r="BA584" s="1">
        <v>75.618998364265508</v>
      </c>
      <c r="BB584" s="1">
        <v>73.858677582906594</v>
      </c>
      <c r="BC584" s="2">
        <v>8.9181565948742242E-2</v>
      </c>
      <c r="BD584" s="2">
        <v>0.10665277883445198</v>
      </c>
      <c r="BE584" s="2">
        <v>9.438849084854764E-2</v>
      </c>
      <c r="BF584" s="2">
        <v>7.149564986855049E-2</v>
      </c>
      <c r="BG584" s="2">
        <v>0.10368571810536763</v>
      </c>
      <c r="BH584" s="2">
        <v>8.4970330952544637E-2</v>
      </c>
      <c r="BI584" s="2">
        <v>8.4593878877262704E-2</v>
      </c>
      <c r="BJ584" s="2">
        <v>5.7447105462779965E-2</v>
      </c>
      <c r="BK584" s="2">
        <v>8.5153852345557474E-2</v>
      </c>
      <c r="BL584" s="2">
        <v>7.4158058913035174E-2</v>
      </c>
      <c r="BM584" s="2">
        <v>7.5718189192107169E-2</v>
      </c>
      <c r="BN584" s="2">
        <v>7.3955559365675619E-2</v>
      </c>
    </row>
    <row r="585" spans="1:66" x14ac:dyDescent="0.25">
      <c r="A585" s="8">
        <v>3348</v>
      </c>
      <c r="B585" s="8" t="s">
        <v>411</v>
      </c>
      <c r="C585" s="5">
        <v>0</v>
      </c>
      <c r="D585" s="5">
        <f>+$C585*BC585</f>
        <v>0</v>
      </c>
      <c r="E585" s="5">
        <f>+$C585*BD585</f>
        <v>0</v>
      </c>
      <c r="F585" s="5">
        <f>+$C585*BE585</f>
        <v>0</v>
      </c>
      <c r="G585" s="5">
        <f>+$C585*BF585</f>
        <v>0</v>
      </c>
      <c r="H585" s="5">
        <f>+$C585*BG585</f>
        <v>0</v>
      </c>
      <c r="I585" s="5">
        <f>+$C585*BH585</f>
        <v>0</v>
      </c>
      <c r="J585" s="5">
        <f>+$C585*BI585</f>
        <v>0</v>
      </c>
      <c r="K585" s="5">
        <f>+$C585*BJ585</f>
        <v>0</v>
      </c>
      <c r="L585" s="5">
        <f>+$C585*BK585</f>
        <v>0</v>
      </c>
      <c r="M585" s="5">
        <f>+$C585*BL585</f>
        <v>0</v>
      </c>
      <c r="N585" s="5">
        <f>+$C585*BM585</f>
        <v>0</v>
      </c>
      <c r="O585" s="5">
        <f>+$C585*BN585</f>
        <v>0</v>
      </c>
      <c r="P585" s="5">
        <v>0</v>
      </c>
      <c r="Q585" s="5">
        <f>+$P585*BC585</f>
        <v>0</v>
      </c>
      <c r="R585" s="5">
        <f>+$P585*BD585</f>
        <v>0</v>
      </c>
      <c r="S585" s="5">
        <f>+$P585*BE585</f>
        <v>0</v>
      </c>
      <c r="T585" s="5">
        <f>+$P585*BF585</f>
        <v>0</v>
      </c>
      <c r="U585" s="5">
        <f>+$P585*BG585</f>
        <v>0</v>
      </c>
      <c r="V585" s="5">
        <f>+$P585*BH585</f>
        <v>0</v>
      </c>
      <c r="W585" s="5">
        <f>+$P585*BI585</f>
        <v>0</v>
      </c>
      <c r="X585" s="5">
        <f>+$P585*BJ585</f>
        <v>0</v>
      </c>
      <c r="Y585" s="5">
        <f>+$P585*BK585</f>
        <v>0</v>
      </c>
      <c r="Z585" s="5">
        <f>+$P585*BL585</f>
        <v>0</v>
      </c>
      <c r="AA585" s="5">
        <f>+$P585*BM585</f>
        <v>0</v>
      </c>
      <c r="AB585" s="5">
        <f>+$P585*BN585</f>
        <v>0</v>
      </c>
      <c r="AC585" s="5">
        <v>0</v>
      </c>
      <c r="AD585" s="5">
        <f>+$AC585*BC585</f>
        <v>0</v>
      </c>
      <c r="AE585" s="5">
        <f>+$AC585*BD585</f>
        <v>0</v>
      </c>
      <c r="AF585" s="5">
        <f>+$AC585*BE585</f>
        <v>0</v>
      </c>
      <c r="AG585" s="5">
        <f>+$AC585*BF585</f>
        <v>0</v>
      </c>
      <c r="AH585" s="5">
        <f>+$AC585*BG585</f>
        <v>0</v>
      </c>
      <c r="AI585" s="5">
        <f>+$AC585*BH585</f>
        <v>0</v>
      </c>
      <c r="AJ585" s="5">
        <f>+$AC585*BI585</f>
        <v>0</v>
      </c>
      <c r="AK585" s="5">
        <f>+$AC585*BJ585</f>
        <v>0</v>
      </c>
      <c r="AL585" s="5">
        <f>+$AC585*BK585</f>
        <v>0</v>
      </c>
      <c r="AM585" s="5">
        <f>+$AC585*BL585</f>
        <v>0</v>
      </c>
      <c r="AN585" s="5">
        <f>+$AC585*BM585</f>
        <v>0</v>
      </c>
      <c r="AO585" s="5">
        <f>+$AC585*BN585</f>
        <v>0</v>
      </c>
      <c r="AP585" s="5">
        <f>+AC585+P585+C585</f>
        <v>0</v>
      </c>
      <c r="AQ585" s="1">
        <v>30.253954432451319</v>
      </c>
      <c r="AR585" s="1">
        <v>36.180888691799488</v>
      </c>
      <c r="AS585" s="1">
        <v>32.020351635461303</v>
      </c>
      <c r="AT585" s="1">
        <v>24.254184261407069</v>
      </c>
      <c r="AU585" s="1">
        <v>35.174343010064916</v>
      </c>
      <c r="AV585" s="1">
        <v>28.825335072341243</v>
      </c>
      <c r="AW585" s="1">
        <v>28.697627470322601</v>
      </c>
      <c r="AX585" s="1">
        <v>19.488356057193474</v>
      </c>
      <c r="AY585" s="1">
        <v>28.887592869706918</v>
      </c>
      <c r="AZ585" s="1">
        <v>25.157379905658054</v>
      </c>
      <c r="BA585" s="1">
        <v>25.686638501530435</v>
      </c>
      <c r="BB585" s="1">
        <v>25.088683959211796</v>
      </c>
      <c r="BC585" s="2">
        <v>8.9181565948742242E-2</v>
      </c>
      <c r="BD585" s="2">
        <v>0.10665277883445198</v>
      </c>
      <c r="BE585" s="2">
        <v>9.438849084854764E-2</v>
      </c>
      <c r="BF585" s="2">
        <v>7.149564986855049E-2</v>
      </c>
      <c r="BG585" s="2">
        <v>0.10368571810536763</v>
      </c>
      <c r="BH585" s="2">
        <v>8.4970330952544637E-2</v>
      </c>
      <c r="BI585" s="2">
        <v>8.4593878877262704E-2</v>
      </c>
      <c r="BJ585" s="2">
        <v>5.7447105462779965E-2</v>
      </c>
      <c r="BK585" s="2">
        <v>8.5153852345557474E-2</v>
      </c>
      <c r="BL585" s="2">
        <v>7.4158058913035174E-2</v>
      </c>
      <c r="BM585" s="2">
        <v>7.5718189192107169E-2</v>
      </c>
      <c r="BN585" s="2">
        <v>7.3955559365675619E-2</v>
      </c>
    </row>
    <row r="586" spans="1:66" x14ac:dyDescent="0.25">
      <c r="A586" s="8">
        <v>3351</v>
      </c>
      <c r="B586" s="8" t="s">
        <v>410</v>
      </c>
      <c r="C586" s="5">
        <v>0</v>
      </c>
      <c r="D586" s="5">
        <f>+$C586*BC586</f>
        <v>0</v>
      </c>
      <c r="E586" s="5">
        <f>+$C586*BD586</f>
        <v>0</v>
      </c>
      <c r="F586" s="5">
        <f>+$C586*BE586</f>
        <v>0</v>
      </c>
      <c r="G586" s="5">
        <f>+$C586*BF586</f>
        <v>0</v>
      </c>
      <c r="H586" s="5">
        <f>+$C586*BG586</f>
        <v>0</v>
      </c>
      <c r="I586" s="5">
        <f>+$C586*BH586</f>
        <v>0</v>
      </c>
      <c r="J586" s="5">
        <f>+$C586*BI586</f>
        <v>0</v>
      </c>
      <c r="K586" s="5">
        <f>+$C586*BJ586</f>
        <v>0</v>
      </c>
      <c r="L586" s="5">
        <f>+$C586*BK586</f>
        <v>0</v>
      </c>
      <c r="M586" s="5">
        <f>+$C586*BL586</f>
        <v>0</v>
      </c>
      <c r="N586" s="5">
        <f>+$C586*BM586</f>
        <v>0</v>
      </c>
      <c r="O586" s="5">
        <f>+$C586*BN586</f>
        <v>0</v>
      </c>
      <c r="P586" s="5">
        <v>0</v>
      </c>
      <c r="Q586" s="5">
        <f>+$P586*BC586</f>
        <v>0</v>
      </c>
      <c r="R586" s="5">
        <f>+$P586*BD586</f>
        <v>0</v>
      </c>
      <c r="S586" s="5">
        <f>+$P586*BE586</f>
        <v>0</v>
      </c>
      <c r="T586" s="5">
        <f>+$P586*BF586</f>
        <v>0</v>
      </c>
      <c r="U586" s="5">
        <f>+$P586*BG586</f>
        <v>0</v>
      </c>
      <c r="V586" s="5">
        <f>+$P586*BH586</f>
        <v>0</v>
      </c>
      <c r="W586" s="5">
        <f>+$P586*BI586</f>
        <v>0</v>
      </c>
      <c r="X586" s="5">
        <f>+$P586*BJ586</f>
        <v>0</v>
      </c>
      <c r="Y586" s="5">
        <f>+$P586*BK586</f>
        <v>0</v>
      </c>
      <c r="Z586" s="5">
        <f>+$P586*BL586</f>
        <v>0</v>
      </c>
      <c r="AA586" s="5">
        <f>+$P586*BM586</f>
        <v>0</v>
      </c>
      <c r="AB586" s="5">
        <f>+$P586*BN586</f>
        <v>0</v>
      </c>
      <c r="AC586" s="5">
        <v>0</v>
      </c>
      <c r="AD586" s="5">
        <f>+$AC586*BC586</f>
        <v>0</v>
      </c>
      <c r="AE586" s="5">
        <f>+$AC586*BD586</f>
        <v>0</v>
      </c>
      <c r="AF586" s="5">
        <f>+$AC586*BE586</f>
        <v>0</v>
      </c>
      <c r="AG586" s="5">
        <f>+$AC586*BF586</f>
        <v>0</v>
      </c>
      <c r="AH586" s="5">
        <f>+$AC586*BG586</f>
        <v>0</v>
      </c>
      <c r="AI586" s="5">
        <f>+$AC586*BH586</f>
        <v>0</v>
      </c>
      <c r="AJ586" s="5">
        <f>+$AC586*BI586</f>
        <v>0</v>
      </c>
      <c r="AK586" s="5">
        <f>+$AC586*BJ586</f>
        <v>0</v>
      </c>
      <c r="AL586" s="5">
        <f>+$AC586*BK586</f>
        <v>0</v>
      </c>
      <c r="AM586" s="5">
        <f>+$AC586*BL586</f>
        <v>0</v>
      </c>
      <c r="AN586" s="5">
        <f>+$AC586*BM586</f>
        <v>0</v>
      </c>
      <c r="AO586" s="5">
        <f>+$AC586*BN586</f>
        <v>0</v>
      </c>
      <c r="AP586" s="5">
        <f>+AC586+P586+C586</f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2">
        <v>8.9181565948742242E-2</v>
      </c>
      <c r="BD586" s="2">
        <v>0.10665277883445198</v>
      </c>
      <c r="BE586" s="2">
        <v>9.438849084854764E-2</v>
      </c>
      <c r="BF586" s="2">
        <v>7.149564986855049E-2</v>
      </c>
      <c r="BG586" s="2">
        <v>0.10368571810536763</v>
      </c>
      <c r="BH586" s="2">
        <v>8.4970330952544637E-2</v>
      </c>
      <c r="BI586" s="2">
        <v>8.4593878877262704E-2</v>
      </c>
      <c r="BJ586" s="2">
        <v>5.7447105462779965E-2</v>
      </c>
      <c r="BK586" s="2">
        <v>8.5153852345557474E-2</v>
      </c>
      <c r="BL586" s="2">
        <v>7.4158058913035174E-2</v>
      </c>
      <c r="BM586" s="2">
        <v>7.5718189192107169E-2</v>
      </c>
      <c r="BN586" s="2">
        <v>7.3955559365675619E-2</v>
      </c>
    </row>
    <row r="587" spans="1:66" x14ac:dyDescent="0.25">
      <c r="A587" s="8">
        <v>3361</v>
      </c>
      <c r="B587" s="8" t="s">
        <v>409</v>
      </c>
      <c r="C587" s="5">
        <v>0</v>
      </c>
      <c r="D587" s="5">
        <f>+$C587*BC587</f>
        <v>0</v>
      </c>
      <c r="E587" s="5">
        <f>+$C587*BD587</f>
        <v>0</v>
      </c>
      <c r="F587" s="5">
        <f>+$C587*BE587</f>
        <v>0</v>
      </c>
      <c r="G587" s="5">
        <f>+$C587*BF587</f>
        <v>0</v>
      </c>
      <c r="H587" s="5">
        <f>+$C587*BG587</f>
        <v>0</v>
      </c>
      <c r="I587" s="5">
        <f>+$C587*BH587</f>
        <v>0</v>
      </c>
      <c r="J587" s="5">
        <f>+$C587*BI587</f>
        <v>0</v>
      </c>
      <c r="K587" s="5">
        <f>+$C587*BJ587</f>
        <v>0</v>
      </c>
      <c r="L587" s="5">
        <f>+$C587*BK587</f>
        <v>0</v>
      </c>
      <c r="M587" s="5">
        <f>+$C587*BL587</f>
        <v>0</v>
      </c>
      <c r="N587" s="5">
        <f>+$C587*BM587</f>
        <v>0</v>
      </c>
      <c r="O587" s="5">
        <f>+$C587*BN587</f>
        <v>0</v>
      </c>
      <c r="P587" s="5">
        <v>0</v>
      </c>
      <c r="Q587" s="5">
        <f>+$P587*BC587</f>
        <v>0</v>
      </c>
      <c r="R587" s="5">
        <f>+$P587*BD587</f>
        <v>0</v>
      </c>
      <c r="S587" s="5">
        <f>+$P587*BE587</f>
        <v>0</v>
      </c>
      <c r="T587" s="5">
        <f>+$P587*BF587</f>
        <v>0</v>
      </c>
      <c r="U587" s="5">
        <f>+$P587*BG587</f>
        <v>0</v>
      </c>
      <c r="V587" s="5">
        <f>+$P587*BH587</f>
        <v>0</v>
      </c>
      <c r="W587" s="5">
        <f>+$P587*BI587</f>
        <v>0</v>
      </c>
      <c r="X587" s="5">
        <f>+$P587*BJ587</f>
        <v>0</v>
      </c>
      <c r="Y587" s="5">
        <f>+$P587*BK587</f>
        <v>0</v>
      </c>
      <c r="Z587" s="5">
        <f>+$P587*BL587</f>
        <v>0</v>
      </c>
      <c r="AA587" s="5">
        <f>+$P587*BM587</f>
        <v>0</v>
      </c>
      <c r="AB587" s="5">
        <f>+$P587*BN587</f>
        <v>0</v>
      </c>
      <c r="AC587" s="5">
        <v>0</v>
      </c>
      <c r="AD587" s="5">
        <f>+$AC587*BC587</f>
        <v>0</v>
      </c>
      <c r="AE587" s="5">
        <f>+$AC587*BD587</f>
        <v>0</v>
      </c>
      <c r="AF587" s="5">
        <f>+$AC587*BE587</f>
        <v>0</v>
      </c>
      <c r="AG587" s="5">
        <f>+$AC587*BF587</f>
        <v>0</v>
      </c>
      <c r="AH587" s="5">
        <f>+$AC587*BG587</f>
        <v>0</v>
      </c>
      <c r="AI587" s="5">
        <f>+$AC587*BH587</f>
        <v>0</v>
      </c>
      <c r="AJ587" s="5">
        <f>+$AC587*BI587</f>
        <v>0</v>
      </c>
      <c r="AK587" s="5">
        <f>+$AC587*BJ587</f>
        <v>0</v>
      </c>
      <c r="AL587" s="5">
        <f>+$AC587*BK587</f>
        <v>0</v>
      </c>
      <c r="AM587" s="5">
        <f>+$AC587*BL587</f>
        <v>0</v>
      </c>
      <c r="AN587" s="5">
        <f>+$AC587*BM587</f>
        <v>0</v>
      </c>
      <c r="AO587" s="5">
        <f>+$AC587*BN587</f>
        <v>0</v>
      </c>
      <c r="AP587" s="5">
        <f>+AC587+P587+C587</f>
        <v>0</v>
      </c>
      <c r="AQ587" s="1">
        <v>39.824563363806547</v>
      </c>
      <c r="AR587" s="1">
        <v>47.626438305197546</v>
      </c>
      <c r="AS587" s="1">
        <v>42.149746919364041</v>
      </c>
      <c r="AT587" s="1">
        <v>31.926811422700435</v>
      </c>
      <c r="AU587" s="1">
        <v>46.301479534260551</v>
      </c>
      <c r="AV587" s="1">
        <v>37.944011108844528</v>
      </c>
      <c r="AW587" s="1">
        <v>37.775904175914924</v>
      </c>
      <c r="AX587" s="1">
        <v>25.653349627037173</v>
      </c>
      <c r="AY587" s="1">
        <v>38.025963688022763</v>
      </c>
      <c r="AZ587" s="1">
        <v>33.115726155969341</v>
      </c>
      <c r="BA587" s="1">
        <v>33.812411692870612</v>
      </c>
      <c r="BB587" s="1">
        <v>33.025298768098644</v>
      </c>
      <c r="BC587" s="2">
        <v>8.9181565948742242E-2</v>
      </c>
      <c r="BD587" s="2">
        <v>0.10665277883445198</v>
      </c>
      <c r="BE587" s="2">
        <v>9.438849084854764E-2</v>
      </c>
      <c r="BF587" s="2">
        <v>7.149564986855049E-2</v>
      </c>
      <c r="BG587" s="2">
        <v>0.10368571810536763</v>
      </c>
      <c r="BH587" s="2">
        <v>8.4970330952544637E-2</v>
      </c>
      <c r="BI587" s="2">
        <v>8.4593878877262704E-2</v>
      </c>
      <c r="BJ587" s="2">
        <v>5.7447105462779965E-2</v>
      </c>
      <c r="BK587" s="2">
        <v>8.5153852345557474E-2</v>
      </c>
      <c r="BL587" s="2">
        <v>7.4158058913035174E-2</v>
      </c>
      <c r="BM587" s="2">
        <v>7.5718189192107169E-2</v>
      </c>
      <c r="BN587" s="2">
        <v>7.3955559365675619E-2</v>
      </c>
    </row>
    <row r="588" spans="1:66" x14ac:dyDescent="0.25">
      <c r="A588" s="8">
        <v>3411</v>
      </c>
      <c r="B588" s="8" t="s">
        <v>408</v>
      </c>
      <c r="C588" s="5">
        <v>0</v>
      </c>
      <c r="D588" s="5">
        <f>+$C588*BC588</f>
        <v>0</v>
      </c>
      <c r="E588" s="5">
        <f>+$C588*BD588</f>
        <v>0</v>
      </c>
      <c r="F588" s="5">
        <f>+$C588*BE588</f>
        <v>0</v>
      </c>
      <c r="G588" s="5">
        <f>+$C588*BF588</f>
        <v>0</v>
      </c>
      <c r="H588" s="5">
        <f>+$C588*BG588</f>
        <v>0</v>
      </c>
      <c r="I588" s="5">
        <f>+$C588*BH588</f>
        <v>0</v>
      </c>
      <c r="J588" s="5">
        <f>+$C588*BI588</f>
        <v>0</v>
      </c>
      <c r="K588" s="5">
        <f>+$C588*BJ588</f>
        <v>0</v>
      </c>
      <c r="L588" s="5">
        <f>+$C588*BK588</f>
        <v>0</v>
      </c>
      <c r="M588" s="5">
        <f>+$C588*BL588</f>
        <v>0</v>
      </c>
      <c r="N588" s="5">
        <f>+$C588*BM588</f>
        <v>0</v>
      </c>
      <c r="O588" s="5">
        <f>+$C588*BN588</f>
        <v>0</v>
      </c>
      <c r="P588" s="5">
        <v>0</v>
      </c>
      <c r="Q588" s="5">
        <f>+$P588*BC588</f>
        <v>0</v>
      </c>
      <c r="R588" s="5">
        <f>+$P588*BD588</f>
        <v>0</v>
      </c>
      <c r="S588" s="5">
        <f>+$P588*BE588</f>
        <v>0</v>
      </c>
      <c r="T588" s="5">
        <f>+$P588*BF588</f>
        <v>0</v>
      </c>
      <c r="U588" s="5">
        <f>+$P588*BG588</f>
        <v>0</v>
      </c>
      <c r="V588" s="5">
        <f>+$P588*BH588</f>
        <v>0</v>
      </c>
      <c r="W588" s="5">
        <f>+$P588*BI588</f>
        <v>0</v>
      </c>
      <c r="X588" s="5">
        <f>+$P588*BJ588</f>
        <v>0</v>
      </c>
      <c r="Y588" s="5">
        <f>+$P588*BK588</f>
        <v>0</v>
      </c>
      <c r="Z588" s="5">
        <f>+$P588*BL588</f>
        <v>0</v>
      </c>
      <c r="AA588" s="5">
        <f>+$P588*BM588</f>
        <v>0</v>
      </c>
      <c r="AB588" s="5">
        <f>+$P588*BN588</f>
        <v>0</v>
      </c>
      <c r="AC588" s="5">
        <v>0</v>
      </c>
      <c r="AD588" s="5">
        <f>+$AC588*BC588</f>
        <v>0</v>
      </c>
      <c r="AE588" s="5">
        <f>+$AC588*BD588</f>
        <v>0</v>
      </c>
      <c r="AF588" s="5">
        <f>+$AC588*BE588</f>
        <v>0</v>
      </c>
      <c r="AG588" s="5">
        <f>+$AC588*BF588</f>
        <v>0</v>
      </c>
      <c r="AH588" s="5">
        <f>+$AC588*BG588</f>
        <v>0</v>
      </c>
      <c r="AI588" s="5">
        <f>+$AC588*BH588</f>
        <v>0</v>
      </c>
      <c r="AJ588" s="5">
        <f>+$AC588*BI588</f>
        <v>0</v>
      </c>
      <c r="AK588" s="5">
        <f>+$AC588*BJ588</f>
        <v>0</v>
      </c>
      <c r="AL588" s="5">
        <f>+$AC588*BK588</f>
        <v>0</v>
      </c>
      <c r="AM588" s="5">
        <f>+$AC588*BL588</f>
        <v>0</v>
      </c>
      <c r="AN588" s="5">
        <f>+$AC588*BM588</f>
        <v>0</v>
      </c>
      <c r="AO588" s="5">
        <f>+$AC588*BN588</f>
        <v>0</v>
      </c>
      <c r="AP588" s="5">
        <f>+AC588+P588+C588</f>
        <v>0</v>
      </c>
      <c r="AQ588" s="1">
        <v>10.987168924885045</v>
      </c>
      <c r="AR588" s="1">
        <v>13.139622352404485</v>
      </c>
      <c r="AS588" s="1">
        <v>11.62866207254107</v>
      </c>
      <c r="AT588" s="1">
        <v>8.8082640638054208</v>
      </c>
      <c r="AU588" s="1">
        <v>12.774080470581293</v>
      </c>
      <c r="AV588" s="1">
        <v>10.4683447733535</v>
      </c>
      <c r="AW588" s="1">
        <v>10.421965877678767</v>
      </c>
      <c r="AX588" s="1">
        <v>7.0774833930144929</v>
      </c>
      <c r="AY588" s="1">
        <v>10.490954608972682</v>
      </c>
      <c r="AZ588" s="1">
        <v>9.1362728580859347</v>
      </c>
      <c r="BA588" s="1">
        <v>9.3284809084676041</v>
      </c>
      <c r="BB588" s="1">
        <v>9.111324913851238</v>
      </c>
      <c r="BC588" s="2">
        <v>8.9181565948742242E-2</v>
      </c>
      <c r="BD588" s="2">
        <v>0.10665277883445198</v>
      </c>
      <c r="BE588" s="2">
        <v>9.438849084854764E-2</v>
      </c>
      <c r="BF588" s="2">
        <v>7.149564986855049E-2</v>
      </c>
      <c r="BG588" s="2">
        <v>0.10368571810536763</v>
      </c>
      <c r="BH588" s="2">
        <v>8.4970330952544637E-2</v>
      </c>
      <c r="BI588" s="2">
        <v>8.4593878877262704E-2</v>
      </c>
      <c r="BJ588" s="2">
        <v>5.7447105462779965E-2</v>
      </c>
      <c r="BK588" s="2">
        <v>8.5153852345557474E-2</v>
      </c>
      <c r="BL588" s="2">
        <v>7.4158058913035174E-2</v>
      </c>
      <c r="BM588" s="2">
        <v>7.5718189192107169E-2</v>
      </c>
      <c r="BN588" s="2">
        <v>7.3955559365675619E-2</v>
      </c>
    </row>
    <row r="589" spans="1:66" x14ac:dyDescent="0.25">
      <c r="A589" s="8">
        <v>3429</v>
      </c>
      <c r="B589" s="8" t="s">
        <v>407</v>
      </c>
      <c r="C589" s="5">
        <v>0</v>
      </c>
      <c r="D589" s="5">
        <f>+$C589*BC589</f>
        <v>0</v>
      </c>
      <c r="E589" s="5">
        <f>+$C589*BD589</f>
        <v>0</v>
      </c>
      <c r="F589" s="5">
        <f>+$C589*BE589</f>
        <v>0</v>
      </c>
      <c r="G589" s="5">
        <f>+$C589*BF589</f>
        <v>0</v>
      </c>
      <c r="H589" s="5">
        <f>+$C589*BG589</f>
        <v>0</v>
      </c>
      <c r="I589" s="5">
        <f>+$C589*BH589</f>
        <v>0</v>
      </c>
      <c r="J589" s="5">
        <f>+$C589*BI589</f>
        <v>0</v>
      </c>
      <c r="K589" s="5">
        <f>+$C589*BJ589</f>
        <v>0</v>
      </c>
      <c r="L589" s="5">
        <f>+$C589*BK589</f>
        <v>0</v>
      </c>
      <c r="M589" s="5">
        <f>+$C589*BL589</f>
        <v>0</v>
      </c>
      <c r="N589" s="5">
        <f>+$C589*BM589</f>
        <v>0</v>
      </c>
      <c r="O589" s="5">
        <f>+$C589*BN589</f>
        <v>0</v>
      </c>
      <c r="P589" s="5">
        <v>0</v>
      </c>
      <c r="Q589" s="5">
        <f>+$P589*BC589</f>
        <v>0</v>
      </c>
      <c r="R589" s="5">
        <f>+$P589*BD589</f>
        <v>0</v>
      </c>
      <c r="S589" s="5">
        <f>+$P589*BE589</f>
        <v>0</v>
      </c>
      <c r="T589" s="5">
        <f>+$P589*BF589</f>
        <v>0</v>
      </c>
      <c r="U589" s="5">
        <f>+$P589*BG589</f>
        <v>0</v>
      </c>
      <c r="V589" s="5">
        <f>+$P589*BH589</f>
        <v>0</v>
      </c>
      <c r="W589" s="5">
        <f>+$P589*BI589</f>
        <v>0</v>
      </c>
      <c r="X589" s="5">
        <f>+$P589*BJ589</f>
        <v>0</v>
      </c>
      <c r="Y589" s="5">
        <f>+$P589*BK589</f>
        <v>0</v>
      </c>
      <c r="Z589" s="5">
        <f>+$P589*BL589</f>
        <v>0</v>
      </c>
      <c r="AA589" s="5">
        <f>+$P589*BM589</f>
        <v>0</v>
      </c>
      <c r="AB589" s="5">
        <f>+$P589*BN589</f>
        <v>0</v>
      </c>
      <c r="AC589" s="5">
        <v>0</v>
      </c>
      <c r="AD589" s="5">
        <f>+$AC589*BC589</f>
        <v>0</v>
      </c>
      <c r="AE589" s="5">
        <f>+$AC589*BD589</f>
        <v>0</v>
      </c>
      <c r="AF589" s="5">
        <f>+$AC589*BE589</f>
        <v>0</v>
      </c>
      <c r="AG589" s="5">
        <f>+$AC589*BF589</f>
        <v>0</v>
      </c>
      <c r="AH589" s="5">
        <f>+$AC589*BG589</f>
        <v>0</v>
      </c>
      <c r="AI589" s="5">
        <f>+$AC589*BH589</f>
        <v>0</v>
      </c>
      <c r="AJ589" s="5">
        <f>+$AC589*BI589</f>
        <v>0</v>
      </c>
      <c r="AK589" s="5">
        <f>+$AC589*BJ589</f>
        <v>0</v>
      </c>
      <c r="AL589" s="5">
        <f>+$AC589*BK589</f>
        <v>0</v>
      </c>
      <c r="AM589" s="5">
        <f>+$AC589*BL589</f>
        <v>0</v>
      </c>
      <c r="AN589" s="5">
        <f>+$AC589*BM589</f>
        <v>0</v>
      </c>
      <c r="AO589" s="5">
        <f>+$AC589*BN589</f>
        <v>0</v>
      </c>
      <c r="AP589" s="5">
        <f>+AC589+P589+C589</f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2">
        <v>8.9181565948742242E-2</v>
      </c>
      <c r="BD589" s="2">
        <v>0.10665277883445198</v>
      </c>
      <c r="BE589" s="2">
        <v>9.438849084854764E-2</v>
      </c>
      <c r="BF589" s="2">
        <v>7.149564986855049E-2</v>
      </c>
      <c r="BG589" s="2">
        <v>0.10368571810536763</v>
      </c>
      <c r="BH589" s="2">
        <v>8.4970330952544637E-2</v>
      </c>
      <c r="BI589" s="2">
        <v>8.4593878877262704E-2</v>
      </c>
      <c r="BJ589" s="2">
        <v>5.7447105462779965E-2</v>
      </c>
      <c r="BK589" s="2">
        <v>8.5153852345557474E-2</v>
      </c>
      <c r="BL589" s="2">
        <v>7.4158058913035174E-2</v>
      </c>
      <c r="BM589" s="2">
        <v>7.5718189192107169E-2</v>
      </c>
      <c r="BN589" s="2">
        <v>7.3955559365675619E-2</v>
      </c>
    </row>
    <row r="590" spans="1:66" x14ac:dyDescent="0.25">
      <c r="A590" s="8">
        <v>3461</v>
      </c>
      <c r="B590" s="8" t="s">
        <v>406</v>
      </c>
      <c r="C590" s="5">
        <v>0</v>
      </c>
      <c r="D590" s="5">
        <f>+$C590*BC590</f>
        <v>0</v>
      </c>
      <c r="E590" s="5">
        <f>+$C590*BD590</f>
        <v>0</v>
      </c>
      <c r="F590" s="5">
        <f>+$C590*BE590</f>
        <v>0</v>
      </c>
      <c r="G590" s="5">
        <f>+$C590*BF590</f>
        <v>0</v>
      </c>
      <c r="H590" s="5">
        <f>+$C590*BG590</f>
        <v>0</v>
      </c>
      <c r="I590" s="5">
        <f>+$C590*BH590</f>
        <v>0</v>
      </c>
      <c r="J590" s="5">
        <f>+$C590*BI590</f>
        <v>0</v>
      </c>
      <c r="K590" s="5">
        <f>+$C590*BJ590</f>
        <v>0</v>
      </c>
      <c r="L590" s="5">
        <f>+$C590*BK590</f>
        <v>0</v>
      </c>
      <c r="M590" s="5">
        <f>+$C590*BL590</f>
        <v>0</v>
      </c>
      <c r="N590" s="5">
        <f>+$C590*BM590</f>
        <v>0</v>
      </c>
      <c r="O590" s="5">
        <f>+$C590*BN590</f>
        <v>0</v>
      </c>
      <c r="P590" s="5">
        <v>0</v>
      </c>
      <c r="Q590" s="5">
        <f>+$P590*BC590</f>
        <v>0</v>
      </c>
      <c r="R590" s="5">
        <f>+$P590*BD590</f>
        <v>0</v>
      </c>
      <c r="S590" s="5">
        <f>+$P590*BE590</f>
        <v>0</v>
      </c>
      <c r="T590" s="5">
        <f>+$P590*BF590</f>
        <v>0</v>
      </c>
      <c r="U590" s="5">
        <f>+$P590*BG590</f>
        <v>0</v>
      </c>
      <c r="V590" s="5">
        <f>+$P590*BH590</f>
        <v>0</v>
      </c>
      <c r="W590" s="5">
        <f>+$P590*BI590</f>
        <v>0</v>
      </c>
      <c r="X590" s="5">
        <f>+$P590*BJ590</f>
        <v>0</v>
      </c>
      <c r="Y590" s="5">
        <f>+$P590*BK590</f>
        <v>0</v>
      </c>
      <c r="Z590" s="5">
        <f>+$P590*BL590</f>
        <v>0</v>
      </c>
      <c r="AA590" s="5">
        <f>+$P590*BM590</f>
        <v>0</v>
      </c>
      <c r="AB590" s="5">
        <f>+$P590*BN590</f>
        <v>0</v>
      </c>
      <c r="AC590" s="5">
        <v>0</v>
      </c>
      <c r="AD590" s="5">
        <f>+$AC590*BC590</f>
        <v>0</v>
      </c>
      <c r="AE590" s="5">
        <f>+$AC590*BD590</f>
        <v>0</v>
      </c>
      <c r="AF590" s="5">
        <f>+$AC590*BE590</f>
        <v>0</v>
      </c>
      <c r="AG590" s="5">
        <f>+$AC590*BF590</f>
        <v>0</v>
      </c>
      <c r="AH590" s="5">
        <f>+$AC590*BG590</f>
        <v>0</v>
      </c>
      <c r="AI590" s="5">
        <f>+$AC590*BH590</f>
        <v>0</v>
      </c>
      <c r="AJ590" s="5">
        <f>+$AC590*BI590</f>
        <v>0</v>
      </c>
      <c r="AK590" s="5">
        <f>+$AC590*BJ590</f>
        <v>0</v>
      </c>
      <c r="AL590" s="5">
        <f>+$AC590*BK590</f>
        <v>0</v>
      </c>
      <c r="AM590" s="5">
        <f>+$AC590*BL590</f>
        <v>0</v>
      </c>
      <c r="AN590" s="5">
        <f>+$AC590*BM590</f>
        <v>0</v>
      </c>
      <c r="AO590" s="5">
        <f>+$AC590*BN590</f>
        <v>0</v>
      </c>
      <c r="AP590" s="5">
        <f>+AC590+P590+C590</f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2">
        <v>8.9181565948742242E-2</v>
      </c>
      <c r="BD590" s="2">
        <v>0.10665277883445198</v>
      </c>
      <c r="BE590" s="2">
        <v>9.438849084854764E-2</v>
      </c>
      <c r="BF590" s="2">
        <v>7.149564986855049E-2</v>
      </c>
      <c r="BG590" s="2">
        <v>0.10368571810536763</v>
      </c>
      <c r="BH590" s="2">
        <v>8.4970330952544637E-2</v>
      </c>
      <c r="BI590" s="2">
        <v>8.4593878877262704E-2</v>
      </c>
      <c r="BJ590" s="2">
        <v>5.7447105462779965E-2</v>
      </c>
      <c r="BK590" s="2">
        <v>8.5153852345557474E-2</v>
      </c>
      <c r="BL590" s="2">
        <v>7.4158058913035174E-2</v>
      </c>
      <c r="BM590" s="2">
        <v>7.5718189192107169E-2</v>
      </c>
      <c r="BN590" s="2">
        <v>7.3955559365675619E-2</v>
      </c>
    </row>
    <row r="591" spans="1:66" x14ac:dyDescent="0.25">
      <c r="A591" s="8">
        <v>3462</v>
      </c>
      <c r="B591" s="8" t="s">
        <v>405</v>
      </c>
      <c r="C591" s="5">
        <v>0</v>
      </c>
      <c r="D591" s="5">
        <f>+$C591*BC591</f>
        <v>0</v>
      </c>
      <c r="E591" s="5">
        <f>+$C591*BD591</f>
        <v>0</v>
      </c>
      <c r="F591" s="5">
        <f>+$C591*BE591</f>
        <v>0</v>
      </c>
      <c r="G591" s="5">
        <f>+$C591*BF591</f>
        <v>0</v>
      </c>
      <c r="H591" s="5">
        <f>+$C591*BG591</f>
        <v>0</v>
      </c>
      <c r="I591" s="5">
        <f>+$C591*BH591</f>
        <v>0</v>
      </c>
      <c r="J591" s="5">
        <f>+$C591*BI591</f>
        <v>0</v>
      </c>
      <c r="K591" s="5">
        <f>+$C591*BJ591</f>
        <v>0</v>
      </c>
      <c r="L591" s="5">
        <f>+$C591*BK591</f>
        <v>0</v>
      </c>
      <c r="M591" s="5">
        <f>+$C591*BL591</f>
        <v>0</v>
      </c>
      <c r="N591" s="5">
        <f>+$C591*BM591</f>
        <v>0</v>
      </c>
      <c r="O591" s="5">
        <f>+$C591*BN591</f>
        <v>0</v>
      </c>
      <c r="P591" s="5">
        <v>0</v>
      </c>
      <c r="Q591" s="5">
        <f>+$P591*BC591</f>
        <v>0</v>
      </c>
      <c r="R591" s="5">
        <f>+$P591*BD591</f>
        <v>0</v>
      </c>
      <c r="S591" s="5">
        <f>+$P591*BE591</f>
        <v>0</v>
      </c>
      <c r="T591" s="5">
        <f>+$P591*BF591</f>
        <v>0</v>
      </c>
      <c r="U591" s="5">
        <f>+$P591*BG591</f>
        <v>0</v>
      </c>
      <c r="V591" s="5">
        <f>+$P591*BH591</f>
        <v>0</v>
      </c>
      <c r="W591" s="5">
        <f>+$P591*BI591</f>
        <v>0</v>
      </c>
      <c r="X591" s="5">
        <f>+$P591*BJ591</f>
        <v>0</v>
      </c>
      <c r="Y591" s="5">
        <f>+$P591*BK591</f>
        <v>0</v>
      </c>
      <c r="Z591" s="5">
        <f>+$P591*BL591</f>
        <v>0</v>
      </c>
      <c r="AA591" s="5">
        <f>+$P591*BM591</f>
        <v>0</v>
      </c>
      <c r="AB591" s="5">
        <f>+$P591*BN591</f>
        <v>0</v>
      </c>
      <c r="AC591" s="5">
        <v>0</v>
      </c>
      <c r="AD591" s="5">
        <f>+$AC591*BC591</f>
        <v>0</v>
      </c>
      <c r="AE591" s="5">
        <f>+$AC591*BD591</f>
        <v>0</v>
      </c>
      <c r="AF591" s="5">
        <f>+$AC591*BE591</f>
        <v>0</v>
      </c>
      <c r="AG591" s="5">
        <f>+$AC591*BF591</f>
        <v>0</v>
      </c>
      <c r="AH591" s="5">
        <f>+$AC591*BG591</f>
        <v>0</v>
      </c>
      <c r="AI591" s="5">
        <f>+$AC591*BH591</f>
        <v>0</v>
      </c>
      <c r="AJ591" s="5">
        <f>+$AC591*BI591</f>
        <v>0</v>
      </c>
      <c r="AK591" s="5">
        <f>+$AC591*BJ591</f>
        <v>0</v>
      </c>
      <c r="AL591" s="5">
        <f>+$AC591*BK591</f>
        <v>0</v>
      </c>
      <c r="AM591" s="5">
        <f>+$AC591*BL591</f>
        <v>0</v>
      </c>
      <c r="AN591" s="5">
        <f>+$AC591*BM591</f>
        <v>0</v>
      </c>
      <c r="AO591" s="5">
        <f>+$AC591*BN591</f>
        <v>0</v>
      </c>
      <c r="AP591" s="5">
        <f>+AC591+P591+C591</f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2">
        <v>8.9181565948742242E-2</v>
      </c>
      <c r="BD591" s="2">
        <v>0.10665277883445198</v>
      </c>
      <c r="BE591" s="2">
        <v>9.438849084854764E-2</v>
      </c>
      <c r="BF591" s="2">
        <v>7.149564986855049E-2</v>
      </c>
      <c r="BG591" s="2">
        <v>0.10368571810536763</v>
      </c>
      <c r="BH591" s="2">
        <v>8.4970330952544637E-2</v>
      </c>
      <c r="BI591" s="2">
        <v>8.4593878877262704E-2</v>
      </c>
      <c r="BJ591" s="2">
        <v>5.7447105462779965E-2</v>
      </c>
      <c r="BK591" s="2">
        <v>8.5153852345557474E-2</v>
      </c>
      <c r="BL591" s="2">
        <v>7.4158058913035174E-2</v>
      </c>
      <c r="BM591" s="2">
        <v>7.5718189192107169E-2</v>
      </c>
      <c r="BN591" s="2">
        <v>7.3955559365675619E-2</v>
      </c>
    </row>
    <row r="592" spans="1:66" x14ac:dyDescent="0.25">
      <c r="A592" s="8">
        <v>3517</v>
      </c>
      <c r="B592" s="8" t="s">
        <v>404</v>
      </c>
      <c r="C592" s="5">
        <v>0</v>
      </c>
      <c r="D592" s="5">
        <f>+$C592*BC592</f>
        <v>0</v>
      </c>
      <c r="E592" s="5">
        <f>+$C592*BD592</f>
        <v>0</v>
      </c>
      <c r="F592" s="5">
        <f>+$C592*BE592</f>
        <v>0</v>
      </c>
      <c r="G592" s="5">
        <f>+$C592*BF592</f>
        <v>0</v>
      </c>
      <c r="H592" s="5">
        <f>+$C592*BG592</f>
        <v>0</v>
      </c>
      <c r="I592" s="5">
        <f>+$C592*BH592</f>
        <v>0</v>
      </c>
      <c r="J592" s="5">
        <f>+$C592*BI592</f>
        <v>0</v>
      </c>
      <c r="K592" s="5">
        <f>+$C592*BJ592</f>
        <v>0</v>
      </c>
      <c r="L592" s="5">
        <f>+$C592*BK592</f>
        <v>0</v>
      </c>
      <c r="M592" s="5">
        <f>+$C592*BL592</f>
        <v>0</v>
      </c>
      <c r="N592" s="5">
        <f>+$C592*BM592</f>
        <v>0</v>
      </c>
      <c r="O592" s="5">
        <f>+$C592*BN592</f>
        <v>0</v>
      </c>
      <c r="P592" s="5">
        <v>0</v>
      </c>
      <c r="Q592" s="5">
        <f>+$P592*BC592</f>
        <v>0</v>
      </c>
      <c r="R592" s="5">
        <f>+$P592*BD592</f>
        <v>0</v>
      </c>
      <c r="S592" s="5">
        <f>+$P592*BE592</f>
        <v>0</v>
      </c>
      <c r="T592" s="5">
        <f>+$P592*BF592</f>
        <v>0</v>
      </c>
      <c r="U592" s="5">
        <f>+$P592*BG592</f>
        <v>0</v>
      </c>
      <c r="V592" s="5">
        <f>+$P592*BH592</f>
        <v>0</v>
      </c>
      <c r="W592" s="5">
        <f>+$P592*BI592</f>
        <v>0</v>
      </c>
      <c r="X592" s="5">
        <f>+$P592*BJ592</f>
        <v>0</v>
      </c>
      <c r="Y592" s="5">
        <f>+$P592*BK592</f>
        <v>0</v>
      </c>
      <c r="Z592" s="5">
        <f>+$P592*BL592</f>
        <v>0</v>
      </c>
      <c r="AA592" s="5">
        <f>+$P592*BM592</f>
        <v>0</v>
      </c>
      <c r="AB592" s="5">
        <f>+$P592*BN592</f>
        <v>0</v>
      </c>
      <c r="AC592" s="5">
        <v>0</v>
      </c>
      <c r="AD592" s="5">
        <f>+$AC592*BC592</f>
        <v>0</v>
      </c>
      <c r="AE592" s="5">
        <f>+$AC592*BD592</f>
        <v>0</v>
      </c>
      <c r="AF592" s="5">
        <f>+$AC592*BE592</f>
        <v>0</v>
      </c>
      <c r="AG592" s="5">
        <f>+$AC592*BF592</f>
        <v>0</v>
      </c>
      <c r="AH592" s="5">
        <f>+$AC592*BG592</f>
        <v>0</v>
      </c>
      <c r="AI592" s="5">
        <f>+$AC592*BH592</f>
        <v>0</v>
      </c>
      <c r="AJ592" s="5">
        <f>+$AC592*BI592</f>
        <v>0</v>
      </c>
      <c r="AK592" s="5">
        <f>+$AC592*BJ592</f>
        <v>0</v>
      </c>
      <c r="AL592" s="5">
        <f>+$AC592*BK592</f>
        <v>0</v>
      </c>
      <c r="AM592" s="5">
        <f>+$AC592*BL592</f>
        <v>0</v>
      </c>
      <c r="AN592" s="5">
        <f>+$AC592*BM592</f>
        <v>0</v>
      </c>
      <c r="AO592" s="5">
        <f>+$AC592*BN592</f>
        <v>0</v>
      </c>
      <c r="AP592" s="5">
        <f>+AC592+P592+C592</f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2">
        <v>8.9181565948742242E-2</v>
      </c>
      <c r="BD592" s="2">
        <v>0.10665277883445198</v>
      </c>
      <c r="BE592" s="2">
        <v>9.438849084854764E-2</v>
      </c>
      <c r="BF592" s="2">
        <v>7.149564986855049E-2</v>
      </c>
      <c r="BG592" s="2">
        <v>0.10368571810536763</v>
      </c>
      <c r="BH592" s="2">
        <v>8.4970330952544637E-2</v>
      </c>
      <c r="BI592" s="2">
        <v>8.4593878877262704E-2</v>
      </c>
      <c r="BJ592" s="2">
        <v>5.7447105462779965E-2</v>
      </c>
      <c r="BK592" s="2">
        <v>8.5153852345557474E-2</v>
      </c>
      <c r="BL592" s="2">
        <v>7.4158058913035174E-2</v>
      </c>
      <c r="BM592" s="2">
        <v>7.5718189192107169E-2</v>
      </c>
      <c r="BN592" s="2">
        <v>7.3955559365675619E-2</v>
      </c>
    </row>
    <row r="593" spans="1:66" x14ac:dyDescent="0.25">
      <c r="A593" s="8">
        <v>3527</v>
      </c>
      <c r="B593" s="8" t="s">
        <v>403</v>
      </c>
      <c r="C593" s="5">
        <v>0</v>
      </c>
      <c r="D593" s="5">
        <f>+$C593*BC593</f>
        <v>0</v>
      </c>
      <c r="E593" s="5">
        <f>+$C593*BD593</f>
        <v>0</v>
      </c>
      <c r="F593" s="5">
        <f>+$C593*BE593</f>
        <v>0</v>
      </c>
      <c r="G593" s="5">
        <f>+$C593*BF593</f>
        <v>0</v>
      </c>
      <c r="H593" s="5">
        <f>+$C593*BG593</f>
        <v>0</v>
      </c>
      <c r="I593" s="5">
        <f>+$C593*BH593</f>
        <v>0</v>
      </c>
      <c r="J593" s="5">
        <f>+$C593*BI593</f>
        <v>0</v>
      </c>
      <c r="K593" s="5">
        <f>+$C593*BJ593</f>
        <v>0</v>
      </c>
      <c r="L593" s="5">
        <f>+$C593*BK593</f>
        <v>0</v>
      </c>
      <c r="M593" s="5">
        <f>+$C593*BL593</f>
        <v>0</v>
      </c>
      <c r="N593" s="5">
        <f>+$C593*BM593</f>
        <v>0</v>
      </c>
      <c r="O593" s="5">
        <f>+$C593*BN593</f>
        <v>0</v>
      </c>
      <c r="P593" s="5">
        <v>1500</v>
      </c>
      <c r="Q593" s="5">
        <f>+$P593*BC593</f>
        <v>133.77234892311336</v>
      </c>
      <c r="R593" s="5">
        <f>+$P593*BD593</f>
        <v>159.97916825167798</v>
      </c>
      <c r="S593" s="5">
        <f>+$P593*BE593</f>
        <v>141.58273627282145</v>
      </c>
      <c r="T593" s="5">
        <f>+$P593*BF593</f>
        <v>107.24347480282573</v>
      </c>
      <c r="U593" s="5">
        <f>+$P593*BG593</f>
        <v>155.52857715805143</v>
      </c>
      <c r="V593" s="5">
        <f>+$P593*BH593</f>
        <v>127.45549642881696</v>
      </c>
      <c r="W593" s="5">
        <f>+$P593*BI593</f>
        <v>126.89081831589405</v>
      </c>
      <c r="X593" s="5">
        <f>+$P593*BJ593</f>
        <v>86.170658194169945</v>
      </c>
      <c r="Y593" s="5">
        <f>+$P593*BK593</f>
        <v>127.73077851833621</v>
      </c>
      <c r="Z593" s="5">
        <f>+$P593*BL593</f>
        <v>111.23708836955277</v>
      </c>
      <c r="AA593" s="5">
        <f>+$P593*BM593</f>
        <v>113.57728378816076</v>
      </c>
      <c r="AB593" s="5">
        <f>+$P593*BN593</f>
        <v>110.93333904851343</v>
      </c>
      <c r="AC593" s="5">
        <v>0</v>
      </c>
      <c r="AD593" s="5">
        <f>+$AC593*BC593</f>
        <v>0</v>
      </c>
      <c r="AE593" s="5">
        <f>+$AC593*BD593</f>
        <v>0</v>
      </c>
      <c r="AF593" s="5">
        <f>+$AC593*BE593</f>
        <v>0</v>
      </c>
      <c r="AG593" s="5">
        <f>+$AC593*BF593</f>
        <v>0</v>
      </c>
      <c r="AH593" s="5">
        <f>+$AC593*BG593</f>
        <v>0</v>
      </c>
      <c r="AI593" s="5">
        <f>+$AC593*BH593</f>
        <v>0</v>
      </c>
      <c r="AJ593" s="5">
        <f>+$AC593*BI593</f>
        <v>0</v>
      </c>
      <c r="AK593" s="5">
        <f>+$AC593*BJ593</f>
        <v>0</v>
      </c>
      <c r="AL593" s="5">
        <f>+$AC593*BK593</f>
        <v>0</v>
      </c>
      <c r="AM593" s="5">
        <f>+$AC593*BL593</f>
        <v>0</v>
      </c>
      <c r="AN593" s="5">
        <f>+$AC593*BM593</f>
        <v>0</v>
      </c>
      <c r="AO593" s="5">
        <f>+$AC593*BN593</f>
        <v>0</v>
      </c>
      <c r="AP593" s="5">
        <f>+AC593+P593+C593</f>
        <v>1500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2">
        <v>8.9181565948742242E-2</v>
      </c>
      <c r="BD593" s="2">
        <v>0.10665277883445198</v>
      </c>
      <c r="BE593" s="2">
        <v>9.438849084854764E-2</v>
      </c>
      <c r="BF593" s="2">
        <v>7.149564986855049E-2</v>
      </c>
      <c r="BG593" s="2">
        <v>0.10368571810536763</v>
      </c>
      <c r="BH593" s="2">
        <v>8.4970330952544637E-2</v>
      </c>
      <c r="BI593" s="2">
        <v>8.4593878877262704E-2</v>
      </c>
      <c r="BJ593" s="2">
        <v>5.7447105462779965E-2</v>
      </c>
      <c r="BK593" s="2">
        <v>8.5153852345557474E-2</v>
      </c>
      <c r="BL593" s="2">
        <v>7.4158058913035174E-2</v>
      </c>
      <c r="BM593" s="2">
        <v>7.5718189192107169E-2</v>
      </c>
      <c r="BN593" s="2">
        <v>7.3955559365675619E-2</v>
      </c>
    </row>
    <row r="594" spans="1:66" x14ac:dyDescent="0.25">
      <c r="A594" s="8">
        <v>3550</v>
      </c>
      <c r="B594" s="8" t="s">
        <v>402</v>
      </c>
      <c r="C594" s="5">
        <v>0</v>
      </c>
      <c r="D594" s="5">
        <f>+$C594*BC594</f>
        <v>0</v>
      </c>
      <c r="E594" s="5">
        <f>+$C594*BD594</f>
        <v>0</v>
      </c>
      <c r="F594" s="5">
        <f>+$C594*BE594</f>
        <v>0</v>
      </c>
      <c r="G594" s="5">
        <f>+$C594*BF594</f>
        <v>0</v>
      </c>
      <c r="H594" s="5">
        <f>+$C594*BG594</f>
        <v>0</v>
      </c>
      <c r="I594" s="5">
        <f>+$C594*BH594</f>
        <v>0</v>
      </c>
      <c r="J594" s="5">
        <f>+$C594*BI594</f>
        <v>0</v>
      </c>
      <c r="K594" s="5">
        <f>+$C594*BJ594</f>
        <v>0</v>
      </c>
      <c r="L594" s="5">
        <f>+$C594*BK594</f>
        <v>0</v>
      </c>
      <c r="M594" s="5">
        <f>+$C594*BL594</f>
        <v>0</v>
      </c>
      <c r="N594" s="5">
        <f>+$C594*BM594</f>
        <v>0</v>
      </c>
      <c r="O594" s="5">
        <f>+$C594*BN594</f>
        <v>0</v>
      </c>
      <c r="P594" s="5">
        <v>0</v>
      </c>
      <c r="Q594" s="5">
        <f>+$P594*BC594</f>
        <v>0</v>
      </c>
      <c r="R594" s="5">
        <f>+$P594*BD594</f>
        <v>0</v>
      </c>
      <c r="S594" s="5">
        <f>+$P594*BE594</f>
        <v>0</v>
      </c>
      <c r="T594" s="5">
        <f>+$P594*BF594</f>
        <v>0</v>
      </c>
      <c r="U594" s="5">
        <f>+$P594*BG594</f>
        <v>0</v>
      </c>
      <c r="V594" s="5">
        <f>+$P594*BH594</f>
        <v>0</v>
      </c>
      <c r="W594" s="5">
        <f>+$P594*BI594</f>
        <v>0</v>
      </c>
      <c r="X594" s="5">
        <f>+$P594*BJ594</f>
        <v>0</v>
      </c>
      <c r="Y594" s="5">
        <f>+$P594*BK594</f>
        <v>0</v>
      </c>
      <c r="Z594" s="5">
        <f>+$P594*BL594</f>
        <v>0</v>
      </c>
      <c r="AA594" s="5">
        <f>+$P594*BM594</f>
        <v>0</v>
      </c>
      <c r="AB594" s="5">
        <f>+$P594*BN594</f>
        <v>0</v>
      </c>
      <c r="AC594" s="5">
        <v>0</v>
      </c>
      <c r="AD594" s="5">
        <f>+$AC594*BC594</f>
        <v>0</v>
      </c>
      <c r="AE594" s="5">
        <f>+$AC594*BD594</f>
        <v>0</v>
      </c>
      <c r="AF594" s="5">
        <f>+$AC594*BE594</f>
        <v>0</v>
      </c>
      <c r="AG594" s="5">
        <f>+$AC594*BF594</f>
        <v>0</v>
      </c>
      <c r="AH594" s="5">
        <f>+$AC594*BG594</f>
        <v>0</v>
      </c>
      <c r="AI594" s="5">
        <f>+$AC594*BH594</f>
        <v>0</v>
      </c>
      <c r="AJ594" s="5">
        <f>+$AC594*BI594</f>
        <v>0</v>
      </c>
      <c r="AK594" s="5">
        <f>+$AC594*BJ594</f>
        <v>0</v>
      </c>
      <c r="AL594" s="5">
        <f>+$AC594*BK594</f>
        <v>0</v>
      </c>
      <c r="AM594" s="5">
        <f>+$AC594*BL594</f>
        <v>0</v>
      </c>
      <c r="AN594" s="5">
        <f>+$AC594*BM594</f>
        <v>0</v>
      </c>
      <c r="AO594" s="5">
        <f>+$AC594*BN594</f>
        <v>0</v>
      </c>
      <c r="AP594" s="5">
        <f>+AC594+P594+C594</f>
        <v>0</v>
      </c>
      <c r="AQ594" s="1">
        <v>103.6825777535737</v>
      </c>
      <c r="AR594" s="1">
        <v>123.99462732571273</v>
      </c>
      <c r="AS594" s="1">
        <v>109.73615384901234</v>
      </c>
      <c r="AT594" s="1">
        <v>83.120914032826676</v>
      </c>
      <c r="AU594" s="1">
        <v>120.54511955501852</v>
      </c>
      <c r="AV594" s="1">
        <v>98.786591735759359</v>
      </c>
      <c r="AW594" s="1">
        <v>98.348928176584508</v>
      </c>
      <c r="AX594" s="1">
        <v>66.788062258133451</v>
      </c>
      <c r="AY594" s="1">
        <v>98.999953890797471</v>
      </c>
      <c r="AZ594" s="1">
        <v>86.216233450353613</v>
      </c>
      <c r="BA594" s="1">
        <v>88.03004247293299</v>
      </c>
      <c r="BB594" s="1">
        <v>85.980807274093848</v>
      </c>
      <c r="BC594" s="2">
        <v>8.9181565948742242E-2</v>
      </c>
      <c r="BD594" s="2">
        <v>0.10665277883445198</v>
      </c>
      <c r="BE594" s="2">
        <v>9.438849084854764E-2</v>
      </c>
      <c r="BF594" s="2">
        <v>7.149564986855049E-2</v>
      </c>
      <c r="BG594" s="2">
        <v>0.10368571810536763</v>
      </c>
      <c r="BH594" s="2">
        <v>8.4970330952544637E-2</v>
      </c>
      <c r="BI594" s="2">
        <v>8.4593878877262704E-2</v>
      </c>
      <c r="BJ594" s="2">
        <v>5.7447105462779965E-2</v>
      </c>
      <c r="BK594" s="2">
        <v>8.5153852345557474E-2</v>
      </c>
      <c r="BL594" s="2">
        <v>7.4158058913035174E-2</v>
      </c>
      <c r="BM594" s="2">
        <v>7.5718189192107169E-2</v>
      </c>
      <c r="BN594" s="2">
        <v>7.3955559365675619E-2</v>
      </c>
    </row>
    <row r="595" spans="1:66" x14ac:dyDescent="0.25">
      <c r="A595" s="8">
        <v>3601</v>
      </c>
      <c r="B595" s="8" t="s">
        <v>401</v>
      </c>
      <c r="C595" s="5">
        <v>0</v>
      </c>
      <c r="D595" s="5">
        <f>+$C595*BC595</f>
        <v>0</v>
      </c>
      <c r="E595" s="5">
        <f>+$C595*BD595</f>
        <v>0</v>
      </c>
      <c r="F595" s="5">
        <f>+$C595*BE595</f>
        <v>0</v>
      </c>
      <c r="G595" s="5">
        <f>+$C595*BF595</f>
        <v>0</v>
      </c>
      <c r="H595" s="5">
        <f>+$C595*BG595</f>
        <v>0</v>
      </c>
      <c r="I595" s="5">
        <f>+$C595*BH595</f>
        <v>0</v>
      </c>
      <c r="J595" s="5">
        <f>+$C595*BI595</f>
        <v>0</v>
      </c>
      <c r="K595" s="5">
        <f>+$C595*BJ595</f>
        <v>0</v>
      </c>
      <c r="L595" s="5">
        <f>+$C595*BK595</f>
        <v>0</v>
      </c>
      <c r="M595" s="5">
        <f>+$C595*BL595</f>
        <v>0</v>
      </c>
      <c r="N595" s="5">
        <f>+$C595*BM595</f>
        <v>0</v>
      </c>
      <c r="O595" s="5">
        <f>+$C595*BN595</f>
        <v>0</v>
      </c>
      <c r="P595" s="5">
        <v>0</v>
      </c>
      <c r="Q595" s="5">
        <f>+$P595*BC595</f>
        <v>0</v>
      </c>
      <c r="R595" s="5">
        <f>+$P595*BD595</f>
        <v>0</v>
      </c>
      <c r="S595" s="5">
        <f>+$P595*BE595</f>
        <v>0</v>
      </c>
      <c r="T595" s="5">
        <f>+$P595*BF595</f>
        <v>0</v>
      </c>
      <c r="U595" s="5">
        <f>+$P595*BG595</f>
        <v>0</v>
      </c>
      <c r="V595" s="5">
        <f>+$P595*BH595</f>
        <v>0</v>
      </c>
      <c r="W595" s="5">
        <f>+$P595*BI595</f>
        <v>0</v>
      </c>
      <c r="X595" s="5">
        <f>+$P595*BJ595</f>
        <v>0</v>
      </c>
      <c r="Y595" s="5">
        <f>+$P595*BK595</f>
        <v>0</v>
      </c>
      <c r="Z595" s="5">
        <f>+$P595*BL595</f>
        <v>0</v>
      </c>
      <c r="AA595" s="5">
        <f>+$P595*BM595</f>
        <v>0</v>
      </c>
      <c r="AB595" s="5">
        <f>+$P595*BN595</f>
        <v>0</v>
      </c>
      <c r="AC595" s="5">
        <v>0</v>
      </c>
      <c r="AD595" s="5">
        <f>+$AC595*BC595</f>
        <v>0</v>
      </c>
      <c r="AE595" s="5">
        <f>+$AC595*BD595</f>
        <v>0</v>
      </c>
      <c r="AF595" s="5">
        <f>+$AC595*BE595</f>
        <v>0</v>
      </c>
      <c r="AG595" s="5">
        <f>+$AC595*BF595</f>
        <v>0</v>
      </c>
      <c r="AH595" s="5">
        <f>+$AC595*BG595</f>
        <v>0</v>
      </c>
      <c r="AI595" s="5">
        <f>+$AC595*BH595</f>
        <v>0</v>
      </c>
      <c r="AJ595" s="5">
        <f>+$AC595*BI595</f>
        <v>0</v>
      </c>
      <c r="AK595" s="5">
        <f>+$AC595*BJ595</f>
        <v>0</v>
      </c>
      <c r="AL595" s="5">
        <f>+$AC595*BK595</f>
        <v>0</v>
      </c>
      <c r="AM595" s="5">
        <f>+$AC595*BL595</f>
        <v>0</v>
      </c>
      <c r="AN595" s="5">
        <f>+$AC595*BM595</f>
        <v>0</v>
      </c>
      <c r="AO595" s="5">
        <f>+$AC595*BN595</f>
        <v>0</v>
      </c>
      <c r="AP595" s="5">
        <f>+AC595+P595+C595</f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2">
        <v>8.9181565948742242E-2</v>
      </c>
      <c r="BD595" s="2">
        <v>0.10665277883445198</v>
      </c>
      <c r="BE595" s="2">
        <v>9.438849084854764E-2</v>
      </c>
      <c r="BF595" s="2">
        <v>7.149564986855049E-2</v>
      </c>
      <c r="BG595" s="2">
        <v>0.10368571810536763</v>
      </c>
      <c r="BH595" s="2">
        <v>8.4970330952544637E-2</v>
      </c>
      <c r="BI595" s="2">
        <v>8.4593878877262704E-2</v>
      </c>
      <c r="BJ595" s="2">
        <v>5.7447105462779965E-2</v>
      </c>
      <c r="BK595" s="2">
        <v>8.5153852345557474E-2</v>
      </c>
      <c r="BL595" s="2">
        <v>7.4158058913035174E-2</v>
      </c>
      <c r="BM595" s="2">
        <v>7.5718189192107169E-2</v>
      </c>
      <c r="BN595" s="2">
        <v>7.3955559365675619E-2</v>
      </c>
    </row>
    <row r="596" spans="1:66" x14ac:dyDescent="0.25">
      <c r="A596" s="8">
        <v>3636</v>
      </c>
      <c r="B596" s="8" t="s">
        <v>400</v>
      </c>
      <c r="C596" s="5">
        <v>0</v>
      </c>
      <c r="D596" s="5">
        <f>+$C596*BC596</f>
        <v>0</v>
      </c>
      <c r="E596" s="5">
        <f>+$C596*BD596</f>
        <v>0</v>
      </c>
      <c r="F596" s="5">
        <f>+$C596*BE596</f>
        <v>0</v>
      </c>
      <c r="G596" s="5">
        <f>+$C596*BF596</f>
        <v>0</v>
      </c>
      <c r="H596" s="5">
        <f>+$C596*BG596</f>
        <v>0</v>
      </c>
      <c r="I596" s="5">
        <f>+$C596*BH596</f>
        <v>0</v>
      </c>
      <c r="J596" s="5">
        <f>+$C596*BI596</f>
        <v>0</v>
      </c>
      <c r="K596" s="5">
        <f>+$C596*BJ596</f>
        <v>0</v>
      </c>
      <c r="L596" s="5">
        <f>+$C596*BK596</f>
        <v>0</v>
      </c>
      <c r="M596" s="5">
        <f>+$C596*BL596</f>
        <v>0</v>
      </c>
      <c r="N596" s="5">
        <f>+$C596*BM596</f>
        <v>0</v>
      </c>
      <c r="O596" s="5">
        <f>+$C596*BN596</f>
        <v>0</v>
      </c>
      <c r="P596" s="5">
        <v>0</v>
      </c>
      <c r="Q596" s="5">
        <f>+$P596*BC596</f>
        <v>0</v>
      </c>
      <c r="R596" s="5">
        <f>+$P596*BD596</f>
        <v>0</v>
      </c>
      <c r="S596" s="5">
        <f>+$P596*BE596</f>
        <v>0</v>
      </c>
      <c r="T596" s="5">
        <f>+$P596*BF596</f>
        <v>0</v>
      </c>
      <c r="U596" s="5">
        <f>+$P596*BG596</f>
        <v>0</v>
      </c>
      <c r="V596" s="5">
        <f>+$P596*BH596</f>
        <v>0</v>
      </c>
      <c r="W596" s="5">
        <f>+$P596*BI596</f>
        <v>0</v>
      </c>
      <c r="X596" s="5">
        <f>+$P596*BJ596</f>
        <v>0</v>
      </c>
      <c r="Y596" s="5">
        <f>+$P596*BK596</f>
        <v>0</v>
      </c>
      <c r="Z596" s="5">
        <f>+$P596*BL596</f>
        <v>0</v>
      </c>
      <c r="AA596" s="5">
        <f>+$P596*BM596</f>
        <v>0</v>
      </c>
      <c r="AB596" s="5">
        <f>+$P596*BN596</f>
        <v>0</v>
      </c>
      <c r="AC596" s="5">
        <v>0</v>
      </c>
      <c r="AD596" s="5">
        <f>+$AC596*BC596</f>
        <v>0</v>
      </c>
      <c r="AE596" s="5">
        <f>+$AC596*BD596</f>
        <v>0</v>
      </c>
      <c r="AF596" s="5">
        <f>+$AC596*BE596</f>
        <v>0</v>
      </c>
      <c r="AG596" s="5">
        <f>+$AC596*BF596</f>
        <v>0</v>
      </c>
      <c r="AH596" s="5">
        <f>+$AC596*BG596</f>
        <v>0</v>
      </c>
      <c r="AI596" s="5">
        <f>+$AC596*BH596</f>
        <v>0</v>
      </c>
      <c r="AJ596" s="5">
        <f>+$AC596*BI596</f>
        <v>0</v>
      </c>
      <c r="AK596" s="5">
        <f>+$AC596*BJ596</f>
        <v>0</v>
      </c>
      <c r="AL596" s="5">
        <f>+$AC596*BK596</f>
        <v>0</v>
      </c>
      <c r="AM596" s="5">
        <f>+$AC596*BL596</f>
        <v>0</v>
      </c>
      <c r="AN596" s="5">
        <f>+$AC596*BM596</f>
        <v>0</v>
      </c>
      <c r="AO596" s="5">
        <f>+$AC596*BN596</f>
        <v>0</v>
      </c>
      <c r="AP596" s="5">
        <f>+AC596+P596+C596</f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2">
        <v>8.9181565948742242E-2</v>
      </c>
      <c r="BD596" s="2">
        <v>0.10665277883445198</v>
      </c>
      <c r="BE596" s="2">
        <v>9.438849084854764E-2</v>
      </c>
      <c r="BF596" s="2">
        <v>7.149564986855049E-2</v>
      </c>
      <c r="BG596" s="2">
        <v>0.10368571810536763</v>
      </c>
      <c r="BH596" s="2">
        <v>8.4970330952544637E-2</v>
      </c>
      <c r="BI596" s="2">
        <v>8.4593878877262704E-2</v>
      </c>
      <c r="BJ596" s="2">
        <v>5.7447105462779965E-2</v>
      </c>
      <c r="BK596" s="2">
        <v>8.5153852345557474E-2</v>
      </c>
      <c r="BL596" s="2">
        <v>7.4158058913035174E-2</v>
      </c>
      <c r="BM596" s="2">
        <v>7.5718189192107169E-2</v>
      </c>
      <c r="BN596" s="2">
        <v>7.3955559365675619E-2</v>
      </c>
    </row>
    <row r="597" spans="1:66" x14ac:dyDescent="0.25">
      <c r="A597" s="8">
        <v>3664</v>
      </c>
      <c r="B597" s="8" t="s">
        <v>399</v>
      </c>
      <c r="C597" s="5">
        <v>0</v>
      </c>
      <c r="D597" s="5">
        <f>+$C597*BC597</f>
        <v>0</v>
      </c>
      <c r="E597" s="5">
        <f>+$C597*BD597</f>
        <v>0</v>
      </c>
      <c r="F597" s="5">
        <f>+$C597*BE597</f>
        <v>0</v>
      </c>
      <c r="G597" s="5">
        <f>+$C597*BF597</f>
        <v>0</v>
      </c>
      <c r="H597" s="5">
        <f>+$C597*BG597</f>
        <v>0</v>
      </c>
      <c r="I597" s="5">
        <f>+$C597*BH597</f>
        <v>0</v>
      </c>
      <c r="J597" s="5">
        <f>+$C597*BI597</f>
        <v>0</v>
      </c>
      <c r="K597" s="5">
        <f>+$C597*BJ597</f>
        <v>0</v>
      </c>
      <c r="L597" s="5">
        <f>+$C597*BK597</f>
        <v>0</v>
      </c>
      <c r="M597" s="5">
        <f>+$C597*BL597</f>
        <v>0</v>
      </c>
      <c r="N597" s="5">
        <f>+$C597*BM597</f>
        <v>0</v>
      </c>
      <c r="O597" s="5">
        <f>+$C597*BN597</f>
        <v>0</v>
      </c>
      <c r="P597" s="5">
        <v>0</v>
      </c>
      <c r="Q597" s="5">
        <f>+$P597*BC597</f>
        <v>0</v>
      </c>
      <c r="R597" s="5">
        <f>+$P597*BD597</f>
        <v>0</v>
      </c>
      <c r="S597" s="5">
        <f>+$P597*BE597</f>
        <v>0</v>
      </c>
      <c r="T597" s="5">
        <f>+$P597*BF597</f>
        <v>0</v>
      </c>
      <c r="U597" s="5">
        <f>+$P597*BG597</f>
        <v>0</v>
      </c>
      <c r="V597" s="5">
        <f>+$P597*BH597</f>
        <v>0</v>
      </c>
      <c r="W597" s="5">
        <f>+$P597*BI597</f>
        <v>0</v>
      </c>
      <c r="X597" s="5">
        <f>+$P597*BJ597</f>
        <v>0</v>
      </c>
      <c r="Y597" s="5">
        <f>+$P597*BK597</f>
        <v>0</v>
      </c>
      <c r="Z597" s="5">
        <f>+$P597*BL597</f>
        <v>0</v>
      </c>
      <c r="AA597" s="5">
        <f>+$P597*BM597</f>
        <v>0</v>
      </c>
      <c r="AB597" s="5">
        <f>+$P597*BN597</f>
        <v>0</v>
      </c>
      <c r="AC597" s="5">
        <v>0</v>
      </c>
      <c r="AD597" s="5">
        <f>+$AC597*BC597</f>
        <v>0</v>
      </c>
      <c r="AE597" s="5">
        <f>+$AC597*BD597</f>
        <v>0</v>
      </c>
      <c r="AF597" s="5">
        <f>+$AC597*BE597</f>
        <v>0</v>
      </c>
      <c r="AG597" s="5">
        <f>+$AC597*BF597</f>
        <v>0</v>
      </c>
      <c r="AH597" s="5">
        <f>+$AC597*BG597</f>
        <v>0</v>
      </c>
      <c r="AI597" s="5">
        <f>+$AC597*BH597</f>
        <v>0</v>
      </c>
      <c r="AJ597" s="5">
        <f>+$AC597*BI597</f>
        <v>0</v>
      </c>
      <c r="AK597" s="5">
        <f>+$AC597*BJ597</f>
        <v>0</v>
      </c>
      <c r="AL597" s="5">
        <f>+$AC597*BK597</f>
        <v>0</v>
      </c>
      <c r="AM597" s="5">
        <f>+$AC597*BL597</f>
        <v>0</v>
      </c>
      <c r="AN597" s="5">
        <f>+$AC597*BM597</f>
        <v>0</v>
      </c>
      <c r="AO597" s="5">
        <f>+$AC597*BN597</f>
        <v>0</v>
      </c>
      <c r="AP597" s="5">
        <f>+AC597+P597+C597</f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2">
        <v>8.9181565948742242E-2</v>
      </c>
      <c r="BD597" s="2">
        <v>0.10665277883445198</v>
      </c>
      <c r="BE597" s="2">
        <v>9.438849084854764E-2</v>
      </c>
      <c r="BF597" s="2">
        <v>7.149564986855049E-2</v>
      </c>
      <c r="BG597" s="2">
        <v>0.10368571810536763</v>
      </c>
      <c r="BH597" s="2">
        <v>8.4970330952544637E-2</v>
      </c>
      <c r="BI597" s="2">
        <v>8.4593878877262704E-2</v>
      </c>
      <c r="BJ597" s="2">
        <v>5.7447105462779965E-2</v>
      </c>
      <c r="BK597" s="2">
        <v>8.5153852345557474E-2</v>
      </c>
      <c r="BL597" s="2">
        <v>7.4158058913035174E-2</v>
      </c>
      <c r="BM597" s="2">
        <v>7.5718189192107169E-2</v>
      </c>
      <c r="BN597" s="2">
        <v>7.3955559365675619E-2</v>
      </c>
    </row>
    <row r="598" spans="1:66" x14ac:dyDescent="0.25">
      <c r="A598" s="8">
        <v>3691</v>
      </c>
      <c r="B598" s="8" t="s">
        <v>398</v>
      </c>
      <c r="C598" s="5">
        <v>0</v>
      </c>
      <c r="D598" s="5">
        <f>+$C598*BC598</f>
        <v>0</v>
      </c>
      <c r="E598" s="5">
        <f>+$C598*BD598</f>
        <v>0</v>
      </c>
      <c r="F598" s="5">
        <f>+$C598*BE598</f>
        <v>0</v>
      </c>
      <c r="G598" s="5">
        <f>+$C598*BF598</f>
        <v>0</v>
      </c>
      <c r="H598" s="5">
        <f>+$C598*BG598</f>
        <v>0</v>
      </c>
      <c r="I598" s="5">
        <f>+$C598*BH598</f>
        <v>0</v>
      </c>
      <c r="J598" s="5">
        <f>+$C598*BI598</f>
        <v>0</v>
      </c>
      <c r="K598" s="5">
        <f>+$C598*BJ598</f>
        <v>0</v>
      </c>
      <c r="L598" s="5">
        <f>+$C598*BK598</f>
        <v>0</v>
      </c>
      <c r="M598" s="5">
        <f>+$C598*BL598</f>
        <v>0</v>
      </c>
      <c r="N598" s="5">
        <f>+$C598*BM598</f>
        <v>0</v>
      </c>
      <c r="O598" s="5">
        <f>+$C598*BN598</f>
        <v>0</v>
      </c>
      <c r="P598" s="5">
        <v>0</v>
      </c>
      <c r="Q598" s="5">
        <f>+$P598*BC598</f>
        <v>0</v>
      </c>
      <c r="R598" s="5">
        <f>+$P598*BD598</f>
        <v>0</v>
      </c>
      <c r="S598" s="5">
        <f>+$P598*BE598</f>
        <v>0</v>
      </c>
      <c r="T598" s="5">
        <f>+$P598*BF598</f>
        <v>0</v>
      </c>
      <c r="U598" s="5">
        <f>+$P598*BG598</f>
        <v>0</v>
      </c>
      <c r="V598" s="5">
        <f>+$P598*BH598</f>
        <v>0</v>
      </c>
      <c r="W598" s="5">
        <f>+$P598*BI598</f>
        <v>0</v>
      </c>
      <c r="X598" s="5">
        <f>+$P598*BJ598</f>
        <v>0</v>
      </c>
      <c r="Y598" s="5">
        <f>+$P598*BK598</f>
        <v>0</v>
      </c>
      <c r="Z598" s="5">
        <f>+$P598*BL598</f>
        <v>0</v>
      </c>
      <c r="AA598" s="5">
        <f>+$P598*BM598</f>
        <v>0</v>
      </c>
      <c r="AB598" s="5">
        <f>+$P598*BN598</f>
        <v>0</v>
      </c>
      <c r="AC598" s="5">
        <v>0</v>
      </c>
      <c r="AD598" s="5">
        <f>+$AC598*BC598</f>
        <v>0</v>
      </c>
      <c r="AE598" s="5">
        <f>+$AC598*BD598</f>
        <v>0</v>
      </c>
      <c r="AF598" s="5">
        <f>+$AC598*BE598</f>
        <v>0</v>
      </c>
      <c r="AG598" s="5">
        <f>+$AC598*BF598</f>
        <v>0</v>
      </c>
      <c r="AH598" s="5">
        <f>+$AC598*BG598</f>
        <v>0</v>
      </c>
      <c r="AI598" s="5">
        <f>+$AC598*BH598</f>
        <v>0</v>
      </c>
      <c r="AJ598" s="5">
        <f>+$AC598*BI598</f>
        <v>0</v>
      </c>
      <c r="AK598" s="5">
        <f>+$AC598*BJ598</f>
        <v>0</v>
      </c>
      <c r="AL598" s="5">
        <f>+$AC598*BK598</f>
        <v>0</v>
      </c>
      <c r="AM598" s="5">
        <f>+$AC598*BL598</f>
        <v>0</v>
      </c>
      <c r="AN598" s="5">
        <f>+$AC598*BM598</f>
        <v>0</v>
      </c>
      <c r="AO598" s="5">
        <f>+$AC598*BN598</f>
        <v>0</v>
      </c>
      <c r="AP598" s="5">
        <f>+AC598+P598+C598</f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2">
        <v>8.9181565948742242E-2</v>
      </c>
      <c r="BD598" s="2">
        <v>0.10665277883445198</v>
      </c>
      <c r="BE598" s="2">
        <v>9.438849084854764E-2</v>
      </c>
      <c r="BF598" s="2">
        <v>7.149564986855049E-2</v>
      </c>
      <c r="BG598" s="2">
        <v>0.10368571810536763</v>
      </c>
      <c r="BH598" s="2">
        <v>8.4970330952544637E-2</v>
      </c>
      <c r="BI598" s="2">
        <v>8.4593878877262704E-2</v>
      </c>
      <c r="BJ598" s="2">
        <v>5.7447105462779965E-2</v>
      </c>
      <c r="BK598" s="2">
        <v>8.5153852345557474E-2</v>
      </c>
      <c r="BL598" s="2">
        <v>7.4158058913035174E-2</v>
      </c>
      <c r="BM598" s="2">
        <v>7.5718189192107169E-2</v>
      </c>
      <c r="BN598" s="2">
        <v>7.3955559365675619E-2</v>
      </c>
    </row>
    <row r="599" spans="1:66" x14ac:dyDescent="0.25">
      <c r="A599" s="8">
        <v>3698</v>
      </c>
      <c r="B599" s="8" t="s">
        <v>397</v>
      </c>
      <c r="C599" s="5">
        <v>0</v>
      </c>
      <c r="D599" s="5">
        <f>+$C599*BC599</f>
        <v>0</v>
      </c>
      <c r="E599" s="5">
        <f>+$C599*BD599</f>
        <v>0</v>
      </c>
      <c r="F599" s="5">
        <f>+$C599*BE599</f>
        <v>0</v>
      </c>
      <c r="G599" s="5">
        <f>+$C599*BF599</f>
        <v>0</v>
      </c>
      <c r="H599" s="5">
        <f>+$C599*BG599</f>
        <v>0</v>
      </c>
      <c r="I599" s="5">
        <f>+$C599*BH599</f>
        <v>0</v>
      </c>
      <c r="J599" s="5">
        <f>+$C599*BI599</f>
        <v>0</v>
      </c>
      <c r="K599" s="5">
        <f>+$C599*BJ599</f>
        <v>0</v>
      </c>
      <c r="L599" s="5">
        <f>+$C599*BK599</f>
        <v>0</v>
      </c>
      <c r="M599" s="5">
        <f>+$C599*BL599</f>
        <v>0</v>
      </c>
      <c r="N599" s="5">
        <f>+$C599*BM599</f>
        <v>0</v>
      </c>
      <c r="O599" s="5">
        <f>+$C599*BN599</f>
        <v>0</v>
      </c>
      <c r="P599" s="5">
        <v>0</v>
      </c>
      <c r="Q599" s="5">
        <f>+$P599*BC599</f>
        <v>0</v>
      </c>
      <c r="R599" s="5">
        <f>+$P599*BD599</f>
        <v>0</v>
      </c>
      <c r="S599" s="5">
        <f>+$P599*BE599</f>
        <v>0</v>
      </c>
      <c r="T599" s="5">
        <f>+$P599*BF599</f>
        <v>0</v>
      </c>
      <c r="U599" s="5">
        <f>+$P599*BG599</f>
        <v>0</v>
      </c>
      <c r="V599" s="5">
        <f>+$P599*BH599</f>
        <v>0</v>
      </c>
      <c r="W599" s="5">
        <f>+$P599*BI599</f>
        <v>0</v>
      </c>
      <c r="X599" s="5">
        <f>+$P599*BJ599</f>
        <v>0</v>
      </c>
      <c r="Y599" s="5">
        <f>+$P599*BK599</f>
        <v>0</v>
      </c>
      <c r="Z599" s="5">
        <f>+$P599*BL599</f>
        <v>0</v>
      </c>
      <c r="AA599" s="5">
        <f>+$P599*BM599</f>
        <v>0</v>
      </c>
      <c r="AB599" s="5">
        <f>+$P599*BN599</f>
        <v>0</v>
      </c>
      <c r="AC599" s="5">
        <v>0</v>
      </c>
      <c r="AD599" s="5">
        <f>+$AC599*BC599</f>
        <v>0</v>
      </c>
      <c r="AE599" s="5">
        <f>+$AC599*BD599</f>
        <v>0</v>
      </c>
      <c r="AF599" s="5">
        <f>+$AC599*BE599</f>
        <v>0</v>
      </c>
      <c r="AG599" s="5">
        <f>+$AC599*BF599</f>
        <v>0</v>
      </c>
      <c r="AH599" s="5">
        <f>+$AC599*BG599</f>
        <v>0</v>
      </c>
      <c r="AI599" s="5">
        <f>+$AC599*BH599</f>
        <v>0</v>
      </c>
      <c r="AJ599" s="5">
        <f>+$AC599*BI599</f>
        <v>0</v>
      </c>
      <c r="AK599" s="5">
        <f>+$AC599*BJ599</f>
        <v>0</v>
      </c>
      <c r="AL599" s="5">
        <f>+$AC599*BK599</f>
        <v>0</v>
      </c>
      <c r="AM599" s="5">
        <f>+$AC599*BL599</f>
        <v>0</v>
      </c>
      <c r="AN599" s="5">
        <f>+$AC599*BM599</f>
        <v>0</v>
      </c>
      <c r="AO599" s="5">
        <f>+$AC599*BN599</f>
        <v>0</v>
      </c>
      <c r="AP599" s="5">
        <f>+AC599+P599+C599</f>
        <v>0</v>
      </c>
      <c r="AQ599" s="1">
        <v>4.4144875144627414E-2</v>
      </c>
      <c r="AR599" s="1">
        <v>5.2793125523053736E-2</v>
      </c>
      <c r="AS599" s="1">
        <v>4.6722302970031084E-2</v>
      </c>
      <c r="AT599" s="1">
        <v>3.5390346684932496E-2</v>
      </c>
      <c r="AU599" s="1">
        <v>5.1324430462156984E-2</v>
      </c>
      <c r="AV599" s="1">
        <v>4.2060313821509598E-2</v>
      </c>
      <c r="AW599" s="1">
        <v>4.1873970044245042E-2</v>
      </c>
      <c r="AX599" s="1">
        <v>2.8436317204076085E-2</v>
      </c>
      <c r="AY599" s="1">
        <v>4.2151156911050952E-2</v>
      </c>
      <c r="AZ599" s="1">
        <v>3.6708239161952413E-2</v>
      </c>
      <c r="BA599" s="1">
        <v>3.7480503650093054E-2</v>
      </c>
      <c r="BB599" s="1">
        <v>3.6608001886009434E-2</v>
      </c>
      <c r="BC599" s="2">
        <v>8.9181565948742242E-2</v>
      </c>
      <c r="BD599" s="2">
        <v>0.10665277883445198</v>
      </c>
      <c r="BE599" s="2">
        <v>9.438849084854764E-2</v>
      </c>
      <c r="BF599" s="2">
        <v>7.149564986855049E-2</v>
      </c>
      <c r="BG599" s="2">
        <v>0.10368571810536763</v>
      </c>
      <c r="BH599" s="2">
        <v>8.4970330952544637E-2</v>
      </c>
      <c r="BI599" s="2">
        <v>8.4593878877262704E-2</v>
      </c>
      <c r="BJ599" s="2">
        <v>5.7447105462779965E-2</v>
      </c>
      <c r="BK599" s="2">
        <v>8.5153852345557474E-2</v>
      </c>
      <c r="BL599" s="2">
        <v>7.4158058913035174E-2</v>
      </c>
      <c r="BM599" s="2">
        <v>7.5718189192107169E-2</v>
      </c>
      <c r="BN599" s="2">
        <v>7.3955559365675619E-2</v>
      </c>
    </row>
    <row r="600" spans="1:66" x14ac:dyDescent="0.25">
      <c r="A600" s="8">
        <v>3711</v>
      </c>
      <c r="B600" s="8" t="s">
        <v>396</v>
      </c>
      <c r="C600" s="5">
        <v>0</v>
      </c>
      <c r="D600" s="5">
        <f>+$C600*BC600</f>
        <v>0</v>
      </c>
      <c r="E600" s="5">
        <f>+$C600*BD600</f>
        <v>0</v>
      </c>
      <c r="F600" s="5">
        <f>+$C600*BE600</f>
        <v>0</v>
      </c>
      <c r="G600" s="5">
        <f>+$C600*BF600</f>
        <v>0</v>
      </c>
      <c r="H600" s="5">
        <f>+$C600*BG600</f>
        <v>0</v>
      </c>
      <c r="I600" s="5">
        <f>+$C600*BH600</f>
        <v>0</v>
      </c>
      <c r="J600" s="5">
        <f>+$C600*BI600</f>
        <v>0</v>
      </c>
      <c r="K600" s="5">
        <f>+$C600*BJ600</f>
        <v>0</v>
      </c>
      <c r="L600" s="5">
        <f>+$C600*BK600</f>
        <v>0</v>
      </c>
      <c r="M600" s="5">
        <f>+$C600*BL600</f>
        <v>0</v>
      </c>
      <c r="N600" s="5">
        <f>+$C600*BM600</f>
        <v>0</v>
      </c>
      <c r="O600" s="5">
        <f>+$C600*BN600</f>
        <v>0</v>
      </c>
      <c r="P600" s="5">
        <v>5000</v>
      </c>
      <c r="Q600" s="5">
        <f>+$P600*BC600</f>
        <v>445.9078297437112</v>
      </c>
      <c r="R600" s="5">
        <f>+$P600*BD600</f>
        <v>533.26389417225994</v>
      </c>
      <c r="S600" s="5">
        <f>+$P600*BE600</f>
        <v>471.94245424273822</v>
      </c>
      <c r="T600" s="5">
        <f>+$P600*BF600</f>
        <v>357.47824934275246</v>
      </c>
      <c r="U600" s="5">
        <f>+$P600*BG600</f>
        <v>518.42859052683809</v>
      </c>
      <c r="V600" s="5">
        <f>+$P600*BH600</f>
        <v>424.85165476272317</v>
      </c>
      <c r="W600" s="5">
        <f>+$P600*BI600</f>
        <v>422.96939438631352</v>
      </c>
      <c r="X600" s="5">
        <f>+$P600*BJ600</f>
        <v>287.23552731389981</v>
      </c>
      <c r="Y600" s="5">
        <f>+$P600*BK600</f>
        <v>425.76926172778735</v>
      </c>
      <c r="Z600" s="5">
        <f>+$P600*BL600</f>
        <v>370.79029456517588</v>
      </c>
      <c r="AA600" s="5">
        <f>+$P600*BM600</f>
        <v>378.59094596053586</v>
      </c>
      <c r="AB600" s="5">
        <f>+$P600*BN600</f>
        <v>369.77779682837809</v>
      </c>
      <c r="AC600" s="5">
        <v>0</v>
      </c>
      <c r="AD600" s="5">
        <f>+$AC600*BC600</f>
        <v>0</v>
      </c>
      <c r="AE600" s="5">
        <f>+$AC600*BD600</f>
        <v>0</v>
      </c>
      <c r="AF600" s="5">
        <f>+$AC600*BE600</f>
        <v>0</v>
      </c>
      <c r="AG600" s="5">
        <f>+$AC600*BF600</f>
        <v>0</v>
      </c>
      <c r="AH600" s="5">
        <f>+$AC600*BG600</f>
        <v>0</v>
      </c>
      <c r="AI600" s="5">
        <f>+$AC600*BH600</f>
        <v>0</v>
      </c>
      <c r="AJ600" s="5">
        <f>+$AC600*BI600</f>
        <v>0</v>
      </c>
      <c r="AK600" s="5">
        <f>+$AC600*BJ600</f>
        <v>0</v>
      </c>
      <c r="AL600" s="5">
        <f>+$AC600*BK600</f>
        <v>0</v>
      </c>
      <c r="AM600" s="5">
        <f>+$AC600*BL600</f>
        <v>0</v>
      </c>
      <c r="AN600" s="5">
        <f>+$AC600*BM600</f>
        <v>0</v>
      </c>
      <c r="AO600" s="5">
        <f>+$AC600*BN600</f>
        <v>0</v>
      </c>
      <c r="AP600" s="5">
        <f>+AC600+P600+C600</f>
        <v>5000</v>
      </c>
      <c r="AQ600" s="1">
        <v>74.211459107020431</v>
      </c>
      <c r="AR600" s="1">
        <v>88.749936726522051</v>
      </c>
      <c r="AS600" s="1">
        <v>78.544344386219592</v>
      </c>
      <c r="AT600" s="1">
        <v>59.494318585965743</v>
      </c>
      <c r="AU600" s="1">
        <v>86.28092977848253</v>
      </c>
      <c r="AV600" s="1">
        <v>70.707126228519556</v>
      </c>
      <c r="AW600" s="1">
        <v>70.393865775046521</v>
      </c>
      <c r="AX600" s="1">
        <v>47.803976892692262</v>
      </c>
      <c r="AY600" s="1">
        <v>70.859841536979857</v>
      </c>
      <c r="AZ600" s="1">
        <v>61.709812985834184</v>
      </c>
      <c r="BA600" s="1">
        <v>63.008058236130879</v>
      </c>
      <c r="BB600" s="1">
        <v>61.541305214993955</v>
      </c>
      <c r="BC600" s="2">
        <v>8.9181565948742242E-2</v>
      </c>
      <c r="BD600" s="2">
        <v>0.10665277883445198</v>
      </c>
      <c r="BE600" s="2">
        <v>9.438849084854764E-2</v>
      </c>
      <c r="BF600" s="2">
        <v>7.149564986855049E-2</v>
      </c>
      <c r="BG600" s="2">
        <v>0.10368571810536763</v>
      </c>
      <c r="BH600" s="2">
        <v>8.4970330952544637E-2</v>
      </c>
      <c r="BI600" s="2">
        <v>8.4593878877262704E-2</v>
      </c>
      <c r="BJ600" s="2">
        <v>5.7447105462779965E-2</v>
      </c>
      <c r="BK600" s="2">
        <v>8.5153852345557474E-2</v>
      </c>
      <c r="BL600" s="2">
        <v>7.4158058913035174E-2</v>
      </c>
      <c r="BM600" s="2">
        <v>7.5718189192107169E-2</v>
      </c>
      <c r="BN600" s="2">
        <v>7.3955559365675619E-2</v>
      </c>
    </row>
    <row r="601" spans="1:66" x14ac:dyDescent="0.25">
      <c r="A601" s="8">
        <v>3714</v>
      </c>
      <c r="B601" s="8" t="s">
        <v>395</v>
      </c>
      <c r="C601" s="5">
        <v>0</v>
      </c>
      <c r="D601" s="5">
        <f>+$C601*BC601</f>
        <v>0</v>
      </c>
      <c r="E601" s="5">
        <f>+$C601*BD601</f>
        <v>0</v>
      </c>
      <c r="F601" s="5">
        <f>+$C601*BE601</f>
        <v>0</v>
      </c>
      <c r="G601" s="5">
        <f>+$C601*BF601</f>
        <v>0</v>
      </c>
      <c r="H601" s="5">
        <f>+$C601*BG601</f>
        <v>0</v>
      </c>
      <c r="I601" s="5">
        <f>+$C601*BH601</f>
        <v>0</v>
      </c>
      <c r="J601" s="5">
        <f>+$C601*BI601</f>
        <v>0</v>
      </c>
      <c r="K601" s="5">
        <f>+$C601*BJ601</f>
        <v>0</v>
      </c>
      <c r="L601" s="5">
        <f>+$C601*BK601</f>
        <v>0</v>
      </c>
      <c r="M601" s="5">
        <f>+$C601*BL601</f>
        <v>0</v>
      </c>
      <c r="N601" s="5">
        <f>+$C601*BM601</f>
        <v>0</v>
      </c>
      <c r="O601" s="5">
        <f>+$C601*BN601</f>
        <v>0</v>
      </c>
      <c r="P601" s="5">
        <v>0</v>
      </c>
      <c r="Q601" s="5">
        <f>+$P601*BC601</f>
        <v>0</v>
      </c>
      <c r="R601" s="5">
        <f>+$P601*BD601</f>
        <v>0</v>
      </c>
      <c r="S601" s="5">
        <f>+$P601*BE601</f>
        <v>0</v>
      </c>
      <c r="T601" s="5">
        <f>+$P601*BF601</f>
        <v>0</v>
      </c>
      <c r="U601" s="5">
        <f>+$P601*BG601</f>
        <v>0</v>
      </c>
      <c r="V601" s="5">
        <f>+$P601*BH601</f>
        <v>0</v>
      </c>
      <c r="W601" s="5">
        <f>+$P601*BI601</f>
        <v>0</v>
      </c>
      <c r="X601" s="5">
        <f>+$P601*BJ601</f>
        <v>0</v>
      </c>
      <c r="Y601" s="5">
        <f>+$P601*BK601</f>
        <v>0</v>
      </c>
      <c r="Z601" s="5">
        <f>+$P601*BL601</f>
        <v>0</v>
      </c>
      <c r="AA601" s="5">
        <f>+$P601*BM601</f>
        <v>0</v>
      </c>
      <c r="AB601" s="5">
        <f>+$P601*BN601</f>
        <v>0</v>
      </c>
      <c r="AC601" s="5">
        <v>0</v>
      </c>
      <c r="AD601" s="5">
        <f>+$AC601*BC601</f>
        <v>0</v>
      </c>
      <c r="AE601" s="5">
        <f>+$AC601*BD601</f>
        <v>0</v>
      </c>
      <c r="AF601" s="5">
        <f>+$AC601*BE601</f>
        <v>0</v>
      </c>
      <c r="AG601" s="5">
        <f>+$AC601*BF601</f>
        <v>0</v>
      </c>
      <c r="AH601" s="5">
        <f>+$AC601*BG601</f>
        <v>0</v>
      </c>
      <c r="AI601" s="5">
        <f>+$AC601*BH601</f>
        <v>0</v>
      </c>
      <c r="AJ601" s="5">
        <f>+$AC601*BI601</f>
        <v>0</v>
      </c>
      <c r="AK601" s="5">
        <f>+$AC601*BJ601</f>
        <v>0</v>
      </c>
      <c r="AL601" s="5">
        <f>+$AC601*BK601</f>
        <v>0</v>
      </c>
      <c r="AM601" s="5">
        <f>+$AC601*BL601</f>
        <v>0</v>
      </c>
      <c r="AN601" s="5">
        <f>+$AC601*BM601</f>
        <v>0</v>
      </c>
      <c r="AO601" s="5">
        <f>+$AC601*BN601</f>
        <v>0</v>
      </c>
      <c r="AP601" s="5">
        <f>+AC601+P601+C601</f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2">
        <v>8.9181565948742242E-2</v>
      </c>
      <c r="BD601" s="2">
        <v>0.10665277883445198</v>
      </c>
      <c r="BE601" s="2">
        <v>9.438849084854764E-2</v>
      </c>
      <c r="BF601" s="2">
        <v>7.149564986855049E-2</v>
      </c>
      <c r="BG601" s="2">
        <v>0.10368571810536763</v>
      </c>
      <c r="BH601" s="2">
        <v>8.4970330952544637E-2</v>
      </c>
      <c r="BI601" s="2">
        <v>8.4593878877262704E-2</v>
      </c>
      <c r="BJ601" s="2">
        <v>5.7447105462779965E-2</v>
      </c>
      <c r="BK601" s="2">
        <v>8.5153852345557474E-2</v>
      </c>
      <c r="BL601" s="2">
        <v>7.4158058913035174E-2</v>
      </c>
      <c r="BM601" s="2">
        <v>7.5718189192107169E-2</v>
      </c>
      <c r="BN601" s="2">
        <v>7.3955559365675619E-2</v>
      </c>
    </row>
    <row r="602" spans="1:66" x14ac:dyDescent="0.25">
      <c r="A602" s="8">
        <v>3724</v>
      </c>
      <c r="B602" s="8" t="s">
        <v>394</v>
      </c>
      <c r="C602" s="5">
        <v>0</v>
      </c>
      <c r="D602" s="5">
        <f>+$C602*BC602</f>
        <v>0</v>
      </c>
      <c r="E602" s="5">
        <f>+$C602*BD602</f>
        <v>0</v>
      </c>
      <c r="F602" s="5">
        <f>+$C602*BE602</f>
        <v>0</v>
      </c>
      <c r="G602" s="5">
        <f>+$C602*BF602</f>
        <v>0</v>
      </c>
      <c r="H602" s="5">
        <f>+$C602*BG602</f>
        <v>0</v>
      </c>
      <c r="I602" s="5">
        <f>+$C602*BH602</f>
        <v>0</v>
      </c>
      <c r="J602" s="5">
        <f>+$C602*BI602</f>
        <v>0</v>
      </c>
      <c r="K602" s="5">
        <f>+$C602*BJ602</f>
        <v>0</v>
      </c>
      <c r="L602" s="5">
        <f>+$C602*BK602</f>
        <v>0</v>
      </c>
      <c r="M602" s="5">
        <f>+$C602*BL602</f>
        <v>0</v>
      </c>
      <c r="N602" s="5">
        <f>+$C602*BM602</f>
        <v>0</v>
      </c>
      <c r="O602" s="5">
        <f>+$C602*BN602</f>
        <v>0</v>
      </c>
      <c r="P602" s="5">
        <v>8000</v>
      </c>
      <c r="Q602" s="5">
        <f>+$P602*BC602</f>
        <v>713.45252758993797</v>
      </c>
      <c r="R602" s="5">
        <f>+$P602*BD602</f>
        <v>853.22223067561583</v>
      </c>
      <c r="S602" s="5">
        <f>+$P602*BE602</f>
        <v>755.10792678838118</v>
      </c>
      <c r="T602" s="5">
        <f>+$P602*BF602</f>
        <v>571.96519894840389</v>
      </c>
      <c r="U602" s="5">
        <f>+$P602*BG602</f>
        <v>829.48574484294102</v>
      </c>
      <c r="V602" s="5">
        <f>+$P602*BH602</f>
        <v>679.76264762035714</v>
      </c>
      <c r="W602" s="5">
        <f>+$P602*BI602</f>
        <v>676.75103101810168</v>
      </c>
      <c r="X602" s="5">
        <f>+$P602*BJ602</f>
        <v>459.57684370223973</v>
      </c>
      <c r="Y602" s="5">
        <f>+$P602*BK602</f>
        <v>681.23081876445974</v>
      </c>
      <c r="Z602" s="5">
        <f>+$P602*BL602</f>
        <v>593.26447130428141</v>
      </c>
      <c r="AA602" s="5">
        <f>+$P602*BM602</f>
        <v>605.7455135368574</v>
      </c>
      <c r="AB602" s="5">
        <f>+$P602*BN602</f>
        <v>591.64447492540501</v>
      </c>
      <c r="AC602" s="5">
        <v>0</v>
      </c>
      <c r="AD602" s="5">
        <f>+$AC602*BC602</f>
        <v>0</v>
      </c>
      <c r="AE602" s="5">
        <f>+$AC602*BD602</f>
        <v>0</v>
      </c>
      <c r="AF602" s="5">
        <f>+$AC602*BE602</f>
        <v>0</v>
      </c>
      <c r="AG602" s="5">
        <f>+$AC602*BF602</f>
        <v>0</v>
      </c>
      <c r="AH602" s="5">
        <f>+$AC602*BG602</f>
        <v>0</v>
      </c>
      <c r="AI602" s="5">
        <f>+$AC602*BH602</f>
        <v>0</v>
      </c>
      <c r="AJ602" s="5">
        <f>+$AC602*BI602</f>
        <v>0</v>
      </c>
      <c r="AK602" s="5">
        <f>+$AC602*BJ602</f>
        <v>0</v>
      </c>
      <c r="AL602" s="5">
        <f>+$AC602*BK602</f>
        <v>0</v>
      </c>
      <c r="AM602" s="5">
        <f>+$AC602*BL602</f>
        <v>0</v>
      </c>
      <c r="AN602" s="5">
        <f>+$AC602*BM602</f>
        <v>0</v>
      </c>
      <c r="AO602" s="5">
        <f>+$AC602*BN602</f>
        <v>0</v>
      </c>
      <c r="AP602" s="5">
        <f>+AC602+P602+C602</f>
        <v>8000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2">
        <v>8.9181565948742242E-2</v>
      </c>
      <c r="BD602" s="2">
        <v>0.10665277883445198</v>
      </c>
      <c r="BE602" s="2">
        <v>9.438849084854764E-2</v>
      </c>
      <c r="BF602" s="2">
        <v>7.149564986855049E-2</v>
      </c>
      <c r="BG602" s="2">
        <v>0.10368571810536763</v>
      </c>
      <c r="BH602" s="2">
        <v>8.4970330952544637E-2</v>
      </c>
      <c r="BI602" s="2">
        <v>8.4593878877262704E-2</v>
      </c>
      <c r="BJ602" s="2">
        <v>5.7447105462779965E-2</v>
      </c>
      <c r="BK602" s="2">
        <v>8.5153852345557474E-2</v>
      </c>
      <c r="BL602" s="2">
        <v>7.4158058913035174E-2</v>
      </c>
      <c r="BM602" s="2">
        <v>7.5718189192107169E-2</v>
      </c>
      <c r="BN602" s="2">
        <v>7.3955559365675619E-2</v>
      </c>
    </row>
    <row r="603" spans="1:66" x14ac:dyDescent="0.25">
      <c r="A603" s="8">
        <v>3774</v>
      </c>
      <c r="B603" s="8" t="s">
        <v>393</v>
      </c>
      <c r="C603" s="5">
        <v>0</v>
      </c>
      <c r="D603" s="5">
        <f>+$C603*BC603</f>
        <v>0</v>
      </c>
      <c r="E603" s="5">
        <f>+$C603*BD603</f>
        <v>0</v>
      </c>
      <c r="F603" s="5">
        <f>+$C603*BE603</f>
        <v>0</v>
      </c>
      <c r="G603" s="5">
        <f>+$C603*BF603</f>
        <v>0</v>
      </c>
      <c r="H603" s="5">
        <f>+$C603*BG603</f>
        <v>0</v>
      </c>
      <c r="I603" s="5">
        <f>+$C603*BH603</f>
        <v>0</v>
      </c>
      <c r="J603" s="5">
        <f>+$C603*BI603</f>
        <v>0</v>
      </c>
      <c r="K603" s="5">
        <f>+$C603*BJ603</f>
        <v>0</v>
      </c>
      <c r="L603" s="5">
        <f>+$C603*BK603</f>
        <v>0</v>
      </c>
      <c r="M603" s="5">
        <f>+$C603*BL603</f>
        <v>0</v>
      </c>
      <c r="N603" s="5">
        <f>+$C603*BM603</f>
        <v>0</v>
      </c>
      <c r="O603" s="5">
        <f>+$C603*BN603</f>
        <v>0</v>
      </c>
      <c r="P603" s="5">
        <v>1000</v>
      </c>
      <c r="Q603" s="5">
        <f>+$P603*BC603</f>
        <v>89.181565948742247</v>
      </c>
      <c r="R603" s="5">
        <f>+$P603*BD603</f>
        <v>106.65277883445198</v>
      </c>
      <c r="S603" s="5">
        <f>+$P603*BE603</f>
        <v>94.388490848547647</v>
      </c>
      <c r="T603" s="5">
        <f>+$P603*BF603</f>
        <v>71.495649868550487</v>
      </c>
      <c r="U603" s="5">
        <f>+$P603*BG603</f>
        <v>103.68571810536763</v>
      </c>
      <c r="V603" s="5">
        <f>+$P603*BH603</f>
        <v>84.970330952544643</v>
      </c>
      <c r="W603" s="5">
        <f>+$P603*BI603</f>
        <v>84.593878877262711</v>
      </c>
      <c r="X603" s="5">
        <f>+$P603*BJ603</f>
        <v>57.447105462779966</v>
      </c>
      <c r="Y603" s="5">
        <f>+$P603*BK603</f>
        <v>85.153852345557468</v>
      </c>
      <c r="Z603" s="5">
        <f>+$P603*BL603</f>
        <v>74.158058913035177</v>
      </c>
      <c r="AA603" s="5">
        <f>+$P603*BM603</f>
        <v>75.718189192107175</v>
      </c>
      <c r="AB603" s="5">
        <f>+$P603*BN603</f>
        <v>73.955559365675626</v>
      </c>
      <c r="AC603" s="5">
        <v>0</v>
      </c>
      <c r="AD603" s="5">
        <f>+$AC603*BC603</f>
        <v>0</v>
      </c>
      <c r="AE603" s="5">
        <f>+$AC603*BD603</f>
        <v>0</v>
      </c>
      <c r="AF603" s="5">
        <f>+$AC603*BE603</f>
        <v>0</v>
      </c>
      <c r="AG603" s="5">
        <f>+$AC603*BF603</f>
        <v>0</v>
      </c>
      <c r="AH603" s="5">
        <f>+$AC603*BG603</f>
        <v>0</v>
      </c>
      <c r="AI603" s="5">
        <f>+$AC603*BH603</f>
        <v>0</v>
      </c>
      <c r="AJ603" s="5">
        <f>+$AC603*BI603</f>
        <v>0</v>
      </c>
      <c r="AK603" s="5">
        <f>+$AC603*BJ603</f>
        <v>0</v>
      </c>
      <c r="AL603" s="5">
        <f>+$AC603*BK603</f>
        <v>0</v>
      </c>
      <c r="AM603" s="5">
        <f>+$AC603*BL603</f>
        <v>0</v>
      </c>
      <c r="AN603" s="5">
        <f>+$AC603*BM603</f>
        <v>0</v>
      </c>
      <c r="AO603" s="5">
        <f>+$AC603*BN603</f>
        <v>0</v>
      </c>
      <c r="AP603" s="5">
        <f>+AC603+P603+C603</f>
        <v>1000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2">
        <v>8.9181565948742242E-2</v>
      </c>
      <c r="BD603" s="2">
        <v>0.10665277883445198</v>
      </c>
      <c r="BE603" s="2">
        <v>9.438849084854764E-2</v>
      </c>
      <c r="BF603" s="2">
        <v>7.149564986855049E-2</v>
      </c>
      <c r="BG603" s="2">
        <v>0.10368571810536763</v>
      </c>
      <c r="BH603" s="2">
        <v>8.4970330952544637E-2</v>
      </c>
      <c r="BI603" s="2">
        <v>8.4593878877262704E-2</v>
      </c>
      <c r="BJ603" s="2">
        <v>5.7447105462779965E-2</v>
      </c>
      <c r="BK603" s="2">
        <v>8.5153852345557474E-2</v>
      </c>
      <c r="BL603" s="2">
        <v>7.4158058913035174E-2</v>
      </c>
      <c r="BM603" s="2">
        <v>7.5718189192107169E-2</v>
      </c>
      <c r="BN603" s="2">
        <v>7.3955559365675619E-2</v>
      </c>
    </row>
    <row r="604" spans="1:66" x14ac:dyDescent="0.25">
      <c r="A604" s="8">
        <v>3799</v>
      </c>
      <c r="B604" s="8" t="s">
        <v>392</v>
      </c>
      <c r="C604" s="5">
        <v>0</v>
      </c>
      <c r="D604" s="5">
        <f>+$C604*BC604</f>
        <v>0</v>
      </c>
      <c r="E604" s="5">
        <f>+$C604*BD604</f>
        <v>0</v>
      </c>
      <c r="F604" s="5">
        <f>+$C604*BE604</f>
        <v>0</v>
      </c>
      <c r="G604" s="5">
        <f>+$C604*BF604</f>
        <v>0</v>
      </c>
      <c r="H604" s="5">
        <f>+$C604*BG604</f>
        <v>0</v>
      </c>
      <c r="I604" s="5">
        <f>+$C604*BH604</f>
        <v>0</v>
      </c>
      <c r="J604" s="5">
        <f>+$C604*BI604</f>
        <v>0</v>
      </c>
      <c r="K604" s="5">
        <f>+$C604*BJ604</f>
        <v>0</v>
      </c>
      <c r="L604" s="5">
        <f>+$C604*BK604</f>
        <v>0</v>
      </c>
      <c r="M604" s="5">
        <f>+$C604*BL604</f>
        <v>0</v>
      </c>
      <c r="N604" s="5">
        <f>+$C604*BM604</f>
        <v>0</v>
      </c>
      <c r="O604" s="5">
        <f>+$C604*BN604</f>
        <v>0</v>
      </c>
      <c r="P604" s="5">
        <v>500</v>
      </c>
      <c r="Q604" s="5">
        <f>+$P604*BC604</f>
        <v>44.590782974371123</v>
      </c>
      <c r="R604" s="5">
        <f>+$P604*BD604</f>
        <v>53.32638941722599</v>
      </c>
      <c r="S604" s="5">
        <f>+$P604*BE604</f>
        <v>47.194245424273824</v>
      </c>
      <c r="T604" s="5">
        <f>+$P604*BF604</f>
        <v>35.747824934275243</v>
      </c>
      <c r="U604" s="5">
        <f>+$P604*BG604</f>
        <v>51.842859052683814</v>
      </c>
      <c r="V604" s="5">
        <f>+$P604*BH604</f>
        <v>42.485165476272321</v>
      </c>
      <c r="W604" s="5">
        <f>+$P604*BI604</f>
        <v>42.296939438631355</v>
      </c>
      <c r="X604" s="5">
        <f>+$P604*BJ604</f>
        <v>28.723552731389983</v>
      </c>
      <c r="Y604" s="5">
        <f>+$P604*BK604</f>
        <v>42.576926172778734</v>
      </c>
      <c r="Z604" s="5">
        <f>+$P604*BL604</f>
        <v>37.079029456517588</v>
      </c>
      <c r="AA604" s="5">
        <f>+$P604*BM604</f>
        <v>37.859094596053588</v>
      </c>
      <c r="AB604" s="5">
        <f>+$P604*BN604</f>
        <v>36.977779682837813</v>
      </c>
      <c r="AC604" s="5">
        <v>0</v>
      </c>
      <c r="AD604" s="5">
        <f>+$AC604*BC604</f>
        <v>0</v>
      </c>
      <c r="AE604" s="5">
        <f>+$AC604*BD604</f>
        <v>0</v>
      </c>
      <c r="AF604" s="5">
        <f>+$AC604*BE604</f>
        <v>0</v>
      </c>
      <c r="AG604" s="5">
        <f>+$AC604*BF604</f>
        <v>0</v>
      </c>
      <c r="AH604" s="5">
        <f>+$AC604*BG604</f>
        <v>0</v>
      </c>
      <c r="AI604" s="5">
        <f>+$AC604*BH604</f>
        <v>0</v>
      </c>
      <c r="AJ604" s="5">
        <f>+$AC604*BI604</f>
        <v>0</v>
      </c>
      <c r="AK604" s="5">
        <f>+$AC604*BJ604</f>
        <v>0</v>
      </c>
      <c r="AL604" s="5">
        <f>+$AC604*BK604</f>
        <v>0</v>
      </c>
      <c r="AM604" s="5">
        <f>+$AC604*BL604</f>
        <v>0</v>
      </c>
      <c r="AN604" s="5">
        <f>+$AC604*BM604</f>
        <v>0</v>
      </c>
      <c r="AO604" s="5">
        <f>+$AC604*BN604</f>
        <v>0</v>
      </c>
      <c r="AP604" s="5">
        <f>+AC604+P604+C604</f>
        <v>500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2">
        <v>8.9181565948742242E-2</v>
      </c>
      <c r="BD604" s="2">
        <v>0.10665277883445198</v>
      </c>
      <c r="BE604" s="2">
        <v>9.438849084854764E-2</v>
      </c>
      <c r="BF604" s="2">
        <v>7.149564986855049E-2</v>
      </c>
      <c r="BG604" s="2">
        <v>0.10368571810536763</v>
      </c>
      <c r="BH604" s="2">
        <v>8.4970330952544637E-2</v>
      </c>
      <c r="BI604" s="2">
        <v>8.4593878877262704E-2</v>
      </c>
      <c r="BJ604" s="2">
        <v>5.7447105462779965E-2</v>
      </c>
      <c r="BK604" s="2">
        <v>8.5153852345557474E-2</v>
      </c>
      <c r="BL604" s="2">
        <v>7.4158058913035174E-2</v>
      </c>
      <c r="BM604" s="2">
        <v>7.5718189192107169E-2</v>
      </c>
      <c r="BN604" s="2">
        <v>7.3955559365675619E-2</v>
      </c>
    </row>
    <row r="605" spans="1:66" x14ac:dyDescent="0.25">
      <c r="A605" s="8">
        <v>3800</v>
      </c>
      <c r="B605" s="8" t="s">
        <v>391</v>
      </c>
      <c r="C605" s="5">
        <v>0</v>
      </c>
      <c r="D605" s="5">
        <f>+$C605*BC605</f>
        <v>0</v>
      </c>
      <c r="E605" s="5">
        <f>+$C605*BD605</f>
        <v>0</v>
      </c>
      <c r="F605" s="5">
        <f>+$C605*BE605</f>
        <v>0</v>
      </c>
      <c r="G605" s="5">
        <f>+$C605*BF605</f>
        <v>0</v>
      </c>
      <c r="H605" s="5">
        <f>+$C605*BG605</f>
        <v>0</v>
      </c>
      <c r="I605" s="5">
        <f>+$C605*BH605</f>
        <v>0</v>
      </c>
      <c r="J605" s="5">
        <f>+$C605*BI605</f>
        <v>0</v>
      </c>
      <c r="K605" s="5">
        <f>+$C605*BJ605</f>
        <v>0</v>
      </c>
      <c r="L605" s="5">
        <f>+$C605*BK605</f>
        <v>0</v>
      </c>
      <c r="M605" s="5">
        <f>+$C605*BL605</f>
        <v>0</v>
      </c>
      <c r="N605" s="5">
        <f>+$C605*BM605</f>
        <v>0</v>
      </c>
      <c r="O605" s="5">
        <f>+$C605*BN605</f>
        <v>0</v>
      </c>
      <c r="P605" s="5">
        <v>0</v>
      </c>
      <c r="Q605" s="5">
        <f>+$P605*BC605</f>
        <v>0</v>
      </c>
      <c r="R605" s="5">
        <f>+$P605*BD605</f>
        <v>0</v>
      </c>
      <c r="S605" s="5">
        <f>+$P605*BE605</f>
        <v>0</v>
      </c>
      <c r="T605" s="5">
        <f>+$P605*BF605</f>
        <v>0</v>
      </c>
      <c r="U605" s="5">
        <f>+$P605*BG605</f>
        <v>0</v>
      </c>
      <c r="V605" s="5">
        <f>+$P605*BH605</f>
        <v>0</v>
      </c>
      <c r="W605" s="5">
        <f>+$P605*BI605</f>
        <v>0</v>
      </c>
      <c r="X605" s="5">
        <f>+$P605*BJ605</f>
        <v>0</v>
      </c>
      <c r="Y605" s="5">
        <f>+$P605*BK605</f>
        <v>0</v>
      </c>
      <c r="Z605" s="5">
        <f>+$P605*BL605</f>
        <v>0</v>
      </c>
      <c r="AA605" s="5">
        <f>+$P605*BM605</f>
        <v>0</v>
      </c>
      <c r="AB605" s="5">
        <f>+$P605*BN605</f>
        <v>0</v>
      </c>
      <c r="AC605" s="5">
        <v>0</v>
      </c>
      <c r="AD605" s="5">
        <f>+$AC605*BC605</f>
        <v>0</v>
      </c>
      <c r="AE605" s="5">
        <f>+$AC605*BD605</f>
        <v>0</v>
      </c>
      <c r="AF605" s="5">
        <f>+$AC605*BE605</f>
        <v>0</v>
      </c>
      <c r="AG605" s="5">
        <f>+$AC605*BF605</f>
        <v>0</v>
      </c>
      <c r="AH605" s="5">
        <f>+$AC605*BG605</f>
        <v>0</v>
      </c>
      <c r="AI605" s="5">
        <f>+$AC605*BH605</f>
        <v>0</v>
      </c>
      <c r="AJ605" s="5">
        <f>+$AC605*BI605</f>
        <v>0</v>
      </c>
      <c r="AK605" s="5">
        <f>+$AC605*BJ605</f>
        <v>0</v>
      </c>
      <c r="AL605" s="5">
        <f>+$AC605*BK605</f>
        <v>0</v>
      </c>
      <c r="AM605" s="5">
        <f>+$AC605*BL605</f>
        <v>0</v>
      </c>
      <c r="AN605" s="5">
        <f>+$AC605*BM605</f>
        <v>0</v>
      </c>
      <c r="AO605" s="5">
        <f>+$AC605*BN605</f>
        <v>0</v>
      </c>
      <c r="AP605" s="5">
        <f>+AC605+P605+C605</f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2">
        <v>8.9181565948742242E-2</v>
      </c>
      <c r="BD605" s="2">
        <v>0.10665277883445198</v>
      </c>
      <c r="BE605" s="2">
        <v>9.438849084854764E-2</v>
      </c>
      <c r="BF605" s="2">
        <v>7.149564986855049E-2</v>
      </c>
      <c r="BG605" s="2">
        <v>0.10368571810536763</v>
      </c>
      <c r="BH605" s="2">
        <v>8.4970330952544637E-2</v>
      </c>
      <c r="BI605" s="2">
        <v>8.4593878877262704E-2</v>
      </c>
      <c r="BJ605" s="2">
        <v>5.7447105462779965E-2</v>
      </c>
      <c r="BK605" s="2">
        <v>8.5153852345557474E-2</v>
      </c>
      <c r="BL605" s="2">
        <v>7.4158058913035174E-2</v>
      </c>
      <c r="BM605" s="2">
        <v>7.5718189192107169E-2</v>
      </c>
      <c r="BN605" s="2">
        <v>7.3955559365675619E-2</v>
      </c>
    </row>
    <row r="606" spans="1:66" x14ac:dyDescent="0.25">
      <c r="A606" s="8">
        <v>3823</v>
      </c>
      <c r="B606" s="8" t="s">
        <v>390</v>
      </c>
      <c r="C606" s="5">
        <v>0</v>
      </c>
      <c r="D606" s="5">
        <f>+$C606*BC606</f>
        <v>0</v>
      </c>
      <c r="E606" s="5">
        <f>+$C606*BD606</f>
        <v>0</v>
      </c>
      <c r="F606" s="5">
        <f>+$C606*BE606</f>
        <v>0</v>
      </c>
      <c r="G606" s="5">
        <f>+$C606*BF606</f>
        <v>0</v>
      </c>
      <c r="H606" s="5">
        <f>+$C606*BG606</f>
        <v>0</v>
      </c>
      <c r="I606" s="5">
        <f>+$C606*BH606</f>
        <v>0</v>
      </c>
      <c r="J606" s="5">
        <f>+$C606*BI606</f>
        <v>0</v>
      </c>
      <c r="K606" s="5">
        <f>+$C606*BJ606</f>
        <v>0</v>
      </c>
      <c r="L606" s="5">
        <f>+$C606*BK606</f>
        <v>0</v>
      </c>
      <c r="M606" s="5">
        <f>+$C606*BL606</f>
        <v>0</v>
      </c>
      <c r="N606" s="5">
        <f>+$C606*BM606</f>
        <v>0</v>
      </c>
      <c r="O606" s="5">
        <f>+$C606*BN606</f>
        <v>0</v>
      </c>
      <c r="P606" s="5">
        <v>0</v>
      </c>
      <c r="Q606" s="5">
        <f>+$P606*BC606</f>
        <v>0</v>
      </c>
      <c r="R606" s="5">
        <f>+$P606*BD606</f>
        <v>0</v>
      </c>
      <c r="S606" s="5">
        <f>+$P606*BE606</f>
        <v>0</v>
      </c>
      <c r="T606" s="5">
        <f>+$P606*BF606</f>
        <v>0</v>
      </c>
      <c r="U606" s="5">
        <f>+$P606*BG606</f>
        <v>0</v>
      </c>
      <c r="V606" s="5">
        <f>+$P606*BH606</f>
        <v>0</v>
      </c>
      <c r="W606" s="5">
        <f>+$P606*BI606</f>
        <v>0</v>
      </c>
      <c r="X606" s="5">
        <f>+$P606*BJ606</f>
        <v>0</v>
      </c>
      <c r="Y606" s="5">
        <f>+$P606*BK606</f>
        <v>0</v>
      </c>
      <c r="Z606" s="5">
        <f>+$P606*BL606</f>
        <v>0</v>
      </c>
      <c r="AA606" s="5">
        <f>+$P606*BM606</f>
        <v>0</v>
      </c>
      <c r="AB606" s="5">
        <f>+$P606*BN606</f>
        <v>0</v>
      </c>
      <c r="AC606" s="5">
        <v>0</v>
      </c>
      <c r="AD606" s="5">
        <f>+$AC606*BC606</f>
        <v>0</v>
      </c>
      <c r="AE606" s="5">
        <f>+$AC606*BD606</f>
        <v>0</v>
      </c>
      <c r="AF606" s="5">
        <f>+$AC606*BE606</f>
        <v>0</v>
      </c>
      <c r="AG606" s="5">
        <f>+$AC606*BF606</f>
        <v>0</v>
      </c>
      <c r="AH606" s="5">
        <f>+$AC606*BG606</f>
        <v>0</v>
      </c>
      <c r="AI606" s="5">
        <f>+$AC606*BH606</f>
        <v>0</v>
      </c>
      <c r="AJ606" s="5">
        <f>+$AC606*BI606</f>
        <v>0</v>
      </c>
      <c r="AK606" s="5">
        <f>+$AC606*BJ606</f>
        <v>0</v>
      </c>
      <c r="AL606" s="5">
        <f>+$AC606*BK606</f>
        <v>0</v>
      </c>
      <c r="AM606" s="5">
        <f>+$AC606*BL606</f>
        <v>0</v>
      </c>
      <c r="AN606" s="5">
        <f>+$AC606*BM606</f>
        <v>0</v>
      </c>
      <c r="AO606" s="5">
        <f>+$AC606*BN606</f>
        <v>0</v>
      </c>
      <c r="AP606" s="5">
        <f>+AC606+P606+C606</f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2">
        <v>8.9181565948742242E-2</v>
      </c>
      <c r="BD606" s="2">
        <v>0.10665277883445198</v>
      </c>
      <c r="BE606" s="2">
        <v>9.438849084854764E-2</v>
      </c>
      <c r="BF606" s="2">
        <v>7.149564986855049E-2</v>
      </c>
      <c r="BG606" s="2">
        <v>0.10368571810536763</v>
      </c>
      <c r="BH606" s="2">
        <v>8.4970330952544637E-2</v>
      </c>
      <c r="BI606" s="2">
        <v>8.4593878877262704E-2</v>
      </c>
      <c r="BJ606" s="2">
        <v>5.7447105462779965E-2</v>
      </c>
      <c r="BK606" s="2">
        <v>8.5153852345557474E-2</v>
      </c>
      <c r="BL606" s="2">
        <v>7.4158058913035174E-2</v>
      </c>
      <c r="BM606" s="2">
        <v>7.5718189192107169E-2</v>
      </c>
      <c r="BN606" s="2">
        <v>7.3955559365675619E-2</v>
      </c>
    </row>
    <row r="607" spans="1:66" x14ac:dyDescent="0.25">
      <c r="A607" s="8">
        <v>3826</v>
      </c>
      <c r="B607" s="8" t="s">
        <v>389</v>
      </c>
      <c r="C607" s="5">
        <v>0</v>
      </c>
      <c r="D607" s="5">
        <f>+$C607*BC607</f>
        <v>0</v>
      </c>
      <c r="E607" s="5">
        <f>+$C607*BD607</f>
        <v>0</v>
      </c>
      <c r="F607" s="5">
        <f>+$C607*BE607</f>
        <v>0</v>
      </c>
      <c r="G607" s="5">
        <f>+$C607*BF607</f>
        <v>0</v>
      </c>
      <c r="H607" s="5">
        <f>+$C607*BG607</f>
        <v>0</v>
      </c>
      <c r="I607" s="5">
        <f>+$C607*BH607</f>
        <v>0</v>
      </c>
      <c r="J607" s="5">
        <f>+$C607*BI607</f>
        <v>0</v>
      </c>
      <c r="K607" s="5">
        <f>+$C607*BJ607</f>
        <v>0</v>
      </c>
      <c r="L607" s="5">
        <f>+$C607*BK607</f>
        <v>0</v>
      </c>
      <c r="M607" s="5">
        <f>+$C607*BL607</f>
        <v>0</v>
      </c>
      <c r="N607" s="5">
        <f>+$C607*BM607</f>
        <v>0</v>
      </c>
      <c r="O607" s="5">
        <f>+$C607*BN607</f>
        <v>0</v>
      </c>
      <c r="P607" s="5">
        <v>0</v>
      </c>
      <c r="Q607" s="5">
        <f>+$P607*BC607</f>
        <v>0</v>
      </c>
      <c r="R607" s="5">
        <f>+$P607*BD607</f>
        <v>0</v>
      </c>
      <c r="S607" s="5">
        <f>+$P607*BE607</f>
        <v>0</v>
      </c>
      <c r="T607" s="5">
        <f>+$P607*BF607</f>
        <v>0</v>
      </c>
      <c r="U607" s="5">
        <f>+$P607*BG607</f>
        <v>0</v>
      </c>
      <c r="V607" s="5">
        <f>+$P607*BH607</f>
        <v>0</v>
      </c>
      <c r="W607" s="5">
        <f>+$P607*BI607</f>
        <v>0</v>
      </c>
      <c r="X607" s="5">
        <f>+$P607*BJ607</f>
        <v>0</v>
      </c>
      <c r="Y607" s="5">
        <f>+$P607*BK607</f>
        <v>0</v>
      </c>
      <c r="Z607" s="5">
        <f>+$P607*BL607</f>
        <v>0</v>
      </c>
      <c r="AA607" s="5">
        <f>+$P607*BM607</f>
        <v>0</v>
      </c>
      <c r="AB607" s="5">
        <f>+$P607*BN607</f>
        <v>0</v>
      </c>
      <c r="AC607" s="5">
        <v>0</v>
      </c>
      <c r="AD607" s="5">
        <f>+$AC607*BC607</f>
        <v>0</v>
      </c>
      <c r="AE607" s="5">
        <f>+$AC607*BD607</f>
        <v>0</v>
      </c>
      <c r="AF607" s="5">
        <f>+$AC607*BE607</f>
        <v>0</v>
      </c>
      <c r="AG607" s="5">
        <f>+$AC607*BF607</f>
        <v>0</v>
      </c>
      <c r="AH607" s="5">
        <f>+$AC607*BG607</f>
        <v>0</v>
      </c>
      <c r="AI607" s="5">
        <f>+$AC607*BH607</f>
        <v>0</v>
      </c>
      <c r="AJ607" s="5">
        <f>+$AC607*BI607</f>
        <v>0</v>
      </c>
      <c r="AK607" s="5">
        <f>+$AC607*BJ607</f>
        <v>0</v>
      </c>
      <c r="AL607" s="5">
        <f>+$AC607*BK607</f>
        <v>0</v>
      </c>
      <c r="AM607" s="5">
        <f>+$AC607*BL607</f>
        <v>0</v>
      </c>
      <c r="AN607" s="5">
        <f>+$AC607*BM607</f>
        <v>0</v>
      </c>
      <c r="AO607" s="5">
        <f>+$AC607*BN607</f>
        <v>0</v>
      </c>
      <c r="AP607" s="5">
        <f>+AC607+P607+C607</f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2">
        <v>8.9181565948742242E-2</v>
      </c>
      <c r="BD607" s="2">
        <v>0.10665277883445198</v>
      </c>
      <c r="BE607" s="2">
        <v>9.438849084854764E-2</v>
      </c>
      <c r="BF607" s="2">
        <v>7.149564986855049E-2</v>
      </c>
      <c r="BG607" s="2">
        <v>0.10368571810536763</v>
      </c>
      <c r="BH607" s="2">
        <v>8.4970330952544637E-2</v>
      </c>
      <c r="BI607" s="2">
        <v>8.4593878877262704E-2</v>
      </c>
      <c r="BJ607" s="2">
        <v>5.7447105462779965E-2</v>
      </c>
      <c r="BK607" s="2">
        <v>8.5153852345557474E-2</v>
      </c>
      <c r="BL607" s="2">
        <v>7.4158058913035174E-2</v>
      </c>
      <c r="BM607" s="2">
        <v>7.5718189192107169E-2</v>
      </c>
      <c r="BN607" s="2">
        <v>7.3955559365675619E-2</v>
      </c>
    </row>
    <row r="608" spans="1:66" x14ac:dyDescent="0.25">
      <c r="A608" s="8">
        <v>3827</v>
      </c>
      <c r="B608" s="8" t="s">
        <v>388</v>
      </c>
      <c r="C608" s="5">
        <v>0</v>
      </c>
      <c r="D608" s="5">
        <f>+$C608*BC608</f>
        <v>0</v>
      </c>
      <c r="E608" s="5">
        <f>+$C608*BD608</f>
        <v>0</v>
      </c>
      <c r="F608" s="5">
        <f>+$C608*BE608</f>
        <v>0</v>
      </c>
      <c r="G608" s="5">
        <f>+$C608*BF608</f>
        <v>0</v>
      </c>
      <c r="H608" s="5">
        <f>+$C608*BG608</f>
        <v>0</v>
      </c>
      <c r="I608" s="5">
        <f>+$C608*BH608</f>
        <v>0</v>
      </c>
      <c r="J608" s="5">
        <f>+$C608*BI608</f>
        <v>0</v>
      </c>
      <c r="K608" s="5">
        <f>+$C608*BJ608</f>
        <v>0</v>
      </c>
      <c r="L608" s="5">
        <f>+$C608*BK608</f>
        <v>0</v>
      </c>
      <c r="M608" s="5">
        <f>+$C608*BL608</f>
        <v>0</v>
      </c>
      <c r="N608" s="5">
        <f>+$C608*BM608</f>
        <v>0</v>
      </c>
      <c r="O608" s="5">
        <f>+$C608*BN608</f>
        <v>0</v>
      </c>
      <c r="P608" s="5">
        <v>4000</v>
      </c>
      <c r="Q608" s="5">
        <f>+$P608*BC608</f>
        <v>356.72626379496899</v>
      </c>
      <c r="R608" s="5">
        <f>+$P608*BD608</f>
        <v>426.61111533780792</v>
      </c>
      <c r="S608" s="5">
        <f>+$P608*BE608</f>
        <v>377.55396339419059</v>
      </c>
      <c r="T608" s="5">
        <f>+$P608*BF608</f>
        <v>285.98259947420195</v>
      </c>
      <c r="U608" s="5">
        <f>+$P608*BG608</f>
        <v>414.74287242147051</v>
      </c>
      <c r="V608" s="5">
        <f>+$P608*BH608</f>
        <v>339.88132381017857</v>
      </c>
      <c r="W608" s="5">
        <f>+$P608*BI608</f>
        <v>338.37551550905084</v>
      </c>
      <c r="X608" s="5">
        <f>+$P608*BJ608</f>
        <v>229.78842185111986</v>
      </c>
      <c r="Y608" s="5">
        <f>+$P608*BK608</f>
        <v>340.61540938222987</v>
      </c>
      <c r="Z608" s="5">
        <f>+$P608*BL608</f>
        <v>296.63223565214071</v>
      </c>
      <c r="AA608" s="5">
        <f>+$P608*BM608</f>
        <v>302.8727567684287</v>
      </c>
      <c r="AB608" s="5">
        <f>+$P608*BN608</f>
        <v>295.8222374627025</v>
      </c>
      <c r="AC608" s="5">
        <v>0</v>
      </c>
      <c r="AD608" s="5">
        <f>+$AC608*BC608</f>
        <v>0</v>
      </c>
      <c r="AE608" s="5">
        <f>+$AC608*BD608</f>
        <v>0</v>
      </c>
      <c r="AF608" s="5">
        <f>+$AC608*BE608</f>
        <v>0</v>
      </c>
      <c r="AG608" s="5">
        <f>+$AC608*BF608</f>
        <v>0</v>
      </c>
      <c r="AH608" s="5">
        <f>+$AC608*BG608</f>
        <v>0</v>
      </c>
      <c r="AI608" s="5">
        <f>+$AC608*BH608</f>
        <v>0</v>
      </c>
      <c r="AJ608" s="5">
        <f>+$AC608*BI608</f>
        <v>0</v>
      </c>
      <c r="AK608" s="5">
        <f>+$AC608*BJ608</f>
        <v>0</v>
      </c>
      <c r="AL608" s="5">
        <f>+$AC608*BK608</f>
        <v>0</v>
      </c>
      <c r="AM608" s="5">
        <f>+$AC608*BL608</f>
        <v>0</v>
      </c>
      <c r="AN608" s="5">
        <f>+$AC608*BM608</f>
        <v>0</v>
      </c>
      <c r="AO608" s="5">
        <f>+$AC608*BN608</f>
        <v>0</v>
      </c>
      <c r="AP608" s="5">
        <f>+AC608+P608+C608</f>
        <v>4000</v>
      </c>
      <c r="AQ608" s="1">
        <v>48.029624157354625</v>
      </c>
      <c r="AR608" s="1">
        <v>57.43892056908247</v>
      </c>
      <c r="AS608" s="1">
        <v>50.83386563139382</v>
      </c>
      <c r="AT608" s="1">
        <v>38.504697193206553</v>
      </c>
      <c r="AU608" s="1">
        <v>55.840980342826796</v>
      </c>
      <c r="AV608" s="1">
        <v>45.761621437802447</v>
      </c>
      <c r="AW608" s="1">
        <v>45.558879408138608</v>
      </c>
      <c r="AX608" s="1">
        <v>30.93871311803478</v>
      </c>
      <c r="AY608" s="1">
        <v>45.860458719223438</v>
      </c>
      <c r="AZ608" s="1">
        <v>39.938564208204227</v>
      </c>
      <c r="BA608" s="1">
        <v>40.778787971301242</v>
      </c>
      <c r="BB608" s="1">
        <v>39.829506051978264</v>
      </c>
      <c r="BC608" s="2">
        <v>8.9181565948742242E-2</v>
      </c>
      <c r="BD608" s="2">
        <v>0.10665277883445198</v>
      </c>
      <c r="BE608" s="2">
        <v>9.438849084854764E-2</v>
      </c>
      <c r="BF608" s="2">
        <v>7.149564986855049E-2</v>
      </c>
      <c r="BG608" s="2">
        <v>0.10368571810536763</v>
      </c>
      <c r="BH608" s="2">
        <v>8.4970330952544637E-2</v>
      </c>
      <c r="BI608" s="2">
        <v>8.4593878877262704E-2</v>
      </c>
      <c r="BJ608" s="2">
        <v>5.7447105462779965E-2</v>
      </c>
      <c r="BK608" s="2">
        <v>8.5153852345557474E-2</v>
      </c>
      <c r="BL608" s="2">
        <v>7.4158058913035174E-2</v>
      </c>
      <c r="BM608" s="2">
        <v>7.5718189192107169E-2</v>
      </c>
      <c r="BN608" s="2">
        <v>7.3955559365675619E-2</v>
      </c>
    </row>
    <row r="609" spans="1:66" x14ac:dyDescent="0.25">
      <c r="A609" s="8">
        <v>3840</v>
      </c>
      <c r="B609" s="8" t="s">
        <v>387</v>
      </c>
      <c r="C609" s="5">
        <v>0</v>
      </c>
      <c r="D609" s="5">
        <f>+$C609*BC609</f>
        <v>0</v>
      </c>
      <c r="E609" s="5">
        <f>+$C609*BD609</f>
        <v>0</v>
      </c>
      <c r="F609" s="5">
        <f>+$C609*BE609</f>
        <v>0</v>
      </c>
      <c r="G609" s="5">
        <f>+$C609*BF609</f>
        <v>0</v>
      </c>
      <c r="H609" s="5">
        <f>+$C609*BG609</f>
        <v>0</v>
      </c>
      <c r="I609" s="5">
        <f>+$C609*BH609</f>
        <v>0</v>
      </c>
      <c r="J609" s="5">
        <f>+$C609*BI609</f>
        <v>0</v>
      </c>
      <c r="K609" s="5">
        <f>+$C609*BJ609</f>
        <v>0</v>
      </c>
      <c r="L609" s="5">
        <f>+$C609*BK609</f>
        <v>0</v>
      </c>
      <c r="M609" s="5">
        <f>+$C609*BL609</f>
        <v>0</v>
      </c>
      <c r="N609" s="5">
        <f>+$C609*BM609</f>
        <v>0</v>
      </c>
      <c r="O609" s="5">
        <f>+$C609*BN609</f>
        <v>0</v>
      </c>
      <c r="P609" s="5">
        <v>0</v>
      </c>
      <c r="Q609" s="5">
        <f>+$P609*BC609</f>
        <v>0</v>
      </c>
      <c r="R609" s="5">
        <f>+$P609*BD609</f>
        <v>0</v>
      </c>
      <c r="S609" s="5">
        <f>+$P609*BE609</f>
        <v>0</v>
      </c>
      <c r="T609" s="5">
        <f>+$P609*BF609</f>
        <v>0</v>
      </c>
      <c r="U609" s="5">
        <f>+$P609*BG609</f>
        <v>0</v>
      </c>
      <c r="V609" s="5">
        <f>+$P609*BH609</f>
        <v>0</v>
      </c>
      <c r="W609" s="5">
        <f>+$P609*BI609</f>
        <v>0</v>
      </c>
      <c r="X609" s="5">
        <f>+$P609*BJ609</f>
        <v>0</v>
      </c>
      <c r="Y609" s="5">
        <f>+$P609*BK609</f>
        <v>0</v>
      </c>
      <c r="Z609" s="5">
        <f>+$P609*BL609</f>
        <v>0</v>
      </c>
      <c r="AA609" s="5">
        <f>+$P609*BM609</f>
        <v>0</v>
      </c>
      <c r="AB609" s="5">
        <f>+$P609*BN609</f>
        <v>0</v>
      </c>
      <c r="AC609" s="5">
        <v>0</v>
      </c>
      <c r="AD609" s="5">
        <f>+$AC609*BC609</f>
        <v>0</v>
      </c>
      <c r="AE609" s="5">
        <f>+$AC609*BD609</f>
        <v>0</v>
      </c>
      <c r="AF609" s="5">
        <f>+$AC609*BE609</f>
        <v>0</v>
      </c>
      <c r="AG609" s="5">
        <f>+$AC609*BF609</f>
        <v>0</v>
      </c>
      <c r="AH609" s="5">
        <f>+$AC609*BG609</f>
        <v>0</v>
      </c>
      <c r="AI609" s="5">
        <f>+$AC609*BH609</f>
        <v>0</v>
      </c>
      <c r="AJ609" s="5">
        <f>+$AC609*BI609</f>
        <v>0</v>
      </c>
      <c r="AK609" s="5">
        <f>+$AC609*BJ609</f>
        <v>0</v>
      </c>
      <c r="AL609" s="5">
        <f>+$AC609*BK609</f>
        <v>0</v>
      </c>
      <c r="AM609" s="5">
        <f>+$AC609*BL609</f>
        <v>0</v>
      </c>
      <c r="AN609" s="5">
        <f>+$AC609*BM609</f>
        <v>0</v>
      </c>
      <c r="AO609" s="5">
        <f>+$AC609*BN609</f>
        <v>0</v>
      </c>
      <c r="AP609" s="5">
        <f>+AC609+P609+C609</f>
        <v>0</v>
      </c>
      <c r="AQ609" s="1">
        <v>89.937825627987579</v>
      </c>
      <c r="AR609" s="1">
        <v>107.55719439896814</v>
      </c>
      <c r="AS609" s="1">
        <v>95.188905250943321</v>
      </c>
      <c r="AT609" s="1">
        <v>72.101932979435801</v>
      </c>
      <c r="AU609" s="1">
        <v>104.56497299490114</v>
      </c>
      <c r="AV609" s="1">
        <v>85.690879359022219</v>
      </c>
      <c r="AW609" s="1">
        <v>85.311234970141896</v>
      </c>
      <c r="AX609" s="1">
        <v>57.934256917104342</v>
      </c>
      <c r="AY609" s="1">
        <v>85.875957013447803</v>
      </c>
      <c r="AZ609" s="1">
        <v>74.786919252617707</v>
      </c>
      <c r="BA609" s="1">
        <v>76.360279436456238</v>
      </c>
      <c r="BB609" s="1">
        <v>74.582702509096549</v>
      </c>
      <c r="BC609" s="2">
        <v>8.9181565948742242E-2</v>
      </c>
      <c r="BD609" s="2">
        <v>0.10665277883445198</v>
      </c>
      <c r="BE609" s="2">
        <v>9.438849084854764E-2</v>
      </c>
      <c r="BF609" s="2">
        <v>7.149564986855049E-2</v>
      </c>
      <c r="BG609" s="2">
        <v>0.10368571810536763</v>
      </c>
      <c r="BH609" s="2">
        <v>8.4970330952544637E-2</v>
      </c>
      <c r="BI609" s="2">
        <v>8.4593878877262704E-2</v>
      </c>
      <c r="BJ609" s="2">
        <v>5.7447105462779965E-2</v>
      </c>
      <c r="BK609" s="2">
        <v>8.5153852345557474E-2</v>
      </c>
      <c r="BL609" s="2">
        <v>7.4158058913035174E-2</v>
      </c>
      <c r="BM609" s="2">
        <v>7.5718189192107169E-2</v>
      </c>
      <c r="BN609" s="2">
        <v>7.3955559365675619E-2</v>
      </c>
    </row>
    <row r="610" spans="1:66" x14ac:dyDescent="0.25">
      <c r="A610" s="8">
        <v>3841</v>
      </c>
      <c r="B610" s="8" t="s">
        <v>386</v>
      </c>
      <c r="C610" s="5">
        <v>0</v>
      </c>
      <c r="D610" s="5">
        <f>+$C610*BC610</f>
        <v>0</v>
      </c>
      <c r="E610" s="5">
        <f>+$C610*BD610</f>
        <v>0</v>
      </c>
      <c r="F610" s="5">
        <f>+$C610*BE610</f>
        <v>0</v>
      </c>
      <c r="G610" s="5">
        <f>+$C610*BF610</f>
        <v>0</v>
      </c>
      <c r="H610" s="5">
        <f>+$C610*BG610</f>
        <v>0</v>
      </c>
      <c r="I610" s="5">
        <f>+$C610*BH610</f>
        <v>0</v>
      </c>
      <c r="J610" s="5">
        <f>+$C610*BI610</f>
        <v>0</v>
      </c>
      <c r="K610" s="5">
        <f>+$C610*BJ610</f>
        <v>0</v>
      </c>
      <c r="L610" s="5">
        <f>+$C610*BK610</f>
        <v>0</v>
      </c>
      <c r="M610" s="5">
        <f>+$C610*BL610</f>
        <v>0</v>
      </c>
      <c r="N610" s="5">
        <f>+$C610*BM610</f>
        <v>0</v>
      </c>
      <c r="O610" s="5">
        <f>+$C610*BN610</f>
        <v>0</v>
      </c>
      <c r="P610" s="5">
        <v>8000</v>
      </c>
      <c r="Q610" s="5">
        <f>+$P610*BC610</f>
        <v>713.45252758993797</v>
      </c>
      <c r="R610" s="5">
        <f>+$P610*BD610</f>
        <v>853.22223067561583</v>
      </c>
      <c r="S610" s="5">
        <f>+$P610*BE610</f>
        <v>755.10792678838118</v>
      </c>
      <c r="T610" s="5">
        <f>+$P610*BF610</f>
        <v>571.96519894840389</v>
      </c>
      <c r="U610" s="5">
        <f>+$P610*BG610</f>
        <v>829.48574484294102</v>
      </c>
      <c r="V610" s="5">
        <f>+$P610*BH610</f>
        <v>679.76264762035714</v>
      </c>
      <c r="W610" s="5">
        <f>+$P610*BI610</f>
        <v>676.75103101810168</v>
      </c>
      <c r="X610" s="5">
        <f>+$P610*BJ610</f>
        <v>459.57684370223973</v>
      </c>
      <c r="Y610" s="5">
        <f>+$P610*BK610</f>
        <v>681.23081876445974</v>
      </c>
      <c r="Z610" s="5">
        <f>+$P610*BL610</f>
        <v>593.26447130428141</v>
      </c>
      <c r="AA610" s="5">
        <f>+$P610*BM610</f>
        <v>605.7455135368574</v>
      </c>
      <c r="AB610" s="5">
        <f>+$P610*BN610</f>
        <v>591.64447492540501</v>
      </c>
      <c r="AC610" s="5">
        <v>0</v>
      </c>
      <c r="AD610" s="5">
        <f>+$AC610*BC610</f>
        <v>0</v>
      </c>
      <c r="AE610" s="5">
        <f>+$AC610*BD610</f>
        <v>0</v>
      </c>
      <c r="AF610" s="5">
        <f>+$AC610*BE610</f>
        <v>0</v>
      </c>
      <c r="AG610" s="5">
        <f>+$AC610*BF610</f>
        <v>0</v>
      </c>
      <c r="AH610" s="5">
        <f>+$AC610*BG610</f>
        <v>0</v>
      </c>
      <c r="AI610" s="5">
        <f>+$AC610*BH610</f>
        <v>0</v>
      </c>
      <c r="AJ610" s="5">
        <f>+$AC610*BI610</f>
        <v>0</v>
      </c>
      <c r="AK610" s="5">
        <f>+$AC610*BJ610</f>
        <v>0</v>
      </c>
      <c r="AL610" s="5">
        <f>+$AC610*BK610</f>
        <v>0</v>
      </c>
      <c r="AM610" s="5">
        <f>+$AC610*BL610</f>
        <v>0</v>
      </c>
      <c r="AN610" s="5">
        <f>+$AC610*BM610</f>
        <v>0</v>
      </c>
      <c r="AO610" s="5">
        <f>+$AC610*BN610</f>
        <v>0</v>
      </c>
      <c r="AP610" s="5">
        <f>+AC610+P610+C610</f>
        <v>8000</v>
      </c>
      <c r="AQ610" s="1">
        <v>12.007406039338656</v>
      </c>
      <c r="AR610" s="1">
        <v>14.359730142270617</v>
      </c>
      <c r="AS610" s="1">
        <v>12.708466407848455</v>
      </c>
      <c r="AT610" s="1">
        <v>9.6261742983016383</v>
      </c>
      <c r="AU610" s="1">
        <v>13.960245085706699</v>
      </c>
      <c r="AV610" s="1">
        <v>11.440405359450612</v>
      </c>
      <c r="AW610" s="1">
        <v>11.389719852034652</v>
      </c>
      <c r="AX610" s="1">
        <v>7.734678279508695</v>
      </c>
      <c r="AY610" s="1">
        <v>11.465114679805859</v>
      </c>
      <c r="AZ610" s="1">
        <v>9.9846410520510567</v>
      </c>
      <c r="BA610" s="1">
        <v>10.19469699282531</v>
      </c>
      <c r="BB610" s="1">
        <v>9.9573765129945659</v>
      </c>
      <c r="BC610" s="2">
        <v>8.9181565948742242E-2</v>
      </c>
      <c r="BD610" s="2">
        <v>0.10665277883445198</v>
      </c>
      <c r="BE610" s="2">
        <v>9.438849084854764E-2</v>
      </c>
      <c r="BF610" s="2">
        <v>7.149564986855049E-2</v>
      </c>
      <c r="BG610" s="2">
        <v>0.10368571810536763</v>
      </c>
      <c r="BH610" s="2">
        <v>8.4970330952544637E-2</v>
      </c>
      <c r="BI610" s="2">
        <v>8.4593878877262704E-2</v>
      </c>
      <c r="BJ610" s="2">
        <v>5.7447105462779965E-2</v>
      </c>
      <c r="BK610" s="2">
        <v>8.5153852345557474E-2</v>
      </c>
      <c r="BL610" s="2">
        <v>7.4158058913035174E-2</v>
      </c>
      <c r="BM610" s="2">
        <v>7.5718189192107169E-2</v>
      </c>
      <c r="BN610" s="2">
        <v>7.3955559365675619E-2</v>
      </c>
    </row>
    <row r="611" spans="1:66" x14ac:dyDescent="0.25">
      <c r="A611" s="8">
        <v>3843</v>
      </c>
      <c r="B611" s="8" t="s">
        <v>385</v>
      </c>
      <c r="C611" s="5">
        <v>0</v>
      </c>
      <c r="D611" s="5">
        <f>+$C611*BC611</f>
        <v>0</v>
      </c>
      <c r="E611" s="5">
        <f>+$C611*BD611</f>
        <v>0</v>
      </c>
      <c r="F611" s="5">
        <f>+$C611*BE611</f>
        <v>0</v>
      </c>
      <c r="G611" s="5">
        <f>+$C611*BF611</f>
        <v>0</v>
      </c>
      <c r="H611" s="5">
        <f>+$C611*BG611</f>
        <v>0</v>
      </c>
      <c r="I611" s="5">
        <f>+$C611*BH611</f>
        <v>0</v>
      </c>
      <c r="J611" s="5">
        <f>+$C611*BI611</f>
        <v>0</v>
      </c>
      <c r="K611" s="5">
        <f>+$C611*BJ611</f>
        <v>0</v>
      </c>
      <c r="L611" s="5">
        <f>+$C611*BK611</f>
        <v>0</v>
      </c>
      <c r="M611" s="5">
        <f>+$C611*BL611</f>
        <v>0</v>
      </c>
      <c r="N611" s="5">
        <f>+$C611*BM611</f>
        <v>0</v>
      </c>
      <c r="O611" s="5">
        <f>+$C611*BN611</f>
        <v>0</v>
      </c>
      <c r="P611" s="5">
        <v>0</v>
      </c>
      <c r="Q611" s="5">
        <f>+$P611*BC611</f>
        <v>0</v>
      </c>
      <c r="R611" s="5">
        <f>+$P611*BD611</f>
        <v>0</v>
      </c>
      <c r="S611" s="5">
        <f>+$P611*BE611</f>
        <v>0</v>
      </c>
      <c r="T611" s="5">
        <f>+$P611*BF611</f>
        <v>0</v>
      </c>
      <c r="U611" s="5">
        <f>+$P611*BG611</f>
        <v>0</v>
      </c>
      <c r="V611" s="5">
        <f>+$P611*BH611</f>
        <v>0</v>
      </c>
      <c r="W611" s="5">
        <f>+$P611*BI611</f>
        <v>0</v>
      </c>
      <c r="X611" s="5">
        <f>+$P611*BJ611</f>
        <v>0</v>
      </c>
      <c r="Y611" s="5">
        <f>+$P611*BK611</f>
        <v>0</v>
      </c>
      <c r="Z611" s="5">
        <f>+$P611*BL611</f>
        <v>0</v>
      </c>
      <c r="AA611" s="5">
        <f>+$P611*BM611</f>
        <v>0</v>
      </c>
      <c r="AB611" s="5">
        <f>+$P611*BN611</f>
        <v>0</v>
      </c>
      <c r="AC611" s="5">
        <v>0</v>
      </c>
      <c r="AD611" s="5">
        <f>+$AC611*BC611</f>
        <v>0</v>
      </c>
      <c r="AE611" s="5">
        <f>+$AC611*BD611</f>
        <v>0</v>
      </c>
      <c r="AF611" s="5">
        <f>+$AC611*BE611</f>
        <v>0</v>
      </c>
      <c r="AG611" s="5">
        <f>+$AC611*BF611</f>
        <v>0</v>
      </c>
      <c r="AH611" s="5">
        <f>+$AC611*BG611</f>
        <v>0</v>
      </c>
      <c r="AI611" s="5">
        <f>+$AC611*BH611</f>
        <v>0</v>
      </c>
      <c r="AJ611" s="5">
        <f>+$AC611*BI611</f>
        <v>0</v>
      </c>
      <c r="AK611" s="5">
        <f>+$AC611*BJ611</f>
        <v>0</v>
      </c>
      <c r="AL611" s="5">
        <f>+$AC611*BK611</f>
        <v>0</v>
      </c>
      <c r="AM611" s="5">
        <f>+$AC611*BL611</f>
        <v>0</v>
      </c>
      <c r="AN611" s="5">
        <f>+$AC611*BM611</f>
        <v>0</v>
      </c>
      <c r="AO611" s="5">
        <f>+$AC611*BN611</f>
        <v>0</v>
      </c>
      <c r="AP611" s="5">
        <f>+AC611+P611+C611</f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2">
        <v>8.9181565948742242E-2</v>
      </c>
      <c r="BD611" s="2">
        <v>0.10665277883445198</v>
      </c>
      <c r="BE611" s="2">
        <v>9.438849084854764E-2</v>
      </c>
      <c r="BF611" s="2">
        <v>7.149564986855049E-2</v>
      </c>
      <c r="BG611" s="2">
        <v>0.10368571810536763</v>
      </c>
      <c r="BH611" s="2">
        <v>8.4970330952544637E-2</v>
      </c>
      <c r="BI611" s="2">
        <v>8.4593878877262704E-2</v>
      </c>
      <c r="BJ611" s="2">
        <v>5.7447105462779965E-2</v>
      </c>
      <c r="BK611" s="2">
        <v>8.5153852345557474E-2</v>
      </c>
      <c r="BL611" s="2">
        <v>7.4158058913035174E-2</v>
      </c>
      <c r="BM611" s="2">
        <v>7.5718189192107169E-2</v>
      </c>
      <c r="BN611" s="2">
        <v>7.3955559365675619E-2</v>
      </c>
    </row>
    <row r="612" spans="1:66" x14ac:dyDescent="0.25">
      <c r="A612" s="8">
        <v>3844</v>
      </c>
      <c r="B612" s="8" t="s">
        <v>384</v>
      </c>
      <c r="C612" s="5">
        <v>0</v>
      </c>
      <c r="D612" s="5">
        <f>+$C612*BC612</f>
        <v>0</v>
      </c>
      <c r="E612" s="5">
        <f>+$C612*BD612</f>
        <v>0</v>
      </c>
      <c r="F612" s="5">
        <f>+$C612*BE612</f>
        <v>0</v>
      </c>
      <c r="G612" s="5">
        <f>+$C612*BF612</f>
        <v>0</v>
      </c>
      <c r="H612" s="5">
        <f>+$C612*BG612</f>
        <v>0</v>
      </c>
      <c r="I612" s="5">
        <f>+$C612*BH612</f>
        <v>0</v>
      </c>
      <c r="J612" s="5">
        <f>+$C612*BI612</f>
        <v>0</v>
      </c>
      <c r="K612" s="5">
        <f>+$C612*BJ612</f>
        <v>0</v>
      </c>
      <c r="L612" s="5">
        <f>+$C612*BK612</f>
        <v>0</v>
      </c>
      <c r="M612" s="5">
        <f>+$C612*BL612</f>
        <v>0</v>
      </c>
      <c r="N612" s="5">
        <f>+$C612*BM612</f>
        <v>0</v>
      </c>
      <c r="O612" s="5">
        <f>+$C612*BN612</f>
        <v>0</v>
      </c>
      <c r="P612" s="5">
        <v>0</v>
      </c>
      <c r="Q612" s="5">
        <f>+$P612*BC612</f>
        <v>0</v>
      </c>
      <c r="R612" s="5">
        <f>+$P612*BD612</f>
        <v>0</v>
      </c>
      <c r="S612" s="5">
        <f>+$P612*BE612</f>
        <v>0</v>
      </c>
      <c r="T612" s="5">
        <f>+$P612*BF612</f>
        <v>0</v>
      </c>
      <c r="U612" s="5">
        <f>+$P612*BG612</f>
        <v>0</v>
      </c>
      <c r="V612" s="5">
        <f>+$P612*BH612</f>
        <v>0</v>
      </c>
      <c r="W612" s="5">
        <f>+$P612*BI612</f>
        <v>0</v>
      </c>
      <c r="X612" s="5">
        <f>+$P612*BJ612</f>
        <v>0</v>
      </c>
      <c r="Y612" s="5">
        <f>+$P612*BK612</f>
        <v>0</v>
      </c>
      <c r="Z612" s="5">
        <f>+$P612*BL612</f>
        <v>0</v>
      </c>
      <c r="AA612" s="5">
        <f>+$P612*BM612</f>
        <v>0</v>
      </c>
      <c r="AB612" s="5">
        <f>+$P612*BN612</f>
        <v>0</v>
      </c>
      <c r="AC612" s="5">
        <v>0</v>
      </c>
      <c r="AD612" s="5">
        <f>+$AC612*BC612</f>
        <v>0</v>
      </c>
      <c r="AE612" s="5">
        <f>+$AC612*BD612</f>
        <v>0</v>
      </c>
      <c r="AF612" s="5">
        <f>+$AC612*BE612</f>
        <v>0</v>
      </c>
      <c r="AG612" s="5">
        <f>+$AC612*BF612</f>
        <v>0</v>
      </c>
      <c r="AH612" s="5">
        <f>+$AC612*BG612</f>
        <v>0</v>
      </c>
      <c r="AI612" s="5">
        <f>+$AC612*BH612</f>
        <v>0</v>
      </c>
      <c r="AJ612" s="5">
        <f>+$AC612*BI612</f>
        <v>0</v>
      </c>
      <c r="AK612" s="5">
        <f>+$AC612*BJ612</f>
        <v>0</v>
      </c>
      <c r="AL612" s="5">
        <f>+$AC612*BK612</f>
        <v>0</v>
      </c>
      <c r="AM612" s="5">
        <f>+$AC612*BL612</f>
        <v>0</v>
      </c>
      <c r="AN612" s="5">
        <f>+$AC612*BM612</f>
        <v>0</v>
      </c>
      <c r="AO612" s="5">
        <f>+$AC612*BN612</f>
        <v>0</v>
      </c>
      <c r="AP612" s="5">
        <f>+AC612+P612+C612</f>
        <v>0</v>
      </c>
      <c r="AQ612" s="1">
        <v>16.549423193108098</v>
      </c>
      <c r="AR612" s="1">
        <v>19.791556168309253</v>
      </c>
      <c r="AS612" s="1">
        <v>17.515672246764986</v>
      </c>
      <c r="AT612" s="1">
        <v>13.267447746106914</v>
      </c>
      <c r="AU612" s="1">
        <v>19.240958708813071</v>
      </c>
      <c r="AV612" s="1">
        <v>15.767944314863708</v>
      </c>
      <c r="AW612" s="1">
        <v>15.69808610325364</v>
      </c>
      <c r="AX612" s="1">
        <v>10.660459360728078</v>
      </c>
      <c r="AY612" s="1">
        <v>15.802000379765099</v>
      </c>
      <c r="AZ612" s="1">
        <v>13.761510992491937</v>
      </c>
      <c r="BA612" s="1">
        <v>14.051024368379327</v>
      </c>
      <c r="BB612" s="1">
        <v>13.723933151488424</v>
      </c>
      <c r="BC612" s="2">
        <v>8.9181565948742242E-2</v>
      </c>
      <c r="BD612" s="2">
        <v>0.10665277883445198</v>
      </c>
      <c r="BE612" s="2">
        <v>9.438849084854764E-2</v>
      </c>
      <c r="BF612" s="2">
        <v>7.149564986855049E-2</v>
      </c>
      <c r="BG612" s="2">
        <v>0.10368571810536763</v>
      </c>
      <c r="BH612" s="2">
        <v>8.4970330952544637E-2</v>
      </c>
      <c r="BI612" s="2">
        <v>8.4593878877262704E-2</v>
      </c>
      <c r="BJ612" s="2">
        <v>5.7447105462779965E-2</v>
      </c>
      <c r="BK612" s="2">
        <v>8.5153852345557474E-2</v>
      </c>
      <c r="BL612" s="2">
        <v>7.4158058913035174E-2</v>
      </c>
      <c r="BM612" s="2">
        <v>7.5718189192107169E-2</v>
      </c>
      <c r="BN612" s="2">
        <v>7.3955559365675619E-2</v>
      </c>
    </row>
    <row r="613" spans="1:66" x14ac:dyDescent="0.25">
      <c r="A613" s="8">
        <v>3853</v>
      </c>
      <c r="B613" s="8" t="s">
        <v>383</v>
      </c>
      <c r="C613" s="5">
        <v>0</v>
      </c>
      <c r="D613" s="5">
        <f>+$C613*BC613</f>
        <v>0</v>
      </c>
      <c r="E613" s="5">
        <f>+$C613*BD613</f>
        <v>0</v>
      </c>
      <c r="F613" s="5">
        <f>+$C613*BE613</f>
        <v>0</v>
      </c>
      <c r="G613" s="5">
        <f>+$C613*BF613</f>
        <v>0</v>
      </c>
      <c r="H613" s="5">
        <f>+$C613*BG613</f>
        <v>0</v>
      </c>
      <c r="I613" s="5">
        <f>+$C613*BH613</f>
        <v>0</v>
      </c>
      <c r="J613" s="5">
        <f>+$C613*BI613</f>
        <v>0</v>
      </c>
      <c r="K613" s="5">
        <f>+$C613*BJ613</f>
        <v>0</v>
      </c>
      <c r="L613" s="5">
        <f>+$C613*BK613</f>
        <v>0</v>
      </c>
      <c r="M613" s="5">
        <f>+$C613*BL613</f>
        <v>0</v>
      </c>
      <c r="N613" s="5">
        <f>+$C613*BM613</f>
        <v>0</v>
      </c>
      <c r="O613" s="5">
        <f>+$C613*BN613</f>
        <v>0</v>
      </c>
      <c r="P613" s="5">
        <v>0</v>
      </c>
      <c r="Q613" s="5">
        <f>+$P613*BC613</f>
        <v>0</v>
      </c>
      <c r="R613" s="5">
        <f>+$P613*BD613</f>
        <v>0</v>
      </c>
      <c r="S613" s="5">
        <f>+$P613*BE613</f>
        <v>0</v>
      </c>
      <c r="T613" s="5">
        <f>+$P613*BF613</f>
        <v>0</v>
      </c>
      <c r="U613" s="5">
        <f>+$P613*BG613</f>
        <v>0</v>
      </c>
      <c r="V613" s="5">
        <f>+$P613*BH613</f>
        <v>0</v>
      </c>
      <c r="W613" s="5">
        <f>+$P613*BI613</f>
        <v>0</v>
      </c>
      <c r="X613" s="5">
        <f>+$P613*BJ613</f>
        <v>0</v>
      </c>
      <c r="Y613" s="5">
        <f>+$P613*BK613</f>
        <v>0</v>
      </c>
      <c r="Z613" s="5">
        <f>+$P613*BL613</f>
        <v>0</v>
      </c>
      <c r="AA613" s="5">
        <f>+$P613*BM613</f>
        <v>0</v>
      </c>
      <c r="AB613" s="5">
        <f>+$P613*BN613</f>
        <v>0</v>
      </c>
      <c r="AC613" s="5">
        <v>0</v>
      </c>
      <c r="AD613" s="5">
        <f>+$AC613*BC613</f>
        <v>0</v>
      </c>
      <c r="AE613" s="5">
        <f>+$AC613*BD613</f>
        <v>0</v>
      </c>
      <c r="AF613" s="5">
        <f>+$AC613*BE613</f>
        <v>0</v>
      </c>
      <c r="AG613" s="5">
        <f>+$AC613*BF613</f>
        <v>0</v>
      </c>
      <c r="AH613" s="5">
        <f>+$AC613*BG613</f>
        <v>0</v>
      </c>
      <c r="AI613" s="5">
        <f>+$AC613*BH613</f>
        <v>0</v>
      </c>
      <c r="AJ613" s="5">
        <f>+$AC613*BI613</f>
        <v>0</v>
      </c>
      <c r="AK613" s="5">
        <f>+$AC613*BJ613</f>
        <v>0</v>
      </c>
      <c r="AL613" s="5">
        <f>+$AC613*BK613</f>
        <v>0</v>
      </c>
      <c r="AM613" s="5">
        <f>+$AC613*BL613</f>
        <v>0</v>
      </c>
      <c r="AN613" s="5">
        <f>+$AC613*BM613</f>
        <v>0</v>
      </c>
      <c r="AO613" s="5">
        <f>+$AC613*BN613</f>
        <v>0</v>
      </c>
      <c r="AP613" s="5">
        <f>+AC613+P613+C613</f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2">
        <v>8.9181565948742242E-2</v>
      </c>
      <c r="BD613" s="2">
        <v>0.10665277883445198</v>
      </c>
      <c r="BE613" s="2">
        <v>9.438849084854764E-2</v>
      </c>
      <c r="BF613" s="2">
        <v>7.149564986855049E-2</v>
      </c>
      <c r="BG613" s="2">
        <v>0.10368571810536763</v>
      </c>
      <c r="BH613" s="2">
        <v>8.4970330952544637E-2</v>
      </c>
      <c r="BI613" s="2">
        <v>8.4593878877262704E-2</v>
      </c>
      <c r="BJ613" s="2">
        <v>5.7447105462779965E-2</v>
      </c>
      <c r="BK613" s="2">
        <v>8.5153852345557474E-2</v>
      </c>
      <c r="BL613" s="2">
        <v>7.4158058913035174E-2</v>
      </c>
      <c r="BM613" s="2">
        <v>7.5718189192107169E-2</v>
      </c>
      <c r="BN613" s="2">
        <v>7.3955559365675619E-2</v>
      </c>
    </row>
    <row r="614" spans="1:66" x14ac:dyDescent="0.25">
      <c r="A614" s="8">
        <v>3893</v>
      </c>
      <c r="B614" s="8" t="s">
        <v>382</v>
      </c>
      <c r="C614" s="5">
        <v>0</v>
      </c>
      <c r="D614" s="5">
        <f>+$C614*BC614</f>
        <v>0</v>
      </c>
      <c r="E614" s="5">
        <f>+$C614*BD614</f>
        <v>0</v>
      </c>
      <c r="F614" s="5">
        <f>+$C614*BE614</f>
        <v>0</v>
      </c>
      <c r="G614" s="5">
        <f>+$C614*BF614</f>
        <v>0</v>
      </c>
      <c r="H614" s="5">
        <f>+$C614*BG614</f>
        <v>0</v>
      </c>
      <c r="I614" s="5">
        <f>+$C614*BH614</f>
        <v>0</v>
      </c>
      <c r="J614" s="5">
        <f>+$C614*BI614</f>
        <v>0</v>
      </c>
      <c r="K614" s="5">
        <f>+$C614*BJ614</f>
        <v>0</v>
      </c>
      <c r="L614" s="5">
        <f>+$C614*BK614</f>
        <v>0</v>
      </c>
      <c r="M614" s="5">
        <f>+$C614*BL614</f>
        <v>0</v>
      </c>
      <c r="N614" s="5">
        <f>+$C614*BM614</f>
        <v>0</v>
      </c>
      <c r="O614" s="5">
        <f>+$C614*BN614</f>
        <v>0</v>
      </c>
      <c r="P614" s="5">
        <v>0</v>
      </c>
      <c r="Q614" s="5">
        <f>+$P614*BC614</f>
        <v>0</v>
      </c>
      <c r="R614" s="5">
        <f>+$P614*BD614</f>
        <v>0</v>
      </c>
      <c r="S614" s="5">
        <f>+$P614*BE614</f>
        <v>0</v>
      </c>
      <c r="T614" s="5">
        <f>+$P614*BF614</f>
        <v>0</v>
      </c>
      <c r="U614" s="5">
        <f>+$P614*BG614</f>
        <v>0</v>
      </c>
      <c r="V614" s="5">
        <f>+$P614*BH614</f>
        <v>0</v>
      </c>
      <c r="W614" s="5">
        <f>+$P614*BI614</f>
        <v>0</v>
      </c>
      <c r="X614" s="5">
        <f>+$P614*BJ614</f>
        <v>0</v>
      </c>
      <c r="Y614" s="5">
        <f>+$P614*BK614</f>
        <v>0</v>
      </c>
      <c r="Z614" s="5">
        <f>+$P614*BL614</f>
        <v>0</v>
      </c>
      <c r="AA614" s="5">
        <f>+$P614*BM614</f>
        <v>0</v>
      </c>
      <c r="AB614" s="5">
        <f>+$P614*BN614</f>
        <v>0</v>
      </c>
      <c r="AC614" s="5">
        <v>0</v>
      </c>
      <c r="AD614" s="5">
        <f>+$AC614*BC614</f>
        <v>0</v>
      </c>
      <c r="AE614" s="5">
        <f>+$AC614*BD614</f>
        <v>0</v>
      </c>
      <c r="AF614" s="5">
        <f>+$AC614*BE614</f>
        <v>0</v>
      </c>
      <c r="AG614" s="5">
        <f>+$AC614*BF614</f>
        <v>0</v>
      </c>
      <c r="AH614" s="5">
        <f>+$AC614*BG614</f>
        <v>0</v>
      </c>
      <c r="AI614" s="5">
        <f>+$AC614*BH614</f>
        <v>0</v>
      </c>
      <c r="AJ614" s="5">
        <f>+$AC614*BI614</f>
        <v>0</v>
      </c>
      <c r="AK614" s="5">
        <f>+$AC614*BJ614</f>
        <v>0</v>
      </c>
      <c r="AL614" s="5">
        <f>+$AC614*BK614</f>
        <v>0</v>
      </c>
      <c r="AM614" s="5">
        <f>+$AC614*BL614</f>
        <v>0</v>
      </c>
      <c r="AN614" s="5">
        <f>+$AC614*BM614</f>
        <v>0</v>
      </c>
      <c r="AO614" s="5">
        <f>+$AC614*BN614</f>
        <v>0</v>
      </c>
      <c r="AP614" s="5">
        <f>+AC614+P614+C614</f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2">
        <v>8.9181565948742242E-2</v>
      </c>
      <c r="BD614" s="2">
        <v>0.10665277883445198</v>
      </c>
      <c r="BE614" s="2">
        <v>9.438849084854764E-2</v>
      </c>
      <c r="BF614" s="2">
        <v>7.149564986855049E-2</v>
      </c>
      <c r="BG614" s="2">
        <v>0.10368571810536763</v>
      </c>
      <c r="BH614" s="2">
        <v>8.4970330952544637E-2</v>
      </c>
      <c r="BI614" s="2">
        <v>8.4593878877262704E-2</v>
      </c>
      <c r="BJ614" s="2">
        <v>5.7447105462779965E-2</v>
      </c>
      <c r="BK614" s="2">
        <v>8.5153852345557474E-2</v>
      </c>
      <c r="BL614" s="2">
        <v>7.4158058913035174E-2</v>
      </c>
      <c r="BM614" s="2">
        <v>7.5718189192107169E-2</v>
      </c>
      <c r="BN614" s="2">
        <v>7.3955559365675619E-2</v>
      </c>
    </row>
    <row r="615" spans="1:66" x14ac:dyDescent="0.25">
      <c r="A615" s="8">
        <v>3899</v>
      </c>
      <c r="B615" s="8" t="s">
        <v>381</v>
      </c>
      <c r="C615" s="5">
        <v>0</v>
      </c>
      <c r="D615" s="5">
        <f>+$C615*BC615</f>
        <v>0</v>
      </c>
      <c r="E615" s="5">
        <f>+$C615*BD615</f>
        <v>0</v>
      </c>
      <c r="F615" s="5">
        <f>+$C615*BE615</f>
        <v>0</v>
      </c>
      <c r="G615" s="5">
        <f>+$C615*BF615</f>
        <v>0</v>
      </c>
      <c r="H615" s="5">
        <f>+$C615*BG615</f>
        <v>0</v>
      </c>
      <c r="I615" s="5">
        <f>+$C615*BH615</f>
        <v>0</v>
      </c>
      <c r="J615" s="5">
        <f>+$C615*BI615</f>
        <v>0</v>
      </c>
      <c r="K615" s="5">
        <f>+$C615*BJ615</f>
        <v>0</v>
      </c>
      <c r="L615" s="5">
        <f>+$C615*BK615</f>
        <v>0</v>
      </c>
      <c r="M615" s="5">
        <f>+$C615*BL615</f>
        <v>0</v>
      </c>
      <c r="N615" s="5">
        <f>+$C615*BM615</f>
        <v>0</v>
      </c>
      <c r="O615" s="5">
        <f>+$C615*BN615</f>
        <v>0</v>
      </c>
      <c r="P615" s="5">
        <v>0</v>
      </c>
      <c r="Q615" s="5">
        <f>+$P615*BC615</f>
        <v>0</v>
      </c>
      <c r="R615" s="5">
        <f>+$P615*BD615</f>
        <v>0</v>
      </c>
      <c r="S615" s="5">
        <f>+$P615*BE615</f>
        <v>0</v>
      </c>
      <c r="T615" s="5">
        <f>+$P615*BF615</f>
        <v>0</v>
      </c>
      <c r="U615" s="5">
        <f>+$P615*BG615</f>
        <v>0</v>
      </c>
      <c r="V615" s="5">
        <f>+$P615*BH615</f>
        <v>0</v>
      </c>
      <c r="W615" s="5">
        <f>+$P615*BI615</f>
        <v>0</v>
      </c>
      <c r="X615" s="5">
        <f>+$P615*BJ615</f>
        <v>0</v>
      </c>
      <c r="Y615" s="5">
        <f>+$P615*BK615</f>
        <v>0</v>
      </c>
      <c r="Z615" s="5">
        <f>+$P615*BL615</f>
        <v>0</v>
      </c>
      <c r="AA615" s="5">
        <f>+$P615*BM615</f>
        <v>0</v>
      </c>
      <c r="AB615" s="5">
        <f>+$P615*BN615</f>
        <v>0</v>
      </c>
      <c r="AC615" s="5">
        <v>0</v>
      </c>
      <c r="AD615" s="5">
        <f>+$AC615*BC615</f>
        <v>0</v>
      </c>
      <c r="AE615" s="5">
        <f>+$AC615*BD615</f>
        <v>0</v>
      </c>
      <c r="AF615" s="5">
        <f>+$AC615*BE615</f>
        <v>0</v>
      </c>
      <c r="AG615" s="5">
        <f>+$AC615*BF615</f>
        <v>0</v>
      </c>
      <c r="AH615" s="5">
        <f>+$AC615*BG615</f>
        <v>0</v>
      </c>
      <c r="AI615" s="5">
        <f>+$AC615*BH615</f>
        <v>0</v>
      </c>
      <c r="AJ615" s="5">
        <f>+$AC615*BI615</f>
        <v>0</v>
      </c>
      <c r="AK615" s="5">
        <f>+$AC615*BJ615</f>
        <v>0</v>
      </c>
      <c r="AL615" s="5">
        <f>+$AC615*BK615</f>
        <v>0</v>
      </c>
      <c r="AM615" s="5">
        <f>+$AC615*BL615</f>
        <v>0</v>
      </c>
      <c r="AN615" s="5">
        <f>+$AC615*BM615</f>
        <v>0</v>
      </c>
      <c r="AO615" s="5">
        <f>+$AC615*BN615</f>
        <v>0</v>
      </c>
      <c r="AP615" s="5">
        <f>+AC615+P615+C615</f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2">
        <v>8.9181565948742242E-2</v>
      </c>
      <c r="BD615" s="2">
        <v>0.10665277883445198</v>
      </c>
      <c r="BE615" s="2">
        <v>9.438849084854764E-2</v>
      </c>
      <c r="BF615" s="2">
        <v>7.149564986855049E-2</v>
      </c>
      <c r="BG615" s="2">
        <v>0.10368571810536763</v>
      </c>
      <c r="BH615" s="2">
        <v>8.4970330952544637E-2</v>
      </c>
      <c r="BI615" s="2">
        <v>8.4593878877262704E-2</v>
      </c>
      <c r="BJ615" s="2">
        <v>5.7447105462779965E-2</v>
      </c>
      <c r="BK615" s="2">
        <v>8.5153852345557474E-2</v>
      </c>
      <c r="BL615" s="2">
        <v>7.4158058913035174E-2</v>
      </c>
      <c r="BM615" s="2">
        <v>7.5718189192107169E-2</v>
      </c>
      <c r="BN615" s="2">
        <v>7.3955559365675619E-2</v>
      </c>
    </row>
    <row r="616" spans="1:66" x14ac:dyDescent="0.25">
      <c r="A616" s="8">
        <v>3901</v>
      </c>
      <c r="B616" s="8" t="s">
        <v>380</v>
      </c>
      <c r="C616" s="5">
        <v>0</v>
      </c>
      <c r="D616" s="5">
        <f>+$C616*BC616</f>
        <v>0</v>
      </c>
      <c r="E616" s="5">
        <f>+$C616*BD616</f>
        <v>0</v>
      </c>
      <c r="F616" s="5">
        <f>+$C616*BE616</f>
        <v>0</v>
      </c>
      <c r="G616" s="5">
        <f>+$C616*BF616</f>
        <v>0</v>
      </c>
      <c r="H616" s="5">
        <f>+$C616*BG616</f>
        <v>0</v>
      </c>
      <c r="I616" s="5">
        <f>+$C616*BH616</f>
        <v>0</v>
      </c>
      <c r="J616" s="5">
        <f>+$C616*BI616</f>
        <v>0</v>
      </c>
      <c r="K616" s="5">
        <f>+$C616*BJ616</f>
        <v>0</v>
      </c>
      <c r="L616" s="5">
        <f>+$C616*BK616</f>
        <v>0</v>
      </c>
      <c r="M616" s="5">
        <f>+$C616*BL616</f>
        <v>0</v>
      </c>
      <c r="N616" s="5">
        <f>+$C616*BM616</f>
        <v>0</v>
      </c>
      <c r="O616" s="5">
        <f>+$C616*BN616</f>
        <v>0</v>
      </c>
      <c r="P616" s="5">
        <v>0</v>
      </c>
      <c r="Q616" s="5">
        <f>+$P616*BC616</f>
        <v>0</v>
      </c>
      <c r="R616" s="5">
        <f>+$P616*BD616</f>
        <v>0</v>
      </c>
      <c r="S616" s="5">
        <f>+$P616*BE616</f>
        <v>0</v>
      </c>
      <c r="T616" s="5">
        <f>+$P616*BF616</f>
        <v>0</v>
      </c>
      <c r="U616" s="5">
        <f>+$P616*BG616</f>
        <v>0</v>
      </c>
      <c r="V616" s="5">
        <f>+$P616*BH616</f>
        <v>0</v>
      </c>
      <c r="W616" s="5">
        <f>+$P616*BI616</f>
        <v>0</v>
      </c>
      <c r="X616" s="5">
        <f>+$P616*BJ616</f>
        <v>0</v>
      </c>
      <c r="Y616" s="5">
        <f>+$P616*BK616</f>
        <v>0</v>
      </c>
      <c r="Z616" s="5">
        <f>+$P616*BL616</f>
        <v>0</v>
      </c>
      <c r="AA616" s="5">
        <f>+$P616*BM616</f>
        <v>0</v>
      </c>
      <c r="AB616" s="5">
        <f>+$P616*BN616</f>
        <v>0</v>
      </c>
      <c r="AC616" s="5">
        <v>0</v>
      </c>
      <c r="AD616" s="5">
        <f>+$AC616*BC616</f>
        <v>0</v>
      </c>
      <c r="AE616" s="5">
        <f>+$AC616*BD616</f>
        <v>0</v>
      </c>
      <c r="AF616" s="5">
        <f>+$AC616*BE616</f>
        <v>0</v>
      </c>
      <c r="AG616" s="5">
        <f>+$AC616*BF616</f>
        <v>0</v>
      </c>
      <c r="AH616" s="5">
        <f>+$AC616*BG616</f>
        <v>0</v>
      </c>
      <c r="AI616" s="5">
        <f>+$AC616*BH616</f>
        <v>0</v>
      </c>
      <c r="AJ616" s="5">
        <f>+$AC616*BI616</f>
        <v>0</v>
      </c>
      <c r="AK616" s="5">
        <f>+$AC616*BJ616</f>
        <v>0</v>
      </c>
      <c r="AL616" s="5">
        <f>+$AC616*BK616</f>
        <v>0</v>
      </c>
      <c r="AM616" s="5">
        <f>+$AC616*BL616</f>
        <v>0</v>
      </c>
      <c r="AN616" s="5">
        <f>+$AC616*BM616</f>
        <v>0</v>
      </c>
      <c r="AO616" s="5">
        <f>+$AC616*BN616</f>
        <v>0</v>
      </c>
      <c r="AP616" s="5">
        <f>+AC616+P616+C616</f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2">
        <v>8.9181565948742242E-2</v>
      </c>
      <c r="BD616" s="2">
        <v>0.10665277883445198</v>
      </c>
      <c r="BE616" s="2">
        <v>9.438849084854764E-2</v>
      </c>
      <c r="BF616" s="2">
        <v>7.149564986855049E-2</v>
      </c>
      <c r="BG616" s="2">
        <v>0.10368571810536763</v>
      </c>
      <c r="BH616" s="2">
        <v>8.4970330952544637E-2</v>
      </c>
      <c r="BI616" s="2">
        <v>8.4593878877262704E-2</v>
      </c>
      <c r="BJ616" s="2">
        <v>5.7447105462779965E-2</v>
      </c>
      <c r="BK616" s="2">
        <v>8.5153852345557474E-2</v>
      </c>
      <c r="BL616" s="2">
        <v>7.4158058913035174E-2</v>
      </c>
      <c r="BM616" s="2">
        <v>7.5718189192107169E-2</v>
      </c>
      <c r="BN616" s="2">
        <v>7.3955559365675619E-2</v>
      </c>
    </row>
    <row r="617" spans="1:66" x14ac:dyDescent="0.25">
      <c r="A617" s="8">
        <v>3903</v>
      </c>
      <c r="B617" s="8" t="s">
        <v>379</v>
      </c>
      <c r="C617" s="5">
        <v>0</v>
      </c>
      <c r="D617" s="5">
        <f>+$C617*BC617</f>
        <v>0</v>
      </c>
      <c r="E617" s="5">
        <f>+$C617*BD617</f>
        <v>0</v>
      </c>
      <c r="F617" s="5">
        <f>+$C617*BE617</f>
        <v>0</v>
      </c>
      <c r="G617" s="5">
        <f>+$C617*BF617</f>
        <v>0</v>
      </c>
      <c r="H617" s="5">
        <f>+$C617*BG617</f>
        <v>0</v>
      </c>
      <c r="I617" s="5">
        <f>+$C617*BH617</f>
        <v>0</v>
      </c>
      <c r="J617" s="5">
        <f>+$C617*BI617</f>
        <v>0</v>
      </c>
      <c r="K617" s="5">
        <f>+$C617*BJ617</f>
        <v>0</v>
      </c>
      <c r="L617" s="5">
        <f>+$C617*BK617</f>
        <v>0</v>
      </c>
      <c r="M617" s="5">
        <f>+$C617*BL617</f>
        <v>0</v>
      </c>
      <c r="N617" s="5">
        <f>+$C617*BM617</f>
        <v>0</v>
      </c>
      <c r="O617" s="5">
        <f>+$C617*BN617</f>
        <v>0</v>
      </c>
      <c r="P617" s="5">
        <v>0</v>
      </c>
      <c r="Q617" s="5">
        <f>+$P617*BC617</f>
        <v>0</v>
      </c>
      <c r="R617" s="5">
        <f>+$P617*BD617</f>
        <v>0</v>
      </c>
      <c r="S617" s="5">
        <f>+$P617*BE617</f>
        <v>0</v>
      </c>
      <c r="T617" s="5">
        <f>+$P617*BF617</f>
        <v>0</v>
      </c>
      <c r="U617" s="5">
        <f>+$P617*BG617</f>
        <v>0</v>
      </c>
      <c r="V617" s="5">
        <f>+$P617*BH617</f>
        <v>0</v>
      </c>
      <c r="W617" s="5">
        <f>+$P617*BI617</f>
        <v>0</v>
      </c>
      <c r="X617" s="5">
        <f>+$P617*BJ617</f>
        <v>0</v>
      </c>
      <c r="Y617" s="5">
        <f>+$P617*BK617</f>
        <v>0</v>
      </c>
      <c r="Z617" s="5">
        <f>+$P617*BL617</f>
        <v>0</v>
      </c>
      <c r="AA617" s="5">
        <f>+$P617*BM617</f>
        <v>0</v>
      </c>
      <c r="AB617" s="5">
        <f>+$P617*BN617</f>
        <v>0</v>
      </c>
      <c r="AC617" s="5">
        <v>0</v>
      </c>
      <c r="AD617" s="5">
        <f>+$AC617*BC617</f>
        <v>0</v>
      </c>
      <c r="AE617" s="5">
        <f>+$AC617*BD617</f>
        <v>0</v>
      </c>
      <c r="AF617" s="5">
        <f>+$AC617*BE617</f>
        <v>0</v>
      </c>
      <c r="AG617" s="5">
        <f>+$AC617*BF617</f>
        <v>0</v>
      </c>
      <c r="AH617" s="5">
        <f>+$AC617*BG617</f>
        <v>0</v>
      </c>
      <c r="AI617" s="5">
        <f>+$AC617*BH617</f>
        <v>0</v>
      </c>
      <c r="AJ617" s="5">
        <f>+$AC617*BI617</f>
        <v>0</v>
      </c>
      <c r="AK617" s="5">
        <f>+$AC617*BJ617</f>
        <v>0</v>
      </c>
      <c r="AL617" s="5">
        <f>+$AC617*BK617</f>
        <v>0</v>
      </c>
      <c r="AM617" s="5">
        <f>+$AC617*BL617</f>
        <v>0</v>
      </c>
      <c r="AN617" s="5">
        <f>+$AC617*BM617</f>
        <v>0</v>
      </c>
      <c r="AO617" s="5">
        <f>+$AC617*BN617</f>
        <v>0</v>
      </c>
      <c r="AP617" s="5">
        <f>+AC617+P617+C617</f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2">
        <v>8.9181565948742242E-2</v>
      </c>
      <c r="BD617" s="2">
        <v>0.10665277883445198</v>
      </c>
      <c r="BE617" s="2">
        <v>9.438849084854764E-2</v>
      </c>
      <c r="BF617" s="2">
        <v>7.149564986855049E-2</v>
      </c>
      <c r="BG617" s="2">
        <v>0.10368571810536763</v>
      </c>
      <c r="BH617" s="2">
        <v>8.4970330952544637E-2</v>
      </c>
      <c r="BI617" s="2">
        <v>8.4593878877262704E-2</v>
      </c>
      <c r="BJ617" s="2">
        <v>5.7447105462779965E-2</v>
      </c>
      <c r="BK617" s="2">
        <v>8.5153852345557474E-2</v>
      </c>
      <c r="BL617" s="2">
        <v>7.4158058913035174E-2</v>
      </c>
      <c r="BM617" s="2">
        <v>7.5718189192107169E-2</v>
      </c>
      <c r="BN617" s="2">
        <v>7.3955559365675619E-2</v>
      </c>
    </row>
    <row r="618" spans="1:66" x14ac:dyDescent="0.25">
      <c r="A618" s="8">
        <v>3917</v>
      </c>
      <c r="B618" s="8" t="s">
        <v>378</v>
      </c>
      <c r="C618" s="5">
        <v>0</v>
      </c>
      <c r="D618" s="5">
        <f>+$C618*BC618</f>
        <v>0</v>
      </c>
      <c r="E618" s="5">
        <f>+$C618*BD618</f>
        <v>0</v>
      </c>
      <c r="F618" s="5">
        <f>+$C618*BE618</f>
        <v>0</v>
      </c>
      <c r="G618" s="5">
        <f>+$C618*BF618</f>
        <v>0</v>
      </c>
      <c r="H618" s="5">
        <f>+$C618*BG618</f>
        <v>0</v>
      </c>
      <c r="I618" s="5">
        <f>+$C618*BH618</f>
        <v>0</v>
      </c>
      <c r="J618" s="5">
        <f>+$C618*BI618</f>
        <v>0</v>
      </c>
      <c r="K618" s="5">
        <f>+$C618*BJ618</f>
        <v>0</v>
      </c>
      <c r="L618" s="5">
        <f>+$C618*BK618</f>
        <v>0</v>
      </c>
      <c r="M618" s="5">
        <f>+$C618*BL618</f>
        <v>0</v>
      </c>
      <c r="N618" s="5">
        <f>+$C618*BM618</f>
        <v>0</v>
      </c>
      <c r="O618" s="5">
        <f>+$C618*BN618</f>
        <v>0</v>
      </c>
      <c r="P618" s="5">
        <v>0</v>
      </c>
      <c r="Q618" s="5">
        <f>+$P618*BC618</f>
        <v>0</v>
      </c>
      <c r="R618" s="5">
        <f>+$P618*BD618</f>
        <v>0</v>
      </c>
      <c r="S618" s="5">
        <f>+$P618*BE618</f>
        <v>0</v>
      </c>
      <c r="T618" s="5">
        <f>+$P618*BF618</f>
        <v>0</v>
      </c>
      <c r="U618" s="5">
        <f>+$P618*BG618</f>
        <v>0</v>
      </c>
      <c r="V618" s="5">
        <f>+$P618*BH618</f>
        <v>0</v>
      </c>
      <c r="W618" s="5">
        <f>+$P618*BI618</f>
        <v>0</v>
      </c>
      <c r="X618" s="5">
        <f>+$P618*BJ618</f>
        <v>0</v>
      </c>
      <c r="Y618" s="5">
        <f>+$P618*BK618</f>
        <v>0</v>
      </c>
      <c r="Z618" s="5">
        <f>+$P618*BL618</f>
        <v>0</v>
      </c>
      <c r="AA618" s="5">
        <f>+$P618*BM618</f>
        <v>0</v>
      </c>
      <c r="AB618" s="5">
        <f>+$P618*BN618</f>
        <v>0</v>
      </c>
      <c r="AC618" s="5">
        <v>0</v>
      </c>
      <c r="AD618" s="5">
        <f>+$AC618*BC618</f>
        <v>0</v>
      </c>
      <c r="AE618" s="5">
        <f>+$AC618*BD618</f>
        <v>0</v>
      </c>
      <c r="AF618" s="5">
        <f>+$AC618*BE618</f>
        <v>0</v>
      </c>
      <c r="AG618" s="5">
        <f>+$AC618*BF618</f>
        <v>0</v>
      </c>
      <c r="AH618" s="5">
        <f>+$AC618*BG618</f>
        <v>0</v>
      </c>
      <c r="AI618" s="5">
        <f>+$AC618*BH618</f>
        <v>0</v>
      </c>
      <c r="AJ618" s="5">
        <f>+$AC618*BI618</f>
        <v>0</v>
      </c>
      <c r="AK618" s="5">
        <f>+$AC618*BJ618</f>
        <v>0</v>
      </c>
      <c r="AL618" s="5">
        <f>+$AC618*BK618</f>
        <v>0</v>
      </c>
      <c r="AM618" s="5">
        <f>+$AC618*BL618</f>
        <v>0</v>
      </c>
      <c r="AN618" s="5">
        <f>+$AC618*BM618</f>
        <v>0</v>
      </c>
      <c r="AO618" s="5">
        <f>+$AC618*BN618</f>
        <v>0</v>
      </c>
      <c r="AP618" s="5">
        <f>+AC618+P618+C618</f>
        <v>0</v>
      </c>
      <c r="AQ618" s="1">
        <v>16.735812665940973</v>
      </c>
      <c r="AR618" s="1">
        <v>20.014460476073264</v>
      </c>
      <c r="AS618" s="1">
        <v>17.712944192638457</v>
      </c>
      <c r="AT618" s="1">
        <v>13.416873654332189</v>
      </c>
      <c r="AU618" s="1">
        <v>19.457661859653296</v>
      </c>
      <c r="AV618" s="1">
        <v>15.945532306554531</v>
      </c>
      <c r="AW618" s="1">
        <v>15.874887310107123</v>
      </c>
      <c r="AX618" s="1">
        <v>10.780523811145292</v>
      </c>
      <c r="AY618" s="1">
        <v>15.97997193116732</v>
      </c>
      <c r="AZ618" s="1">
        <v>13.916501335620184</v>
      </c>
      <c r="BA618" s="1">
        <v>14.209275383790835</v>
      </c>
      <c r="BB618" s="1">
        <v>13.878500270562691</v>
      </c>
      <c r="BC618" s="2">
        <v>8.9181565948742242E-2</v>
      </c>
      <c r="BD618" s="2">
        <v>0.10665277883445198</v>
      </c>
      <c r="BE618" s="2">
        <v>9.438849084854764E-2</v>
      </c>
      <c r="BF618" s="2">
        <v>7.149564986855049E-2</v>
      </c>
      <c r="BG618" s="2">
        <v>0.10368571810536763</v>
      </c>
      <c r="BH618" s="2">
        <v>8.4970330952544637E-2</v>
      </c>
      <c r="BI618" s="2">
        <v>8.4593878877262704E-2</v>
      </c>
      <c r="BJ618" s="2">
        <v>5.7447105462779965E-2</v>
      </c>
      <c r="BK618" s="2">
        <v>8.5153852345557474E-2</v>
      </c>
      <c r="BL618" s="2">
        <v>7.4158058913035174E-2</v>
      </c>
      <c r="BM618" s="2">
        <v>7.5718189192107169E-2</v>
      </c>
      <c r="BN618" s="2">
        <v>7.3955559365675619E-2</v>
      </c>
    </row>
    <row r="619" spans="1:66" x14ac:dyDescent="0.25">
      <c r="A619" s="8">
        <v>3933</v>
      </c>
      <c r="B619" s="8" t="s">
        <v>377</v>
      </c>
      <c r="C619" s="5">
        <v>0</v>
      </c>
      <c r="D619" s="5">
        <f>+$C619*BC619</f>
        <v>0</v>
      </c>
      <c r="E619" s="5">
        <f>+$C619*BD619</f>
        <v>0</v>
      </c>
      <c r="F619" s="5">
        <f>+$C619*BE619</f>
        <v>0</v>
      </c>
      <c r="G619" s="5">
        <f>+$C619*BF619</f>
        <v>0</v>
      </c>
      <c r="H619" s="5">
        <f>+$C619*BG619</f>
        <v>0</v>
      </c>
      <c r="I619" s="5">
        <f>+$C619*BH619</f>
        <v>0</v>
      </c>
      <c r="J619" s="5">
        <f>+$C619*BI619</f>
        <v>0</v>
      </c>
      <c r="K619" s="5">
        <f>+$C619*BJ619</f>
        <v>0</v>
      </c>
      <c r="L619" s="5">
        <f>+$C619*BK619</f>
        <v>0</v>
      </c>
      <c r="M619" s="5">
        <f>+$C619*BL619</f>
        <v>0</v>
      </c>
      <c r="N619" s="5">
        <f>+$C619*BM619</f>
        <v>0</v>
      </c>
      <c r="O619" s="5">
        <f>+$C619*BN619</f>
        <v>0</v>
      </c>
      <c r="P619" s="5">
        <v>0</v>
      </c>
      <c r="Q619" s="5">
        <f>+$P619*BC619</f>
        <v>0</v>
      </c>
      <c r="R619" s="5">
        <f>+$P619*BD619</f>
        <v>0</v>
      </c>
      <c r="S619" s="5">
        <f>+$P619*BE619</f>
        <v>0</v>
      </c>
      <c r="T619" s="5">
        <f>+$P619*BF619</f>
        <v>0</v>
      </c>
      <c r="U619" s="5">
        <f>+$P619*BG619</f>
        <v>0</v>
      </c>
      <c r="V619" s="5">
        <f>+$P619*BH619</f>
        <v>0</v>
      </c>
      <c r="W619" s="5">
        <f>+$P619*BI619</f>
        <v>0</v>
      </c>
      <c r="X619" s="5">
        <f>+$P619*BJ619</f>
        <v>0</v>
      </c>
      <c r="Y619" s="5">
        <f>+$P619*BK619</f>
        <v>0</v>
      </c>
      <c r="Z619" s="5">
        <f>+$P619*BL619</f>
        <v>0</v>
      </c>
      <c r="AA619" s="5">
        <f>+$P619*BM619</f>
        <v>0</v>
      </c>
      <c r="AB619" s="5">
        <f>+$P619*BN619</f>
        <v>0</v>
      </c>
      <c r="AC619" s="5">
        <v>0</v>
      </c>
      <c r="AD619" s="5">
        <f>+$AC619*BC619</f>
        <v>0</v>
      </c>
      <c r="AE619" s="5">
        <f>+$AC619*BD619</f>
        <v>0</v>
      </c>
      <c r="AF619" s="5">
        <f>+$AC619*BE619</f>
        <v>0</v>
      </c>
      <c r="AG619" s="5">
        <f>+$AC619*BF619</f>
        <v>0</v>
      </c>
      <c r="AH619" s="5">
        <f>+$AC619*BG619</f>
        <v>0</v>
      </c>
      <c r="AI619" s="5">
        <f>+$AC619*BH619</f>
        <v>0</v>
      </c>
      <c r="AJ619" s="5">
        <f>+$AC619*BI619</f>
        <v>0</v>
      </c>
      <c r="AK619" s="5">
        <f>+$AC619*BJ619</f>
        <v>0</v>
      </c>
      <c r="AL619" s="5">
        <f>+$AC619*BK619</f>
        <v>0</v>
      </c>
      <c r="AM619" s="5">
        <f>+$AC619*BL619</f>
        <v>0</v>
      </c>
      <c r="AN619" s="5">
        <f>+$AC619*BM619</f>
        <v>0</v>
      </c>
      <c r="AO619" s="5">
        <f>+$AC619*BN619</f>
        <v>0</v>
      </c>
      <c r="AP619" s="5">
        <f>+AC619+P619+C619</f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2">
        <v>8.9181565948742242E-2</v>
      </c>
      <c r="BD619" s="2">
        <v>0.10665277883445198</v>
      </c>
      <c r="BE619" s="2">
        <v>9.438849084854764E-2</v>
      </c>
      <c r="BF619" s="2">
        <v>7.149564986855049E-2</v>
      </c>
      <c r="BG619" s="2">
        <v>0.10368571810536763</v>
      </c>
      <c r="BH619" s="2">
        <v>8.4970330952544637E-2</v>
      </c>
      <c r="BI619" s="2">
        <v>8.4593878877262704E-2</v>
      </c>
      <c r="BJ619" s="2">
        <v>5.7447105462779965E-2</v>
      </c>
      <c r="BK619" s="2">
        <v>8.5153852345557474E-2</v>
      </c>
      <c r="BL619" s="2">
        <v>7.4158058913035174E-2</v>
      </c>
      <c r="BM619" s="2">
        <v>7.5718189192107169E-2</v>
      </c>
      <c r="BN619" s="2">
        <v>7.3955559365675619E-2</v>
      </c>
    </row>
    <row r="620" spans="1:66" x14ac:dyDescent="0.25">
      <c r="A620" s="8">
        <v>3937</v>
      </c>
      <c r="B620" s="8" t="s">
        <v>376</v>
      </c>
      <c r="C620" s="5">
        <v>0</v>
      </c>
      <c r="D620" s="5">
        <f>+$C620*BC620</f>
        <v>0</v>
      </c>
      <c r="E620" s="5">
        <f>+$C620*BD620</f>
        <v>0</v>
      </c>
      <c r="F620" s="5">
        <f>+$C620*BE620</f>
        <v>0</v>
      </c>
      <c r="G620" s="5">
        <f>+$C620*BF620</f>
        <v>0</v>
      </c>
      <c r="H620" s="5">
        <f>+$C620*BG620</f>
        <v>0</v>
      </c>
      <c r="I620" s="5">
        <f>+$C620*BH620</f>
        <v>0</v>
      </c>
      <c r="J620" s="5">
        <f>+$C620*BI620</f>
        <v>0</v>
      </c>
      <c r="K620" s="5">
        <f>+$C620*BJ620</f>
        <v>0</v>
      </c>
      <c r="L620" s="5">
        <f>+$C620*BK620</f>
        <v>0</v>
      </c>
      <c r="M620" s="5">
        <f>+$C620*BL620</f>
        <v>0</v>
      </c>
      <c r="N620" s="5">
        <f>+$C620*BM620</f>
        <v>0</v>
      </c>
      <c r="O620" s="5">
        <f>+$C620*BN620</f>
        <v>0</v>
      </c>
      <c r="P620" s="5">
        <v>2000</v>
      </c>
      <c r="Q620" s="5">
        <f>+$P620*BC620</f>
        <v>178.36313189748449</v>
      </c>
      <c r="R620" s="5">
        <f>+$P620*BD620</f>
        <v>213.30555766890396</v>
      </c>
      <c r="S620" s="5">
        <f>+$P620*BE620</f>
        <v>188.77698169709529</v>
      </c>
      <c r="T620" s="5">
        <f>+$P620*BF620</f>
        <v>142.99129973710097</v>
      </c>
      <c r="U620" s="5">
        <f>+$P620*BG620</f>
        <v>207.37143621073525</v>
      </c>
      <c r="V620" s="5">
        <f>+$P620*BH620</f>
        <v>169.94066190508929</v>
      </c>
      <c r="W620" s="5">
        <f>+$P620*BI620</f>
        <v>169.18775775452542</v>
      </c>
      <c r="X620" s="5">
        <f>+$P620*BJ620</f>
        <v>114.89421092555993</v>
      </c>
      <c r="Y620" s="5">
        <f>+$P620*BK620</f>
        <v>170.30770469111494</v>
      </c>
      <c r="Z620" s="5">
        <f>+$P620*BL620</f>
        <v>148.31611782607035</v>
      </c>
      <c r="AA620" s="5">
        <f>+$P620*BM620</f>
        <v>151.43637838421435</v>
      </c>
      <c r="AB620" s="5">
        <f>+$P620*BN620</f>
        <v>147.91111873135125</v>
      </c>
      <c r="AC620" s="5">
        <v>0</v>
      </c>
      <c r="AD620" s="5">
        <f>+$AC620*BC620</f>
        <v>0</v>
      </c>
      <c r="AE620" s="5">
        <f>+$AC620*BD620</f>
        <v>0</v>
      </c>
      <c r="AF620" s="5">
        <f>+$AC620*BE620</f>
        <v>0</v>
      </c>
      <c r="AG620" s="5">
        <f>+$AC620*BF620</f>
        <v>0</v>
      </c>
      <c r="AH620" s="5">
        <f>+$AC620*BG620</f>
        <v>0</v>
      </c>
      <c r="AI620" s="5">
        <f>+$AC620*BH620</f>
        <v>0</v>
      </c>
      <c r="AJ620" s="5">
        <f>+$AC620*BI620</f>
        <v>0</v>
      </c>
      <c r="AK620" s="5">
        <f>+$AC620*BJ620</f>
        <v>0</v>
      </c>
      <c r="AL620" s="5">
        <f>+$AC620*BK620</f>
        <v>0</v>
      </c>
      <c r="AM620" s="5">
        <f>+$AC620*BL620</f>
        <v>0</v>
      </c>
      <c r="AN620" s="5">
        <f>+$AC620*BM620</f>
        <v>0</v>
      </c>
      <c r="AO620" s="5">
        <f>+$AC620*BN620</f>
        <v>0</v>
      </c>
      <c r="AP620" s="5">
        <f>+AC620+P620+C620</f>
        <v>2000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2">
        <v>8.9181565948742242E-2</v>
      </c>
      <c r="BD620" s="2">
        <v>0.10665277883445198</v>
      </c>
      <c r="BE620" s="2">
        <v>9.438849084854764E-2</v>
      </c>
      <c r="BF620" s="2">
        <v>7.149564986855049E-2</v>
      </c>
      <c r="BG620" s="2">
        <v>0.10368571810536763</v>
      </c>
      <c r="BH620" s="2">
        <v>8.4970330952544637E-2</v>
      </c>
      <c r="BI620" s="2">
        <v>8.4593878877262704E-2</v>
      </c>
      <c r="BJ620" s="2">
        <v>5.7447105462779965E-2</v>
      </c>
      <c r="BK620" s="2">
        <v>8.5153852345557474E-2</v>
      </c>
      <c r="BL620" s="2">
        <v>7.4158058913035174E-2</v>
      </c>
      <c r="BM620" s="2">
        <v>7.5718189192107169E-2</v>
      </c>
      <c r="BN620" s="2">
        <v>7.3955559365675619E-2</v>
      </c>
    </row>
    <row r="621" spans="1:66" x14ac:dyDescent="0.25">
      <c r="A621" s="8">
        <v>3940</v>
      </c>
      <c r="B621" s="8" t="s">
        <v>375</v>
      </c>
      <c r="C621" s="5">
        <v>0</v>
      </c>
      <c r="D621" s="5">
        <f>+$C621*BC621</f>
        <v>0</v>
      </c>
      <c r="E621" s="5">
        <f>+$C621*BD621</f>
        <v>0</v>
      </c>
      <c r="F621" s="5">
        <f>+$C621*BE621</f>
        <v>0</v>
      </c>
      <c r="G621" s="5">
        <f>+$C621*BF621</f>
        <v>0</v>
      </c>
      <c r="H621" s="5">
        <f>+$C621*BG621</f>
        <v>0</v>
      </c>
      <c r="I621" s="5">
        <f>+$C621*BH621</f>
        <v>0</v>
      </c>
      <c r="J621" s="5">
        <f>+$C621*BI621</f>
        <v>0</v>
      </c>
      <c r="K621" s="5">
        <f>+$C621*BJ621</f>
        <v>0</v>
      </c>
      <c r="L621" s="5">
        <f>+$C621*BK621</f>
        <v>0</v>
      </c>
      <c r="M621" s="5">
        <f>+$C621*BL621</f>
        <v>0</v>
      </c>
      <c r="N621" s="5">
        <f>+$C621*BM621</f>
        <v>0</v>
      </c>
      <c r="O621" s="5">
        <f>+$C621*BN621</f>
        <v>0</v>
      </c>
      <c r="P621" s="5">
        <v>0</v>
      </c>
      <c r="Q621" s="5">
        <f>+$P621*BC621</f>
        <v>0</v>
      </c>
      <c r="R621" s="5">
        <f>+$P621*BD621</f>
        <v>0</v>
      </c>
      <c r="S621" s="5">
        <f>+$P621*BE621</f>
        <v>0</v>
      </c>
      <c r="T621" s="5">
        <f>+$P621*BF621</f>
        <v>0</v>
      </c>
      <c r="U621" s="5">
        <f>+$P621*BG621</f>
        <v>0</v>
      </c>
      <c r="V621" s="5">
        <f>+$P621*BH621</f>
        <v>0</v>
      </c>
      <c r="W621" s="5">
        <f>+$P621*BI621</f>
        <v>0</v>
      </c>
      <c r="X621" s="5">
        <f>+$P621*BJ621</f>
        <v>0</v>
      </c>
      <c r="Y621" s="5">
        <f>+$P621*BK621</f>
        <v>0</v>
      </c>
      <c r="Z621" s="5">
        <f>+$P621*BL621</f>
        <v>0</v>
      </c>
      <c r="AA621" s="5">
        <f>+$P621*BM621</f>
        <v>0</v>
      </c>
      <c r="AB621" s="5">
        <f>+$P621*BN621</f>
        <v>0</v>
      </c>
      <c r="AC621" s="5">
        <v>0</v>
      </c>
      <c r="AD621" s="5">
        <f>+$AC621*BC621</f>
        <v>0</v>
      </c>
      <c r="AE621" s="5">
        <f>+$AC621*BD621</f>
        <v>0</v>
      </c>
      <c r="AF621" s="5">
        <f>+$AC621*BE621</f>
        <v>0</v>
      </c>
      <c r="AG621" s="5">
        <f>+$AC621*BF621</f>
        <v>0</v>
      </c>
      <c r="AH621" s="5">
        <f>+$AC621*BG621</f>
        <v>0</v>
      </c>
      <c r="AI621" s="5">
        <f>+$AC621*BH621</f>
        <v>0</v>
      </c>
      <c r="AJ621" s="5">
        <f>+$AC621*BI621</f>
        <v>0</v>
      </c>
      <c r="AK621" s="5">
        <f>+$AC621*BJ621</f>
        <v>0</v>
      </c>
      <c r="AL621" s="5">
        <f>+$AC621*BK621</f>
        <v>0</v>
      </c>
      <c r="AM621" s="5">
        <f>+$AC621*BL621</f>
        <v>0</v>
      </c>
      <c r="AN621" s="5">
        <f>+$AC621*BM621</f>
        <v>0</v>
      </c>
      <c r="AO621" s="5">
        <f>+$AC621*BN621</f>
        <v>0</v>
      </c>
      <c r="AP621" s="5">
        <f>+AC621+P621+C621</f>
        <v>0</v>
      </c>
      <c r="AQ621" s="1">
        <v>129.98213237029185</v>
      </c>
      <c r="AR621" s="1">
        <v>155.44642515121379</v>
      </c>
      <c r="AS621" s="1">
        <v>137.57122541175821</v>
      </c>
      <c r="AT621" s="1">
        <v>104.20490968341235</v>
      </c>
      <c r="AU621" s="1">
        <v>151.12193413857335</v>
      </c>
      <c r="AV621" s="1">
        <v>123.84425736333382</v>
      </c>
      <c r="AW621" s="1">
        <v>123.29557846361041</v>
      </c>
      <c r="AX621" s="1">
        <v>83.729156212001811</v>
      </c>
      <c r="AY621" s="1">
        <v>124.11173979365003</v>
      </c>
      <c r="AZ621" s="1">
        <v>108.08537086574879</v>
      </c>
      <c r="BA621" s="1">
        <v>110.35926074749622</v>
      </c>
      <c r="BB621" s="1">
        <v>107.79022777547223</v>
      </c>
      <c r="BC621" s="2">
        <v>8.9181565948742242E-2</v>
      </c>
      <c r="BD621" s="2">
        <v>0.10665277883445198</v>
      </c>
      <c r="BE621" s="2">
        <v>9.438849084854764E-2</v>
      </c>
      <c r="BF621" s="2">
        <v>7.149564986855049E-2</v>
      </c>
      <c r="BG621" s="2">
        <v>0.10368571810536763</v>
      </c>
      <c r="BH621" s="2">
        <v>8.4970330952544637E-2</v>
      </c>
      <c r="BI621" s="2">
        <v>8.4593878877262704E-2</v>
      </c>
      <c r="BJ621" s="2">
        <v>5.7447105462779965E-2</v>
      </c>
      <c r="BK621" s="2">
        <v>8.5153852345557474E-2</v>
      </c>
      <c r="BL621" s="2">
        <v>7.4158058913035174E-2</v>
      </c>
      <c r="BM621" s="2">
        <v>7.5718189192107169E-2</v>
      </c>
      <c r="BN621" s="2">
        <v>7.3955559365675619E-2</v>
      </c>
    </row>
    <row r="622" spans="1:66" x14ac:dyDescent="0.25">
      <c r="A622" s="8">
        <v>3941</v>
      </c>
      <c r="B622" s="8" t="s">
        <v>374</v>
      </c>
      <c r="C622" s="5">
        <v>0</v>
      </c>
      <c r="D622" s="5">
        <f>+$C622*BC622</f>
        <v>0</v>
      </c>
      <c r="E622" s="5">
        <f>+$C622*BD622</f>
        <v>0</v>
      </c>
      <c r="F622" s="5">
        <f>+$C622*BE622</f>
        <v>0</v>
      </c>
      <c r="G622" s="5">
        <f>+$C622*BF622</f>
        <v>0</v>
      </c>
      <c r="H622" s="5">
        <f>+$C622*BG622</f>
        <v>0</v>
      </c>
      <c r="I622" s="5">
        <f>+$C622*BH622</f>
        <v>0</v>
      </c>
      <c r="J622" s="5">
        <f>+$C622*BI622</f>
        <v>0</v>
      </c>
      <c r="K622" s="5">
        <f>+$C622*BJ622</f>
        <v>0</v>
      </c>
      <c r="L622" s="5">
        <f>+$C622*BK622</f>
        <v>0</v>
      </c>
      <c r="M622" s="5">
        <f>+$C622*BL622</f>
        <v>0</v>
      </c>
      <c r="N622" s="5">
        <f>+$C622*BM622</f>
        <v>0</v>
      </c>
      <c r="O622" s="5">
        <f>+$C622*BN622</f>
        <v>0</v>
      </c>
      <c r="P622" s="5">
        <v>0</v>
      </c>
      <c r="Q622" s="5">
        <f>+$P622*BC622</f>
        <v>0</v>
      </c>
      <c r="R622" s="5">
        <f>+$P622*BD622</f>
        <v>0</v>
      </c>
      <c r="S622" s="5">
        <f>+$P622*BE622</f>
        <v>0</v>
      </c>
      <c r="T622" s="5">
        <f>+$P622*BF622</f>
        <v>0</v>
      </c>
      <c r="U622" s="5">
        <f>+$P622*BG622</f>
        <v>0</v>
      </c>
      <c r="V622" s="5">
        <f>+$P622*BH622</f>
        <v>0</v>
      </c>
      <c r="W622" s="5">
        <f>+$P622*BI622</f>
        <v>0</v>
      </c>
      <c r="X622" s="5">
        <f>+$P622*BJ622</f>
        <v>0</v>
      </c>
      <c r="Y622" s="5">
        <f>+$P622*BK622</f>
        <v>0</v>
      </c>
      <c r="Z622" s="5">
        <f>+$P622*BL622</f>
        <v>0</v>
      </c>
      <c r="AA622" s="5">
        <f>+$P622*BM622</f>
        <v>0</v>
      </c>
      <c r="AB622" s="5">
        <f>+$P622*BN622</f>
        <v>0</v>
      </c>
      <c r="AC622" s="5">
        <v>0</v>
      </c>
      <c r="AD622" s="5">
        <f>+$AC622*BC622</f>
        <v>0</v>
      </c>
      <c r="AE622" s="5">
        <f>+$AC622*BD622</f>
        <v>0</v>
      </c>
      <c r="AF622" s="5">
        <f>+$AC622*BE622</f>
        <v>0</v>
      </c>
      <c r="AG622" s="5">
        <f>+$AC622*BF622</f>
        <v>0</v>
      </c>
      <c r="AH622" s="5">
        <f>+$AC622*BG622</f>
        <v>0</v>
      </c>
      <c r="AI622" s="5">
        <f>+$AC622*BH622</f>
        <v>0</v>
      </c>
      <c r="AJ622" s="5">
        <f>+$AC622*BI622</f>
        <v>0</v>
      </c>
      <c r="AK622" s="5">
        <f>+$AC622*BJ622</f>
        <v>0</v>
      </c>
      <c r="AL622" s="5">
        <f>+$AC622*BK622</f>
        <v>0</v>
      </c>
      <c r="AM622" s="5">
        <f>+$AC622*BL622</f>
        <v>0</v>
      </c>
      <c r="AN622" s="5">
        <f>+$AC622*BM622</f>
        <v>0</v>
      </c>
      <c r="AO622" s="5">
        <f>+$AC622*BN622</f>
        <v>0</v>
      </c>
      <c r="AP622" s="5">
        <f>+AC622+P622+C622</f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2">
        <v>8.9181565948742242E-2</v>
      </c>
      <c r="BD622" s="2">
        <v>0.10665277883445198</v>
      </c>
      <c r="BE622" s="2">
        <v>9.438849084854764E-2</v>
      </c>
      <c r="BF622" s="2">
        <v>7.149564986855049E-2</v>
      </c>
      <c r="BG622" s="2">
        <v>0.10368571810536763</v>
      </c>
      <c r="BH622" s="2">
        <v>8.4970330952544637E-2</v>
      </c>
      <c r="BI622" s="2">
        <v>8.4593878877262704E-2</v>
      </c>
      <c r="BJ622" s="2">
        <v>5.7447105462779965E-2</v>
      </c>
      <c r="BK622" s="2">
        <v>8.5153852345557474E-2</v>
      </c>
      <c r="BL622" s="2">
        <v>7.4158058913035174E-2</v>
      </c>
      <c r="BM622" s="2">
        <v>7.5718189192107169E-2</v>
      </c>
      <c r="BN622" s="2">
        <v>7.3955559365675619E-2</v>
      </c>
    </row>
    <row r="623" spans="1:66" x14ac:dyDescent="0.25">
      <c r="A623" s="8">
        <v>3977</v>
      </c>
      <c r="B623" s="8" t="s">
        <v>373</v>
      </c>
      <c r="C623" s="5">
        <v>0</v>
      </c>
      <c r="D623" s="5">
        <f>+$C623*BC623</f>
        <v>0</v>
      </c>
      <c r="E623" s="5">
        <f>+$C623*BD623</f>
        <v>0</v>
      </c>
      <c r="F623" s="5">
        <f>+$C623*BE623</f>
        <v>0</v>
      </c>
      <c r="G623" s="5">
        <f>+$C623*BF623</f>
        <v>0</v>
      </c>
      <c r="H623" s="5">
        <f>+$C623*BG623</f>
        <v>0</v>
      </c>
      <c r="I623" s="5">
        <f>+$C623*BH623</f>
        <v>0</v>
      </c>
      <c r="J623" s="5">
        <f>+$C623*BI623</f>
        <v>0</v>
      </c>
      <c r="K623" s="5">
        <f>+$C623*BJ623</f>
        <v>0</v>
      </c>
      <c r="L623" s="5">
        <f>+$C623*BK623</f>
        <v>0</v>
      </c>
      <c r="M623" s="5">
        <f>+$C623*BL623</f>
        <v>0</v>
      </c>
      <c r="N623" s="5">
        <f>+$C623*BM623</f>
        <v>0</v>
      </c>
      <c r="O623" s="5">
        <f>+$C623*BN623</f>
        <v>0</v>
      </c>
      <c r="P623" s="5">
        <v>0</v>
      </c>
      <c r="Q623" s="5">
        <f>+$P623*BC623</f>
        <v>0</v>
      </c>
      <c r="R623" s="5">
        <f>+$P623*BD623</f>
        <v>0</v>
      </c>
      <c r="S623" s="5">
        <f>+$P623*BE623</f>
        <v>0</v>
      </c>
      <c r="T623" s="5">
        <f>+$P623*BF623</f>
        <v>0</v>
      </c>
      <c r="U623" s="5">
        <f>+$P623*BG623</f>
        <v>0</v>
      </c>
      <c r="V623" s="5">
        <f>+$P623*BH623</f>
        <v>0</v>
      </c>
      <c r="W623" s="5">
        <f>+$P623*BI623</f>
        <v>0</v>
      </c>
      <c r="X623" s="5">
        <f>+$P623*BJ623</f>
        <v>0</v>
      </c>
      <c r="Y623" s="5">
        <f>+$P623*BK623</f>
        <v>0</v>
      </c>
      <c r="Z623" s="5">
        <f>+$P623*BL623</f>
        <v>0</v>
      </c>
      <c r="AA623" s="5">
        <f>+$P623*BM623</f>
        <v>0</v>
      </c>
      <c r="AB623" s="5">
        <f>+$P623*BN623</f>
        <v>0</v>
      </c>
      <c r="AC623" s="5">
        <v>0</v>
      </c>
      <c r="AD623" s="5">
        <f>+$AC623*BC623</f>
        <v>0</v>
      </c>
      <c r="AE623" s="5">
        <f>+$AC623*BD623</f>
        <v>0</v>
      </c>
      <c r="AF623" s="5">
        <f>+$AC623*BE623</f>
        <v>0</v>
      </c>
      <c r="AG623" s="5">
        <f>+$AC623*BF623</f>
        <v>0</v>
      </c>
      <c r="AH623" s="5">
        <f>+$AC623*BG623</f>
        <v>0</v>
      </c>
      <c r="AI623" s="5">
        <f>+$AC623*BH623</f>
        <v>0</v>
      </c>
      <c r="AJ623" s="5">
        <f>+$AC623*BI623</f>
        <v>0</v>
      </c>
      <c r="AK623" s="5">
        <f>+$AC623*BJ623</f>
        <v>0</v>
      </c>
      <c r="AL623" s="5">
        <f>+$AC623*BK623</f>
        <v>0</v>
      </c>
      <c r="AM623" s="5">
        <f>+$AC623*BL623</f>
        <v>0</v>
      </c>
      <c r="AN623" s="5">
        <f>+$AC623*BM623</f>
        <v>0</v>
      </c>
      <c r="AO623" s="5">
        <f>+$AC623*BN623</f>
        <v>0</v>
      </c>
      <c r="AP623" s="5">
        <f>+AC623+P623+C623</f>
        <v>0</v>
      </c>
      <c r="AQ623" s="1">
        <v>22.317686878672749</v>
      </c>
      <c r="AR623" s="1">
        <v>26.689857903321613</v>
      </c>
      <c r="AS623" s="1">
        <v>23.620719834849048</v>
      </c>
      <c r="AT623" s="1">
        <v>17.891786379604763</v>
      </c>
      <c r="AU623" s="1">
        <v>25.947350955868252</v>
      </c>
      <c r="AV623" s="1">
        <v>21.263825320874297</v>
      </c>
      <c r="AW623" s="1">
        <v>21.169618189034995</v>
      </c>
      <c r="AX623" s="1">
        <v>14.376138142060688</v>
      </c>
      <c r="AY623" s="1">
        <v>21.309751549475759</v>
      </c>
      <c r="AZ623" s="1">
        <v>18.558054242987055</v>
      </c>
      <c r="BA623" s="1">
        <v>18.948476845324819</v>
      </c>
      <c r="BB623" s="1">
        <v>18.507378731260324</v>
      </c>
      <c r="BC623" s="2">
        <v>8.9181565948742242E-2</v>
      </c>
      <c r="BD623" s="2">
        <v>0.10665277883445198</v>
      </c>
      <c r="BE623" s="2">
        <v>9.438849084854764E-2</v>
      </c>
      <c r="BF623" s="2">
        <v>7.149564986855049E-2</v>
      </c>
      <c r="BG623" s="2">
        <v>0.10368571810536763</v>
      </c>
      <c r="BH623" s="2">
        <v>8.4970330952544637E-2</v>
      </c>
      <c r="BI623" s="2">
        <v>8.4593878877262704E-2</v>
      </c>
      <c r="BJ623" s="2">
        <v>5.7447105462779965E-2</v>
      </c>
      <c r="BK623" s="2">
        <v>8.5153852345557474E-2</v>
      </c>
      <c r="BL623" s="2">
        <v>7.4158058913035174E-2</v>
      </c>
      <c r="BM623" s="2">
        <v>7.5718189192107169E-2</v>
      </c>
      <c r="BN623" s="2">
        <v>7.3955559365675619E-2</v>
      </c>
    </row>
    <row r="624" spans="1:66" x14ac:dyDescent="0.25">
      <c r="A624" s="8">
        <v>3985</v>
      </c>
      <c r="B624" s="8" t="s">
        <v>372</v>
      </c>
      <c r="C624" s="5">
        <v>0</v>
      </c>
      <c r="D624" s="5">
        <f>+$C624*BC624</f>
        <v>0</v>
      </c>
      <c r="E624" s="5">
        <f>+$C624*BD624</f>
        <v>0</v>
      </c>
      <c r="F624" s="5">
        <f>+$C624*BE624</f>
        <v>0</v>
      </c>
      <c r="G624" s="5">
        <f>+$C624*BF624</f>
        <v>0</v>
      </c>
      <c r="H624" s="5">
        <f>+$C624*BG624</f>
        <v>0</v>
      </c>
      <c r="I624" s="5">
        <f>+$C624*BH624</f>
        <v>0</v>
      </c>
      <c r="J624" s="5">
        <f>+$C624*BI624</f>
        <v>0</v>
      </c>
      <c r="K624" s="5">
        <f>+$C624*BJ624</f>
        <v>0</v>
      </c>
      <c r="L624" s="5">
        <f>+$C624*BK624</f>
        <v>0</v>
      </c>
      <c r="M624" s="5">
        <f>+$C624*BL624</f>
        <v>0</v>
      </c>
      <c r="N624" s="5">
        <f>+$C624*BM624</f>
        <v>0</v>
      </c>
      <c r="O624" s="5">
        <f>+$C624*BN624</f>
        <v>0</v>
      </c>
      <c r="P624" s="5">
        <v>0</v>
      </c>
      <c r="Q624" s="5">
        <f>+$P624*BC624</f>
        <v>0</v>
      </c>
      <c r="R624" s="5">
        <f>+$P624*BD624</f>
        <v>0</v>
      </c>
      <c r="S624" s="5">
        <f>+$P624*BE624</f>
        <v>0</v>
      </c>
      <c r="T624" s="5">
        <f>+$P624*BF624</f>
        <v>0</v>
      </c>
      <c r="U624" s="5">
        <f>+$P624*BG624</f>
        <v>0</v>
      </c>
      <c r="V624" s="5">
        <f>+$P624*BH624</f>
        <v>0</v>
      </c>
      <c r="W624" s="5">
        <f>+$P624*BI624</f>
        <v>0</v>
      </c>
      <c r="X624" s="5">
        <f>+$P624*BJ624</f>
        <v>0</v>
      </c>
      <c r="Y624" s="5">
        <f>+$P624*BK624</f>
        <v>0</v>
      </c>
      <c r="Z624" s="5">
        <f>+$P624*BL624</f>
        <v>0</v>
      </c>
      <c r="AA624" s="5">
        <f>+$P624*BM624</f>
        <v>0</v>
      </c>
      <c r="AB624" s="5">
        <f>+$P624*BN624</f>
        <v>0</v>
      </c>
      <c r="AC624" s="5">
        <v>0</v>
      </c>
      <c r="AD624" s="5">
        <f>+$AC624*BC624</f>
        <v>0</v>
      </c>
      <c r="AE624" s="5">
        <f>+$AC624*BD624</f>
        <v>0</v>
      </c>
      <c r="AF624" s="5">
        <f>+$AC624*BE624</f>
        <v>0</v>
      </c>
      <c r="AG624" s="5">
        <f>+$AC624*BF624</f>
        <v>0</v>
      </c>
      <c r="AH624" s="5">
        <f>+$AC624*BG624</f>
        <v>0</v>
      </c>
      <c r="AI624" s="5">
        <f>+$AC624*BH624</f>
        <v>0</v>
      </c>
      <c r="AJ624" s="5">
        <f>+$AC624*BI624</f>
        <v>0</v>
      </c>
      <c r="AK624" s="5">
        <f>+$AC624*BJ624</f>
        <v>0</v>
      </c>
      <c r="AL624" s="5">
        <f>+$AC624*BK624</f>
        <v>0</v>
      </c>
      <c r="AM624" s="5">
        <f>+$AC624*BL624</f>
        <v>0</v>
      </c>
      <c r="AN624" s="5">
        <f>+$AC624*BM624</f>
        <v>0</v>
      </c>
      <c r="AO624" s="5">
        <f>+$AC624*BN624</f>
        <v>0</v>
      </c>
      <c r="AP624" s="5">
        <f>+AC624+P624+C624</f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2">
        <v>8.9181565948742242E-2</v>
      </c>
      <c r="BD624" s="2">
        <v>0.10665277883445198</v>
      </c>
      <c r="BE624" s="2">
        <v>9.438849084854764E-2</v>
      </c>
      <c r="BF624" s="2">
        <v>7.149564986855049E-2</v>
      </c>
      <c r="BG624" s="2">
        <v>0.10368571810536763</v>
      </c>
      <c r="BH624" s="2">
        <v>8.4970330952544637E-2</v>
      </c>
      <c r="BI624" s="2">
        <v>8.4593878877262704E-2</v>
      </c>
      <c r="BJ624" s="2">
        <v>5.7447105462779965E-2</v>
      </c>
      <c r="BK624" s="2">
        <v>8.5153852345557474E-2</v>
      </c>
      <c r="BL624" s="2">
        <v>7.4158058913035174E-2</v>
      </c>
      <c r="BM624" s="2">
        <v>7.5718189192107169E-2</v>
      </c>
      <c r="BN624" s="2">
        <v>7.3955559365675619E-2</v>
      </c>
    </row>
    <row r="625" spans="1:66" x14ac:dyDescent="0.25">
      <c r="A625" s="8">
        <v>3993</v>
      </c>
      <c r="B625" s="8" t="s">
        <v>371</v>
      </c>
      <c r="C625" s="5">
        <v>0</v>
      </c>
      <c r="D625" s="5">
        <f>+$C625*BC625</f>
        <v>0</v>
      </c>
      <c r="E625" s="5">
        <f>+$C625*BD625</f>
        <v>0</v>
      </c>
      <c r="F625" s="5">
        <f>+$C625*BE625</f>
        <v>0</v>
      </c>
      <c r="G625" s="5">
        <f>+$C625*BF625</f>
        <v>0</v>
      </c>
      <c r="H625" s="5">
        <f>+$C625*BG625</f>
        <v>0</v>
      </c>
      <c r="I625" s="5">
        <f>+$C625*BH625</f>
        <v>0</v>
      </c>
      <c r="J625" s="5">
        <f>+$C625*BI625</f>
        <v>0</v>
      </c>
      <c r="K625" s="5">
        <f>+$C625*BJ625</f>
        <v>0</v>
      </c>
      <c r="L625" s="5">
        <f>+$C625*BK625</f>
        <v>0</v>
      </c>
      <c r="M625" s="5">
        <f>+$C625*BL625</f>
        <v>0</v>
      </c>
      <c r="N625" s="5">
        <f>+$C625*BM625</f>
        <v>0</v>
      </c>
      <c r="O625" s="5">
        <f>+$C625*BN625</f>
        <v>0</v>
      </c>
      <c r="P625" s="5">
        <v>4000</v>
      </c>
      <c r="Q625" s="5">
        <f>+$P625*BC625</f>
        <v>356.72626379496899</v>
      </c>
      <c r="R625" s="5">
        <f>+$P625*BD625</f>
        <v>426.61111533780792</v>
      </c>
      <c r="S625" s="5">
        <f>+$P625*BE625</f>
        <v>377.55396339419059</v>
      </c>
      <c r="T625" s="5">
        <f>+$P625*BF625</f>
        <v>285.98259947420195</v>
      </c>
      <c r="U625" s="5">
        <f>+$P625*BG625</f>
        <v>414.74287242147051</v>
      </c>
      <c r="V625" s="5">
        <f>+$P625*BH625</f>
        <v>339.88132381017857</v>
      </c>
      <c r="W625" s="5">
        <f>+$P625*BI625</f>
        <v>338.37551550905084</v>
      </c>
      <c r="X625" s="5">
        <f>+$P625*BJ625</f>
        <v>229.78842185111986</v>
      </c>
      <c r="Y625" s="5">
        <f>+$P625*BK625</f>
        <v>340.61540938222987</v>
      </c>
      <c r="Z625" s="5">
        <f>+$P625*BL625</f>
        <v>296.63223565214071</v>
      </c>
      <c r="AA625" s="5">
        <f>+$P625*BM625</f>
        <v>302.8727567684287</v>
      </c>
      <c r="AB625" s="5">
        <f>+$P625*BN625</f>
        <v>295.8222374627025</v>
      </c>
      <c r="AC625" s="5">
        <v>0</v>
      </c>
      <c r="AD625" s="5">
        <f>+$AC625*BC625</f>
        <v>0</v>
      </c>
      <c r="AE625" s="5">
        <f>+$AC625*BD625</f>
        <v>0</v>
      </c>
      <c r="AF625" s="5">
        <f>+$AC625*BE625</f>
        <v>0</v>
      </c>
      <c r="AG625" s="5">
        <f>+$AC625*BF625</f>
        <v>0</v>
      </c>
      <c r="AH625" s="5">
        <f>+$AC625*BG625</f>
        <v>0</v>
      </c>
      <c r="AI625" s="5">
        <f>+$AC625*BH625</f>
        <v>0</v>
      </c>
      <c r="AJ625" s="5">
        <f>+$AC625*BI625</f>
        <v>0</v>
      </c>
      <c r="AK625" s="5">
        <f>+$AC625*BJ625</f>
        <v>0</v>
      </c>
      <c r="AL625" s="5">
        <f>+$AC625*BK625</f>
        <v>0</v>
      </c>
      <c r="AM625" s="5">
        <f>+$AC625*BL625</f>
        <v>0</v>
      </c>
      <c r="AN625" s="5">
        <f>+$AC625*BM625</f>
        <v>0</v>
      </c>
      <c r="AO625" s="5">
        <f>+$AC625*BN625</f>
        <v>0</v>
      </c>
      <c r="AP625" s="5">
        <f>+AC625+P625+C625</f>
        <v>4000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2">
        <v>8.9181565948742242E-2</v>
      </c>
      <c r="BD625" s="2">
        <v>0.10665277883445198</v>
      </c>
      <c r="BE625" s="2">
        <v>9.438849084854764E-2</v>
      </c>
      <c r="BF625" s="2">
        <v>7.149564986855049E-2</v>
      </c>
      <c r="BG625" s="2">
        <v>0.10368571810536763</v>
      </c>
      <c r="BH625" s="2">
        <v>8.4970330952544637E-2</v>
      </c>
      <c r="BI625" s="2">
        <v>8.4593878877262704E-2</v>
      </c>
      <c r="BJ625" s="2">
        <v>5.7447105462779965E-2</v>
      </c>
      <c r="BK625" s="2">
        <v>8.5153852345557474E-2</v>
      </c>
      <c r="BL625" s="2">
        <v>7.4158058913035174E-2</v>
      </c>
      <c r="BM625" s="2">
        <v>7.5718189192107169E-2</v>
      </c>
      <c r="BN625" s="2">
        <v>7.3955559365675619E-2</v>
      </c>
    </row>
    <row r="626" spans="1:66" x14ac:dyDescent="0.25">
      <c r="A626" s="8">
        <v>3995</v>
      </c>
      <c r="B626" s="8" t="s">
        <v>370</v>
      </c>
      <c r="C626" s="5">
        <v>0</v>
      </c>
      <c r="D626" s="5">
        <f>+$C626*BC626</f>
        <v>0</v>
      </c>
      <c r="E626" s="5">
        <f>+$C626*BD626</f>
        <v>0</v>
      </c>
      <c r="F626" s="5">
        <f>+$C626*BE626</f>
        <v>0</v>
      </c>
      <c r="G626" s="5">
        <f>+$C626*BF626</f>
        <v>0</v>
      </c>
      <c r="H626" s="5">
        <f>+$C626*BG626</f>
        <v>0</v>
      </c>
      <c r="I626" s="5">
        <f>+$C626*BH626</f>
        <v>0</v>
      </c>
      <c r="J626" s="5">
        <f>+$C626*BI626</f>
        <v>0</v>
      </c>
      <c r="K626" s="5">
        <f>+$C626*BJ626</f>
        <v>0</v>
      </c>
      <c r="L626" s="5">
        <f>+$C626*BK626</f>
        <v>0</v>
      </c>
      <c r="M626" s="5">
        <f>+$C626*BL626</f>
        <v>0</v>
      </c>
      <c r="N626" s="5">
        <f>+$C626*BM626</f>
        <v>0</v>
      </c>
      <c r="O626" s="5">
        <f>+$C626*BN626</f>
        <v>0</v>
      </c>
      <c r="P626" s="5">
        <v>0</v>
      </c>
      <c r="Q626" s="5">
        <f>+$P626*BC626</f>
        <v>0</v>
      </c>
      <c r="R626" s="5">
        <f>+$P626*BD626</f>
        <v>0</v>
      </c>
      <c r="S626" s="5">
        <f>+$P626*BE626</f>
        <v>0</v>
      </c>
      <c r="T626" s="5">
        <f>+$P626*BF626</f>
        <v>0</v>
      </c>
      <c r="U626" s="5">
        <f>+$P626*BG626</f>
        <v>0</v>
      </c>
      <c r="V626" s="5">
        <f>+$P626*BH626</f>
        <v>0</v>
      </c>
      <c r="W626" s="5">
        <f>+$P626*BI626</f>
        <v>0</v>
      </c>
      <c r="X626" s="5">
        <f>+$P626*BJ626</f>
        <v>0</v>
      </c>
      <c r="Y626" s="5">
        <f>+$P626*BK626</f>
        <v>0</v>
      </c>
      <c r="Z626" s="5">
        <f>+$P626*BL626</f>
        <v>0</v>
      </c>
      <c r="AA626" s="5">
        <f>+$P626*BM626</f>
        <v>0</v>
      </c>
      <c r="AB626" s="5">
        <f>+$P626*BN626</f>
        <v>0</v>
      </c>
      <c r="AC626" s="5">
        <v>0</v>
      </c>
      <c r="AD626" s="5">
        <f>+$AC626*BC626</f>
        <v>0</v>
      </c>
      <c r="AE626" s="5">
        <f>+$AC626*BD626</f>
        <v>0</v>
      </c>
      <c r="AF626" s="5">
        <f>+$AC626*BE626</f>
        <v>0</v>
      </c>
      <c r="AG626" s="5">
        <f>+$AC626*BF626</f>
        <v>0</v>
      </c>
      <c r="AH626" s="5">
        <f>+$AC626*BG626</f>
        <v>0</v>
      </c>
      <c r="AI626" s="5">
        <f>+$AC626*BH626</f>
        <v>0</v>
      </c>
      <c r="AJ626" s="5">
        <f>+$AC626*BI626</f>
        <v>0</v>
      </c>
      <c r="AK626" s="5">
        <f>+$AC626*BJ626</f>
        <v>0</v>
      </c>
      <c r="AL626" s="5">
        <f>+$AC626*BK626</f>
        <v>0</v>
      </c>
      <c r="AM626" s="5">
        <f>+$AC626*BL626</f>
        <v>0</v>
      </c>
      <c r="AN626" s="5">
        <f>+$AC626*BM626</f>
        <v>0</v>
      </c>
      <c r="AO626" s="5">
        <f>+$AC626*BN626</f>
        <v>0</v>
      </c>
      <c r="AP626" s="5">
        <f>+AC626+P626+C626</f>
        <v>0</v>
      </c>
      <c r="AQ626" s="1">
        <v>25.702127306427517</v>
      </c>
      <c r="AR626" s="1">
        <v>30.737330860089067</v>
      </c>
      <c r="AS626" s="1">
        <v>27.202763062551433</v>
      </c>
      <c r="AT626" s="1">
        <v>20.605046292116253</v>
      </c>
      <c r="AU626" s="1">
        <v>29.882223957966954</v>
      </c>
      <c r="AV626" s="1">
        <v>24.488449380523367</v>
      </c>
      <c r="AW626" s="1">
        <v>24.379955892427116</v>
      </c>
      <c r="AX626" s="1">
        <v>16.55625579437319</v>
      </c>
      <c r="AY626" s="1">
        <v>24.541340245989669</v>
      </c>
      <c r="AZ626" s="1">
        <v>21.372352578736741</v>
      </c>
      <c r="BA626" s="1">
        <v>21.821982125165288</v>
      </c>
      <c r="BB626" s="1">
        <v>21.313992209187717</v>
      </c>
      <c r="BC626" s="2">
        <v>8.9181565948742242E-2</v>
      </c>
      <c r="BD626" s="2">
        <v>0.10665277883445198</v>
      </c>
      <c r="BE626" s="2">
        <v>9.438849084854764E-2</v>
      </c>
      <c r="BF626" s="2">
        <v>7.149564986855049E-2</v>
      </c>
      <c r="BG626" s="2">
        <v>0.10368571810536763</v>
      </c>
      <c r="BH626" s="2">
        <v>8.4970330952544637E-2</v>
      </c>
      <c r="BI626" s="2">
        <v>8.4593878877262704E-2</v>
      </c>
      <c r="BJ626" s="2">
        <v>5.7447105462779965E-2</v>
      </c>
      <c r="BK626" s="2">
        <v>8.5153852345557474E-2</v>
      </c>
      <c r="BL626" s="2">
        <v>7.4158058913035174E-2</v>
      </c>
      <c r="BM626" s="2">
        <v>7.5718189192107169E-2</v>
      </c>
      <c r="BN626" s="2">
        <v>7.3955559365675619E-2</v>
      </c>
    </row>
    <row r="627" spans="1:66" x14ac:dyDescent="0.25">
      <c r="A627" s="8">
        <v>4037</v>
      </c>
      <c r="B627" s="8" t="s">
        <v>369</v>
      </c>
      <c r="C627" s="5">
        <v>0</v>
      </c>
      <c r="D627" s="5">
        <f>+$C627*BC627</f>
        <v>0</v>
      </c>
      <c r="E627" s="5">
        <f>+$C627*BD627</f>
        <v>0</v>
      </c>
      <c r="F627" s="5">
        <f>+$C627*BE627</f>
        <v>0</v>
      </c>
      <c r="G627" s="5">
        <f>+$C627*BF627</f>
        <v>0</v>
      </c>
      <c r="H627" s="5">
        <f>+$C627*BG627</f>
        <v>0</v>
      </c>
      <c r="I627" s="5">
        <f>+$C627*BH627</f>
        <v>0</v>
      </c>
      <c r="J627" s="5">
        <f>+$C627*BI627</f>
        <v>0</v>
      </c>
      <c r="K627" s="5">
        <f>+$C627*BJ627</f>
        <v>0</v>
      </c>
      <c r="L627" s="5">
        <f>+$C627*BK627</f>
        <v>0</v>
      </c>
      <c r="M627" s="5">
        <f>+$C627*BL627</f>
        <v>0</v>
      </c>
      <c r="N627" s="5">
        <f>+$C627*BM627</f>
        <v>0</v>
      </c>
      <c r="O627" s="5">
        <f>+$C627*BN627</f>
        <v>0</v>
      </c>
      <c r="P627" s="5">
        <v>0</v>
      </c>
      <c r="Q627" s="5">
        <f>+$P627*BC627</f>
        <v>0</v>
      </c>
      <c r="R627" s="5">
        <f>+$P627*BD627</f>
        <v>0</v>
      </c>
      <c r="S627" s="5">
        <f>+$P627*BE627</f>
        <v>0</v>
      </c>
      <c r="T627" s="5">
        <f>+$P627*BF627</f>
        <v>0</v>
      </c>
      <c r="U627" s="5">
        <f>+$P627*BG627</f>
        <v>0</v>
      </c>
      <c r="V627" s="5">
        <f>+$P627*BH627</f>
        <v>0</v>
      </c>
      <c r="W627" s="5">
        <f>+$P627*BI627</f>
        <v>0</v>
      </c>
      <c r="X627" s="5">
        <f>+$P627*BJ627</f>
        <v>0</v>
      </c>
      <c r="Y627" s="5">
        <f>+$P627*BK627</f>
        <v>0</v>
      </c>
      <c r="Z627" s="5">
        <f>+$P627*BL627</f>
        <v>0</v>
      </c>
      <c r="AA627" s="5">
        <f>+$P627*BM627</f>
        <v>0</v>
      </c>
      <c r="AB627" s="5">
        <f>+$P627*BN627</f>
        <v>0</v>
      </c>
      <c r="AC627" s="5">
        <v>0</v>
      </c>
      <c r="AD627" s="5">
        <f>+$AC627*BC627</f>
        <v>0</v>
      </c>
      <c r="AE627" s="5">
        <f>+$AC627*BD627</f>
        <v>0</v>
      </c>
      <c r="AF627" s="5">
        <f>+$AC627*BE627</f>
        <v>0</v>
      </c>
      <c r="AG627" s="5">
        <f>+$AC627*BF627</f>
        <v>0</v>
      </c>
      <c r="AH627" s="5">
        <f>+$AC627*BG627</f>
        <v>0</v>
      </c>
      <c r="AI627" s="5">
        <f>+$AC627*BH627</f>
        <v>0</v>
      </c>
      <c r="AJ627" s="5">
        <f>+$AC627*BI627</f>
        <v>0</v>
      </c>
      <c r="AK627" s="5">
        <f>+$AC627*BJ627</f>
        <v>0</v>
      </c>
      <c r="AL627" s="5">
        <f>+$AC627*BK627</f>
        <v>0</v>
      </c>
      <c r="AM627" s="5">
        <f>+$AC627*BL627</f>
        <v>0</v>
      </c>
      <c r="AN627" s="5">
        <f>+$AC627*BM627</f>
        <v>0</v>
      </c>
      <c r="AO627" s="5">
        <f>+$AC627*BN627</f>
        <v>0</v>
      </c>
      <c r="AP627" s="5">
        <f>+AC627+P627+C627</f>
        <v>0</v>
      </c>
      <c r="AQ627" s="1">
        <v>73.844566144707301</v>
      </c>
      <c r="AR627" s="1">
        <v>88.311167194397115</v>
      </c>
      <c r="AS627" s="1">
        <v>78.156030134868672</v>
      </c>
      <c r="AT627" s="1">
        <v>59.200185482406525</v>
      </c>
      <c r="AU627" s="1">
        <v>85.854366734197043</v>
      </c>
      <c r="AV627" s="1">
        <v>70.357558286980776</v>
      </c>
      <c r="AW627" s="1">
        <v>70.045846557345456</v>
      </c>
      <c r="AX627" s="1">
        <v>47.567639500818387</v>
      </c>
      <c r="AY627" s="1">
        <v>70.50951858843024</v>
      </c>
      <c r="AZ627" s="1">
        <v>61.404726731465956</v>
      </c>
      <c r="BA627" s="1">
        <v>62.696553605794549</v>
      </c>
      <c r="BB627" s="1">
        <v>61.237052043763562</v>
      </c>
      <c r="BC627" s="2">
        <v>8.9181565948742242E-2</v>
      </c>
      <c r="BD627" s="2">
        <v>0.10665277883445198</v>
      </c>
      <c r="BE627" s="2">
        <v>9.438849084854764E-2</v>
      </c>
      <c r="BF627" s="2">
        <v>7.149564986855049E-2</v>
      </c>
      <c r="BG627" s="2">
        <v>0.10368571810536763</v>
      </c>
      <c r="BH627" s="2">
        <v>8.4970330952544637E-2</v>
      </c>
      <c r="BI627" s="2">
        <v>8.4593878877262704E-2</v>
      </c>
      <c r="BJ627" s="2">
        <v>5.7447105462779965E-2</v>
      </c>
      <c r="BK627" s="2">
        <v>8.5153852345557474E-2</v>
      </c>
      <c r="BL627" s="2">
        <v>7.4158058913035174E-2</v>
      </c>
      <c r="BM627" s="2">
        <v>7.5718189192107169E-2</v>
      </c>
      <c r="BN627" s="2">
        <v>7.3955559365675619E-2</v>
      </c>
    </row>
    <row r="628" spans="1:66" x14ac:dyDescent="0.25">
      <c r="A628" s="8">
        <v>4050</v>
      </c>
      <c r="B628" s="8" t="s">
        <v>368</v>
      </c>
      <c r="C628" s="5">
        <v>0</v>
      </c>
      <c r="D628" s="5">
        <f>+$C628*BC628</f>
        <v>0</v>
      </c>
      <c r="E628" s="5">
        <f>+$C628*BD628</f>
        <v>0</v>
      </c>
      <c r="F628" s="5">
        <f>+$C628*BE628</f>
        <v>0</v>
      </c>
      <c r="G628" s="5">
        <f>+$C628*BF628</f>
        <v>0</v>
      </c>
      <c r="H628" s="5">
        <f>+$C628*BG628</f>
        <v>0</v>
      </c>
      <c r="I628" s="5">
        <f>+$C628*BH628</f>
        <v>0</v>
      </c>
      <c r="J628" s="5">
        <f>+$C628*BI628</f>
        <v>0</v>
      </c>
      <c r="K628" s="5">
        <f>+$C628*BJ628</f>
        <v>0</v>
      </c>
      <c r="L628" s="5">
        <f>+$C628*BK628</f>
        <v>0</v>
      </c>
      <c r="M628" s="5">
        <f>+$C628*BL628</f>
        <v>0</v>
      </c>
      <c r="N628" s="5">
        <f>+$C628*BM628</f>
        <v>0</v>
      </c>
      <c r="O628" s="5">
        <f>+$C628*BN628</f>
        <v>0</v>
      </c>
      <c r="P628" s="5">
        <v>0</v>
      </c>
      <c r="Q628" s="5">
        <f>+$P628*BC628</f>
        <v>0</v>
      </c>
      <c r="R628" s="5">
        <f>+$P628*BD628</f>
        <v>0</v>
      </c>
      <c r="S628" s="5">
        <f>+$P628*BE628</f>
        <v>0</v>
      </c>
      <c r="T628" s="5">
        <f>+$P628*BF628</f>
        <v>0</v>
      </c>
      <c r="U628" s="5">
        <f>+$P628*BG628</f>
        <v>0</v>
      </c>
      <c r="V628" s="5">
        <f>+$P628*BH628</f>
        <v>0</v>
      </c>
      <c r="W628" s="5">
        <f>+$P628*BI628</f>
        <v>0</v>
      </c>
      <c r="X628" s="5">
        <f>+$P628*BJ628</f>
        <v>0</v>
      </c>
      <c r="Y628" s="5">
        <f>+$P628*BK628</f>
        <v>0</v>
      </c>
      <c r="Z628" s="5">
        <f>+$P628*BL628</f>
        <v>0</v>
      </c>
      <c r="AA628" s="5">
        <f>+$P628*BM628</f>
        <v>0</v>
      </c>
      <c r="AB628" s="5">
        <f>+$P628*BN628</f>
        <v>0</v>
      </c>
      <c r="AC628" s="5">
        <v>0</v>
      </c>
      <c r="AD628" s="5">
        <f>+$AC628*BC628</f>
        <v>0</v>
      </c>
      <c r="AE628" s="5">
        <f>+$AC628*BD628</f>
        <v>0</v>
      </c>
      <c r="AF628" s="5">
        <f>+$AC628*BE628</f>
        <v>0</v>
      </c>
      <c r="AG628" s="5">
        <f>+$AC628*BF628</f>
        <v>0</v>
      </c>
      <c r="AH628" s="5">
        <f>+$AC628*BG628</f>
        <v>0</v>
      </c>
      <c r="AI628" s="5">
        <f>+$AC628*BH628</f>
        <v>0</v>
      </c>
      <c r="AJ628" s="5">
        <f>+$AC628*BI628</f>
        <v>0</v>
      </c>
      <c r="AK628" s="5">
        <f>+$AC628*BJ628</f>
        <v>0</v>
      </c>
      <c r="AL628" s="5">
        <f>+$AC628*BK628</f>
        <v>0</v>
      </c>
      <c r="AM628" s="5">
        <f>+$AC628*BL628</f>
        <v>0</v>
      </c>
      <c r="AN628" s="5">
        <f>+$AC628*BM628</f>
        <v>0</v>
      </c>
      <c r="AO628" s="5">
        <f>+$AC628*BN628</f>
        <v>0</v>
      </c>
      <c r="AP628" s="5">
        <f>+AC628+P628+C628</f>
        <v>0</v>
      </c>
      <c r="AQ628" s="1">
        <v>29.556465405166207</v>
      </c>
      <c r="AR628" s="1">
        <v>35.346757308535246</v>
      </c>
      <c r="AS628" s="1">
        <v>31.282139248534815</v>
      </c>
      <c r="AT628" s="1">
        <v>23.695016783785139</v>
      </c>
      <c r="AU628" s="1">
        <v>34.363417008762838</v>
      </c>
      <c r="AV628" s="1">
        <v>28.160782113961396</v>
      </c>
      <c r="AW628" s="1">
        <v>28.036018743623533</v>
      </c>
      <c r="AX628" s="1">
        <v>19.039062245369074</v>
      </c>
      <c r="AY628" s="1">
        <v>28.221604590512317</v>
      </c>
      <c r="AZ628" s="1">
        <v>24.577389726899206</v>
      </c>
      <c r="BA628" s="1">
        <v>25.094446543858968</v>
      </c>
      <c r="BB628" s="1">
        <v>24.51027752941285</v>
      </c>
      <c r="BC628" s="2">
        <v>8.9181565948742242E-2</v>
      </c>
      <c r="BD628" s="2">
        <v>0.10665277883445198</v>
      </c>
      <c r="BE628" s="2">
        <v>9.438849084854764E-2</v>
      </c>
      <c r="BF628" s="2">
        <v>7.149564986855049E-2</v>
      </c>
      <c r="BG628" s="2">
        <v>0.10368571810536763</v>
      </c>
      <c r="BH628" s="2">
        <v>8.4970330952544637E-2</v>
      </c>
      <c r="BI628" s="2">
        <v>8.4593878877262704E-2</v>
      </c>
      <c r="BJ628" s="2">
        <v>5.7447105462779965E-2</v>
      </c>
      <c r="BK628" s="2">
        <v>8.5153852345557474E-2</v>
      </c>
      <c r="BL628" s="2">
        <v>7.4158058913035174E-2</v>
      </c>
      <c r="BM628" s="2">
        <v>7.5718189192107169E-2</v>
      </c>
      <c r="BN628" s="2">
        <v>7.3955559365675619E-2</v>
      </c>
    </row>
    <row r="629" spans="1:66" x14ac:dyDescent="0.25">
      <c r="A629" s="8">
        <v>4065</v>
      </c>
      <c r="B629" s="8" t="s">
        <v>367</v>
      </c>
      <c r="C629" s="5">
        <v>0</v>
      </c>
      <c r="D629" s="5">
        <f>+$C629*BC629</f>
        <v>0</v>
      </c>
      <c r="E629" s="5">
        <f>+$C629*BD629</f>
        <v>0</v>
      </c>
      <c r="F629" s="5">
        <f>+$C629*BE629</f>
        <v>0</v>
      </c>
      <c r="G629" s="5">
        <f>+$C629*BF629</f>
        <v>0</v>
      </c>
      <c r="H629" s="5">
        <f>+$C629*BG629</f>
        <v>0</v>
      </c>
      <c r="I629" s="5">
        <f>+$C629*BH629</f>
        <v>0</v>
      </c>
      <c r="J629" s="5">
        <f>+$C629*BI629</f>
        <v>0</v>
      </c>
      <c r="K629" s="5">
        <f>+$C629*BJ629</f>
        <v>0</v>
      </c>
      <c r="L629" s="5">
        <f>+$C629*BK629</f>
        <v>0</v>
      </c>
      <c r="M629" s="5">
        <f>+$C629*BL629</f>
        <v>0</v>
      </c>
      <c r="N629" s="5">
        <f>+$C629*BM629</f>
        <v>0</v>
      </c>
      <c r="O629" s="5">
        <f>+$C629*BN629</f>
        <v>0</v>
      </c>
      <c r="P629" s="5">
        <v>0</v>
      </c>
      <c r="Q629" s="5">
        <f>+$P629*BC629</f>
        <v>0</v>
      </c>
      <c r="R629" s="5">
        <f>+$P629*BD629</f>
        <v>0</v>
      </c>
      <c r="S629" s="5">
        <f>+$P629*BE629</f>
        <v>0</v>
      </c>
      <c r="T629" s="5">
        <f>+$P629*BF629</f>
        <v>0</v>
      </c>
      <c r="U629" s="5">
        <f>+$P629*BG629</f>
        <v>0</v>
      </c>
      <c r="V629" s="5">
        <f>+$P629*BH629</f>
        <v>0</v>
      </c>
      <c r="W629" s="5">
        <f>+$P629*BI629</f>
        <v>0</v>
      </c>
      <c r="X629" s="5">
        <f>+$P629*BJ629</f>
        <v>0</v>
      </c>
      <c r="Y629" s="5">
        <f>+$P629*BK629</f>
        <v>0</v>
      </c>
      <c r="Z629" s="5">
        <f>+$P629*BL629</f>
        <v>0</v>
      </c>
      <c r="AA629" s="5">
        <f>+$P629*BM629</f>
        <v>0</v>
      </c>
      <c r="AB629" s="5">
        <f>+$P629*BN629</f>
        <v>0</v>
      </c>
      <c r="AC629" s="5">
        <v>0</v>
      </c>
      <c r="AD629" s="5">
        <f>+$AC629*BC629</f>
        <v>0</v>
      </c>
      <c r="AE629" s="5">
        <f>+$AC629*BD629</f>
        <v>0</v>
      </c>
      <c r="AF629" s="5">
        <f>+$AC629*BE629</f>
        <v>0</v>
      </c>
      <c r="AG629" s="5">
        <f>+$AC629*BF629</f>
        <v>0</v>
      </c>
      <c r="AH629" s="5">
        <f>+$AC629*BG629</f>
        <v>0</v>
      </c>
      <c r="AI629" s="5">
        <f>+$AC629*BH629</f>
        <v>0</v>
      </c>
      <c r="AJ629" s="5">
        <f>+$AC629*BI629</f>
        <v>0</v>
      </c>
      <c r="AK629" s="5">
        <f>+$AC629*BJ629</f>
        <v>0</v>
      </c>
      <c r="AL629" s="5">
        <f>+$AC629*BK629</f>
        <v>0</v>
      </c>
      <c r="AM629" s="5">
        <f>+$AC629*BL629</f>
        <v>0</v>
      </c>
      <c r="AN629" s="5">
        <f>+$AC629*BM629</f>
        <v>0</v>
      </c>
      <c r="AO629" s="5">
        <f>+$AC629*BN629</f>
        <v>0</v>
      </c>
      <c r="AP629" s="5">
        <f>+AC629+P629+C629</f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2">
        <v>8.9181565948742242E-2</v>
      </c>
      <c r="BD629" s="2">
        <v>0.10665277883445198</v>
      </c>
      <c r="BE629" s="2">
        <v>9.438849084854764E-2</v>
      </c>
      <c r="BF629" s="2">
        <v>7.149564986855049E-2</v>
      </c>
      <c r="BG629" s="2">
        <v>0.10368571810536763</v>
      </c>
      <c r="BH629" s="2">
        <v>8.4970330952544637E-2</v>
      </c>
      <c r="BI629" s="2">
        <v>8.4593878877262704E-2</v>
      </c>
      <c r="BJ629" s="2">
        <v>5.7447105462779965E-2</v>
      </c>
      <c r="BK629" s="2">
        <v>8.5153852345557474E-2</v>
      </c>
      <c r="BL629" s="2">
        <v>7.4158058913035174E-2</v>
      </c>
      <c r="BM629" s="2">
        <v>7.5718189192107169E-2</v>
      </c>
      <c r="BN629" s="2">
        <v>7.3955559365675619E-2</v>
      </c>
    </row>
    <row r="630" spans="1:66" x14ac:dyDescent="0.25">
      <c r="A630" s="8">
        <v>4073</v>
      </c>
      <c r="B630" s="8" t="s">
        <v>366</v>
      </c>
      <c r="C630" s="5">
        <v>0</v>
      </c>
      <c r="D630" s="5">
        <f>+$C630*BC630</f>
        <v>0</v>
      </c>
      <c r="E630" s="5">
        <f>+$C630*BD630</f>
        <v>0</v>
      </c>
      <c r="F630" s="5">
        <f>+$C630*BE630</f>
        <v>0</v>
      </c>
      <c r="G630" s="5">
        <f>+$C630*BF630</f>
        <v>0</v>
      </c>
      <c r="H630" s="5">
        <f>+$C630*BG630</f>
        <v>0</v>
      </c>
      <c r="I630" s="5">
        <f>+$C630*BH630</f>
        <v>0</v>
      </c>
      <c r="J630" s="5">
        <f>+$C630*BI630</f>
        <v>0</v>
      </c>
      <c r="K630" s="5">
        <f>+$C630*BJ630</f>
        <v>0</v>
      </c>
      <c r="L630" s="5">
        <f>+$C630*BK630</f>
        <v>0</v>
      </c>
      <c r="M630" s="5">
        <f>+$C630*BL630</f>
        <v>0</v>
      </c>
      <c r="N630" s="5">
        <f>+$C630*BM630</f>
        <v>0</v>
      </c>
      <c r="O630" s="5">
        <f>+$C630*BN630</f>
        <v>0</v>
      </c>
      <c r="P630" s="5">
        <v>1000</v>
      </c>
      <c r="Q630" s="5">
        <f>+$P630*BC630</f>
        <v>89.181565948742247</v>
      </c>
      <c r="R630" s="5">
        <f>+$P630*BD630</f>
        <v>106.65277883445198</v>
      </c>
      <c r="S630" s="5">
        <f>+$P630*BE630</f>
        <v>94.388490848547647</v>
      </c>
      <c r="T630" s="5">
        <f>+$P630*BF630</f>
        <v>71.495649868550487</v>
      </c>
      <c r="U630" s="5">
        <f>+$P630*BG630</f>
        <v>103.68571810536763</v>
      </c>
      <c r="V630" s="5">
        <f>+$P630*BH630</f>
        <v>84.970330952544643</v>
      </c>
      <c r="W630" s="5">
        <f>+$P630*BI630</f>
        <v>84.593878877262711</v>
      </c>
      <c r="X630" s="5">
        <f>+$P630*BJ630</f>
        <v>57.447105462779966</v>
      </c>
      <c r="Y630" s="5">
        <f>+$P630*BK630</f>
        <v>85.153852345557468</v>
      </c>
      <c r="Z630" s="5">
        <f>+$P630*BL630</f>
        <v>74.158058913035177</v>
      </c>
      <c r="AA630" s="5">
        <f>+$P630*BM630</f>
        <v>75.718189192107175</v>
      </c>
      <c r="AB630" s="5">
        <f>+$P630*BN630</f>
        <v>73.955559365675626</v>
      </c>
      <c r="AC630" s="5">
        <v>0</v>
      </c>
      <c r="AD630" s="5">
        <f>+$AC630*BC630</f>
        <v>0</v>
      </c>
      <c r="AE630" s="5">
        <f>+$AC630*BD630</f>
        <v>0</v>
      </c>
      <c r="AF630" s="5">
        <f>+$AC630*BE630</f>
        <v>0</v>
      </c>
      <c r="AG630" s="5">
        <f>+$AC630*BF630</f>
        <v>0</v>
      </c>
      <c r="AH630" s="5">
        <f>+$AC630*BG630</f>
        <v>0</v>
      </c>
      <c r="AI630" s="5">
        <f>+$AC630*BH630</f>
        <v>0</v>
      </c>
      <c r="AJ630" s="5">
        <f>+$AC630*BI630</f>
        <v>0</v>
      </c>
      <c r="AK630" s="5">
        <f>+$AC630*BJ630</f>
        <v>0</v>
      </c>
      <c r="AL630" s="5">
        <f>+$AC630*BK630</f>
        <v>0</v>
      </c>
      <c r="AM630" s="5">
        <f>+$AC630*BL630</f>
        <v>0</v>
      </c>
      <c r="AN630" s="5">
        <f>+$AC630*BM630</f>
        <v>0</v>
      </c>
      <c r="AO630" s="5">
        <f>+$AC630*BN630</f>
        <v>0</v>
      </c>
      <c r="AP630" s="5">
        <f>+AC630+P630+C630</f>
        <v>1000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2">
        <v>8.9181565948742242E-2</v>
      </c>
      <c r="BD630" s="2">
        <v>0.10665277883445198</v>
      </c>
      <c r="BE630" s="2">
        <v>9.438849084854764E-2</v>
      </c>
      <c r="BF630" s="2">
        <v>7.149564986855049E-2</v>
      </c>
      <c r="BG630" s="2">
        <v>0.10368571810536763</v>
      </c>
      <c r="BH630" s="2">
        <v>8.4970330952544637E-2</v>
      </c>
      <c r="BI630" s="2">
        <v>8.4593878877262704E-2</v>
      </c>
      <c r="BJ630" s="2">
        <v>5.7447105462779965E-2</v>
      </c>
      <c r="BK630" s="2">
        <v>8.5153852345557474E-2</v>
      </c>
      <c r="BL630" s="2">
        <v>7.4158058913035174E-2</v>
      </c>
      <c r="BM630" s="2">
        <v>7.5718189192107169E-2</v>
      </c>
      <c r="BN630" s="2">
        <v>7.3955559365675619E-2</v>
      </c>
    </row>
    <row r="631" spans="1:66" x14ac:dyDescent="0.25">
      <c r="A631" s="8">
        <v>4078</v>
      </c>
      <c r="B631" s="8" t="s">
        <v>365</v>
      </c>
      <c r="C631" s="5">
        <v>0</v>
      </c>
      <c r="D631" s="5">
        <f>+$C631*BC631</f>
        <v>0</v>
      </c>
      <c r="E631" s="5">
        <f>+$C631*BD631</f>
        <v>0</v>
      </c>
      <c r="F631" s="5">
        <f>+$C631*BE631</f>
        <v>0</v>
      </c>
      <c r="G631" s="5">
        <f>+$C631*BF631</f>
        <v>0</v>
      </c>
      <c r="H631" s="5">
        <f>+$C631*BG631</f>
        <v>0</v>
      </c>
      <c r="I631" s="5">
        <f>+$C631*BH631</f>
        <v>0</v>
      </c>
      <c r="J631" s="5">
        <f>+$C631*BI631</f>
        <v>0</v>
      </c>
      <c r="K631" s="5">
        <f>+$C631*BJ631</f>
        <v>0</v>
      </c>
      <c r="L631" s="5">
        <f>+$C631*BK631</f>
        <v>0</v>
      </c>
      <c r="M631" s="5">
        <f>+$C631*BL631</f>
        <v>0</v>
      </c>
      <c r="N631" s="5">
        <f>+$C631*BM631</f>
        <v>0</v>
      </c>
      <c r="O631" s="5">
        <f>+$C631*BN631</f>
        <v>0</v>
      </c>
      <c r="P631" s="5">
        <v>0</v>
      </c>
      <c r="Q631" s="5">
        <f>+$P631*BC631</f>
        <v>0</v>
      </c>
      <c r="R631" s="5">
        <f>+$P631*BD631</f>
        <v>0</v>
      </c>
      <c r="S631" s="5">
        <f>+$P631*BE631</f>
        <v>0</v>
      </c>
      <c r="T631" s="5">
        <f>+$P631*BF631</f>
        <v>0</v>
      </c>
      <c r="U631" s="5">
        <f>+$P631*BG631</f>
        <v>0</v>
      </c>
      <c r="V631" s="5">
        <f>+$P631*BH631</f>
        <v>0</v>
      </c>
      <c r="W631" s="5">
        <f>+$P631*BI631</f>
        <v>0</v>
      </c>
      <c r="X631" s="5">
        <f>+$P631*BJ631</f>
        <v>0</v>
      </c>
      <c r="Y631" s="5">
        <f>+$P631*BK631</f>
        <v>0</v>
      </c>
      <c r="Z631" s="5">
        <f>+$P631*BL631</f>
        <v>0</v>
      </c>
      <c r="AA631" s="5">
        <f>+$P631*BM631</f>
        <v>0</v>
      </c>
      <c r="AB631" s="5">
        <f>+$P631*BN631</f>
        <v>0</v>
      </c>
      <c r="AC631" s="5">
        <v>0</v>
      </c>
      <c r="AD631" s="5">
        <f>+$AC631*BC631</f>
        <v>0</v>
      </c>
      <c r="AE631" s="5">
        <f>+$AC631*BD631</f>
        <v>0</v>
      </c>
      <c r="AF631" s="5">
        <f>+$AC631*BE631</f>
        <v>0</v>
      </c>
      <c r="AG631" s="5">
        <f>+$AC631*BF631</f>
        <v>0</v>
      </c>
      <c r="AH631" s="5">
        <f>+$AC631*BG631</f>
        <v>0</v>
      </c>
      <c r="AI631" s="5">
        <f>+$AC631*BH631</f>
        <v>0</v>
      </c>
      <c r="AJ631" s="5">
        <f>+$AC631*BI631</f>
        <v>0</v>
      </c>
      <c r="AK631" s="5">
        <f>+$AC631*BJ631</f>
        <v>0</v>
      </c>
      <c r="AL631" s="5">
        <f>+$AC631*BK631</f>
        <v>0</v>
      </c>
      <c r="AM631" s="5">
        <f>+$AC631*BL631</f>
        <v>0</v>
      </c>
      <c r="AN631" s="5">
        <f>+$AC631*BM631</f>
        <v>0</v>
      </c>
      <c r="AO631" s="5">
        <f>+$AC631*BN631</f>
        <v>0</v>
      </c>
      <c r="AP631" s="5">
        <f>+AC631+P631+C631</f>
        <v>0</v>
      </c>
      <c r="AQ631" s="1">
        <v>114.72762551475947</v>
      </c>
      <c r="AR631" s="1">
        <v>137.20346733158075</v>
      </c>
      <c r="AS631" s="1">
        <v>121.42607405211412</v>
      </c>
      <c r="AT631" s="1">
        <v>91.975578773396776</v>
      </c>
      <c r="AU631" s="1">
        <v>133.38649205665018</v>
      </c>
      <c r="AV631" s="1">
        <v>109.31008225390106</v>
      </c>
      <c r="AW631" s="1">
        <v>108.82579548165461</v>
      </c>
      <c r="AX631" s="1">
        <v>73.902828822593293</v>
      </c>
      <c r="AY631" s="1">
        <v>109.54617334994242</v>
      </c>
      <c r="AZ631" s="1">
        <v>95.400634888674105</v>
      </c>
      <c r="BA631" s="1">
        <v>97.407664486186277</v>
      </c>
      <c r="BB631" s="1">
        <v>95.140129345973406</v>
      </c>
      <c r="BC631" s="2">
        <v>8.9181565948742242E-2</v>
      </c>
      <c r="BD631" s="2">
        <v>0.10665277883445198</v>
      </c>
      <c r="BE631" s="2">
        <v>9.438849084854764E-2</v>
      </c>
      <c r="BF631" s="2">
        <v>7.149564986855049E-2</v>
      </c>
      <c r="BG631" s="2">
        <v>0.10368571810536763</v>
      </c>
      <c r="BH631" s="2">
        <v>8.4970330952544637E-2</v>
      </c>
      <c r="BI631" s="2">
        <v>8.4593878877262704E-2</v>
      </c>
      <c r="BJ631" s="2">
        <v>5.7447105462779965E-2</v>
      </c>
      <c r="BK631" s="2">
        <v>8.5153852345557474E-2</v>
      </c>
      <c r="BL631" s="2">
        <v>7.4158058913035174E-2</v>
      </c>
      <c r="BM631" s="2">
        <v>7.5718189192107169E-2</v>
      </c>
      <c r="BN631" s="2">
        <v>7.3955559365675619E-2</v>
      </c>
    </row>
    <row r="632" spans="1:66" x14ac:dyDescent="0.25">
      <c r="A632" s="8">
        <v>4093</v>
      </c>
      <c r="B632" s="8" t="s">
        <v>364</v>
      </c>
      <c r="C632" s="5">
        <v>0</v>
      </c>
      <c r="D632" s="5">
        <f>+$C632*BC632</f>
        <v>0</v>
      </c>
      <c r="E632" s="5">
        <f>+$C632*BD632</f>
        <v>0</v>
      </c>
      <c r="F632" s="5">
        <f>+$C632*BE632</f>
        <v>0</v>
      </c>
      <c r="G632" s="5">
        <f>+$C632*BF632</f>
        <v>0</v>
      </c>
      <c r="H632" s="5">
        <f>+$C632*BG632</f>
        <v>0</v>
      </c>
      <c r="I632" s="5">
        <f>+$C632*BH632</f>
        <v>0</v>
      </c>
      <c r="J632" s="5">
        <f>+$C632*BI632</f>
        <v>0</v>
      </c>
      <c r="K632" s="5">
        <f>+$C632*BJ632</f>
        <v>0</v>
      </c>
      <c r="L632" s="5">
        <f>+$C632*BK632</f>
        <v>0</v>
      </c>
      <c r="M632" s="5">
        <f>+$C632*BL632</f>
        <v>0</v>
      </c>
      <c r="N632" s="5">
        <f>+$C632*BM632</f>
        <v>0</v>
      </c>
      <c r="O632" s="5">
        <f>+$C632*BN632</f>
        <v>0</v>
      </c>
      <c r="P632" s="5">
        <v>0</v>
      </c>
      <c r="Q632" s="5">
        <f>+$P632*BC632</f>
        <v>0</v>
      </c>
      <c r="R632" s="5">
        <f>+$P632*BD632</f>
        <v>0</v>
      </c>
      <c r="S632" s="5">
        <f>+$P632*BE632</f>
        <v>0</v>
      </c>
      <c r="T632" s="5">
        <f>+$P632*BF632</f>
        <v>0</v>
      </c>
      <c r="U632" s="5">
        <f>+$P632*BG632</f>
        <v>0</v>
      </c>
      <c r="V632" s="5">
        <f>+$P632*BH632</f>
        <v>0</v>
      </c>
      <c r="W632" s="5">
        <f>+$P632*BI632</f>
        <v>0</v>
      </c>
      <c r="X632" s="5">
        <f>+$P632*BJ632</f>
        <v>0</v>
      </c>
      <c r="Y632" s="5">
        <f>+$P632*BK632</f>
        <v>0</v>
      </c>
      <c r="Z632" s="5">
        <f>+$P632*BL632</f>
        <v>0</v>
      </c>
      <c r="AA632" s="5">
        <f>+$P632*BM632</f>
        <v>0</v>
      </c>
      <c r="AB632" s="5">
        <f>+$P632*BN632</f>
        <v>0</v>
      </c>
      <c r="AC632" s="5">
        <v>0</v>
      </c>
      <c r="AD632" s="5">
        <f>+$AC632*BC632</f>
        <v>0</v>
      </c>
      <c r="AE632" s="5">
        <f>+$AC632*BD632</f>
        <v>0</v>
      </c>
      <c r="AF632" s="5">
        <f>+$AC632*BE632</f>
        <v>0</v>
      </c>
      <c r="AG632" s="5">
        <f>+$AC632*BF632</f>
        <v>0</v>
      </c>
      <c r="AH632" s="5">
        <f>+$AC632*BG632</f>
        <v>0</v>
      </c>
      <c r="AI632" s="5">
        <f>+$AC632*BH632</f>
        <v>0</v>
      </c>
      <c r="AJ632" s="5">
        <f>+$AC632*BI632</f>
        <v>0</v>
      </c>
      <c r="AK632" s="5">
        <f>+$AC632*BJ632</f>
        <v>0</v>
      </c>
      <c r="AL632" s="5">
        <f>+$AC632*BK632</f>
        <v>0</v>
      </c>
      <c r="AM632" s="5">
        <f>+$AC632*BL632</f>
        <v>0</v>
      </c>
      <c r="AN632" s="5">
        <f>+$AC632*BM632</f>
        <v>0</v>
      </c>
      <c r="AO632" s="5">
        <f>+$AC632*BN632</f>
        <v>0</v>
      </c>
      <c r="AP632" s="5">
        <f>+AC632+P632+C632</f>
        <v>0</v>
      </c>
      <c r="AQ632" s="1">
        <v>21.581938959595625</v>
      </c>
      <c r="AR632" s="1">
        <v>25.809972477937382</v>
      </c>
      <c r="AS632" s="1">
        <v>22.842014785348532</v>
      </c>
      <c r="AT632" s="1">
        <v>17.30194726818922</v>
      </c>
      <c r="AU632" s="1">
        <v>25.091943781498969</v>
      </c>
      <c r="AV632" s="1">
        <v>20.562820090515803</v>
      </c>
      <c r="AW632" s="1">
        <v>20.471718688297578</v>
      </c>
      <c r="AX632" s="1">
        <v>13.902199521992753</v>
      </c>
      <c r="AY632" s="1">
        <v>20.607232267624912</v>
      </c>
      <c r="AZ632" s="1">
        <v>17.946250256954514</v>
      </c>
      <c r="BA632" s="1">
        <v>18.323801784489937</v>
      </c>
      <c r="BB632" s="1">
        <v>17.8972453664935</v>
      </c>
      <c r="BC632" s="2">
        <v>8.9181565948742242E-2</v>
      </c>
      <c r="BD632" s="2">
        <v>0.10665277883445198</v>
      </c>
      <c r="BE632" s="2">
        <v>9.438849084854764E-2</v>
      </c>
      <c r="BF632" s="2">
        <v>7.149564986855049E-2</v>
      </c>
      <c r="BG632" s="2">
        <v>0.10368571810536763</v>
      </c>
      <c r="BH632" s="2">
        <v>8.4970330952544637E-2</v>
      </c>
      <c r="BI632" s="2">
        <v>8.4593878877262704E-2</v>
      </c>
      <c r="BJ632" s="2">
        <v>5.7447105462779965E-2</v>
      </c>
      <c r="BK632" s="2">
        <v>8.5153852345557474E-2</v>
      </c>
      <c r="BL632" s="2">
        <v>7.4158058913035174E-2</v>
      </c>
      <c r="BM632" s="2">
        <v>7.5718189192107169E-2</v>
      </c>
      <c r="BN632" s="2">
        <v>7.3955559365675619E-2</v>
      </c>
    </row>
    <row r="633" spans="1:66" x14ac:dyDescent="0.25">
      <c r="A633" s="8">
        <v>4095</v>
      </c>
      <c r="B633" s="8" t="s">
        <v>363</v>
      </c>
      <c r="C633" s="5">
        <v>0</v>
      </c>
      <c r="D633" s="5">
        <f>+$C633*BC633</f>
        <v>0</v>
      </c>
      <c r="E633" s="5">
        <f>+$C633*BD633</f>
        <v>0</v>
      </c>
      <c r="F633" s="5">
        <f>+$C633*BE633</f>
        <v>0</v>
      </c>
      <c r="G633" s="5">
        <f>+$C633*BF633</f>
        <v>0</v>
      </c>
      <c r="H633" s="5">
        <f>+$C633*BG633</f>
        <v>0</v>
      </c>
      <c r="I633" s="5">
        <f>+$C633*BH633</f>
        <v>0</v>
      </c>
      <c r="J633" s="5">
        <f>+$C633*BI633</f>
        <v>0</v>
      </c>
      <c r="K633" s="5">
        <f>+$C633*BJ633</f>
        <v>0</v>
      </c>
      <c r="L633" s="5">
        <f>+$C633*BK633</f>
        <v>0</v>
      </c>
      <c r="M633" s="5">
        <f>+$C633*BL633</f>
        <v>0</v>
      </c>
      <c r="N633" s="5">
        <f>+$C633*BM633</f>
        <v>0</v>
      </c>
      <c r="O633" s="5">
        <f>+$C633*BN633</f>
        <v>0</v>
      </c>
      <c r="P633" s="5">
        <v>0</v>
      </c>
      <c r="Q633" s="5">
        <f>+$P633*BC633</f>
        <v>0</v>
      </c>
      <c r="R633" s="5">
        <f>+$P633*BD633</f>
        <v>0</v>
      </c>
      <c r="S633" s="5">
        <f>+$P633*BE633</f>
        <v>0</v>
      </c>
      <c r="T633" s="5">
        <f>+$P633*BF633</f>
        <v>0</v>
      </c>
      <c r="U633" s="5">
        <f>+$P633*BG633</f>
        <v>0</v>
      </c>
      <c r="V633" s="5">
        <f>+$P633*BH633</f>
        <v>0</v>
      </c>
      <c r="W633" s="5">
        <f>+$P633*BI633</f>
        <v>0</v>
      </c>
      <c r="X633" s="5">
        <f>+$P633*BJ633</f>
        <v>0</v>
      </c>
      <c r="Y633" s="5">
        <f>+$P633*BK633</f>
        <v>0</v>
      </c>
      <c r="Z633" s="5">
        <f>+$P633*BL633</f>
        <v>0</v>
      </c>
      <c r="AA633" s="5">
        <f>+$P633*BM633</f>
        <v>0</v>
      </c>
      <c r="AB633" s="5">
        <f>+$P633*BN633</f>
        <v>0</v>
      </c>
      <c r="AC633" s="5">
        <v>0</v>
      </c>
      <c r="AD633" s="5">
        <f>+$AC633*BC633</f>
        <v>0</v>
      </c>
      <c r="AE633" s="5">
        <f>+$AC633*BD633</f>
        <v>0</v>
      </c>
      <c r="AF633" s="5">
        <f>+$AC633*BE633</f>
        <v>0</v>
      </c>
      <c r="AG633" s="5">
        <f>+$AC633*BF633</f>
        <v>0</v>
      </c>
      <c r="AH633" s="5">
        <f>+$AC633*BG633</f>
        <v>0</v>
      </c>
      <c r="AI633" s="5">
        <f>+$AC633*BH633</f>
        <v>0</v>
      </c>
      <c r="AJ633" s="5">
        <f>+$AC633*BI633</f>
        <v>0</v>
      </c>
      <c r="AK633" s="5">
        <f>+$AC633*BJ633</f>
        <v>0</v>
      </c>
      <c r="AL633" s="5">
        <f>+$AC633*BK633</f>
        <v>0</v>
      </c>
      <c r="AM633" s="5">
        <f>+$AC633*BL633</f>
        <v>0</v>
      </c>
      <c r="AN633" s="5">
        <f>+$AC633*BM633</f>
        <v>0</v>
      </c>
      <c r="AO633" s="5">
        <f>+$AC633*BN633</f>
        <v>0</v>
      </c>
      <c r="AP633" s="5">
        <f>+AC633+P633+C633</f>
        <v>0</v>
      </c>
      <c r="AQ633" s="1">
        <v>10.709546710086608</v>
      </c>
      <c r="AR633" s="1">
        <v>12.807612251892834</v>
      </c>
      <c r="AS633" s="1">
        <v>11.33483070052954</v>
      </c>
      <c r="AT633" s="1">
        <v>8.5856981057646227</v>
      </c>
      <c r="AU633" s="1">
        <v>12.451306830119281</v>
      </c>
      <c r="AV633" s="1">
        <v>10.203832133098228</v>
      </c>
      <c r="AW633" s="1">
        <v>10.158625132733846</v>
      </c>
      <c r="AX633" s="1">
        <v>6.8986505537088574</v>
      </c>
      <c r="AY633" s="1">
        <v>10.22587066662096</v>
      </c>
      <c r="AZ633" s="1">
        <v>8.9054188206896541</v>
      </c>
      <c r="BA633" s="1">
        <v>9.0927701855125722</v>
      </c>
      <c r="BB633" s="1">
        <v>8.8811012575458879</v>
      </c>
      <c r="BC633" s="2">
        <v>8.9181565948742242E-2</v>
      </c>
      <c r="BD633" s="2">
        <v>0.10665277883445198</v>
      </c>
      <c r="BE633" s="2">
        <v>9.438849084854764E-2</v>
      </c>
      <c r="BF633" s="2">
        <v>7.149564986855049E-2</v>
      </c>
      <c r="BG633" s="2">
        <v>0.10368571810536763</v>
      </c>
      <c r="BH633" s="2">
        <v>8.4970330952544637E-2</v>
      </c>
      <c r="BI633" s="2">
        <v>8.4593878877262704E-2</v>
      </c>
      <c r="BJ633" s="2">
        <v>5.7447105462779965E-2</v>
      </c>
      <c r="BK633" s="2">
        <v>8.5153852345557474E-2</v>
      </c>
      <c r="BL633" s="2">
        <v>7.4158058913035174E-2</v>
      </c>
      <c r="BM633" s="2">
        <v>7.5718189192107169E-2</v>
      </c>
      <c r="BN633" s="2">
        <v>7.3955559365675619E-2</v>
      </c>
    </row>
    <row r="634" spans="1:66" x14ac:dyDescent="0.25">
      <c r="A634" s="8">
        <v>4116</v>
      </c>
      <c r="B634" s="8" t="s">
        <v>362</v>
      </c>
      <c r="C634" s="5">
        <v>0</v>
      </c>
      <c r="D634" s="5">
        <f>+$C634*BC634</f>
        <v>0</v>
      </c>
      <c r="E634" s="5">
        <f>+$C634*BD634</f>
        <v>0</v>
      </c>
      <c r="F634" s="5">
        <f>+$C634*BE634</f>
        <v>0</v>
      </c>
      <c r="G634" s="5">
        <f>+$C634*BF634</f>
        <v>0</v>
      </c>
      <c r="H634" s="5">
        <f>+$C634*BG634</f>
        <v>0</v>
      </c>
      <c r="I634" s="5">
        <f>+$C634*BH634</f>
        <v>0</v>
      </c>
      <c r="J634" s="5">
        <f>+$C634*BI634</f>
        <v>0</v>
      </c>
      <c r="K634" s="5">
        <f>+$C634*BJ634</f>
        <v>0</v>
      </c>
      <c r="L634" s="5">
        <f>+$C634*BK634</f>
        <v>0</v>
      </c>
      <c r="M634" s="5">
        <f>+$C634*BL634</f>
        <v>0</v>
      </c>
      <c r="N634" s="5">
        <f>+$C634*BM634</f>
        <v>0</v>
      </c>
      <c r="O634" s="5">
        <f>+$C634*BN634</f>
        <v>0</v>
      </c>
      <c r="P634" s="5">
        <v>5000</v>
      </c>
      <c r="Q634" s="5">
        <f>+$P634*BC634</f>
        <v>445.9078297437112</v>
      </c>
      <c r="R634" s="5">
        <f>+$P634*BD634</f>
        <v>533.26389417225994</v>
      </c>
      <c r="S634" s="5">
        <f>+$P634*BE634</f>
        <v>471.94245424273822</v>
      </c>
      <c r="T634" s="5">
        <f>+$P634*BF634</f>
        <v>357.47824934275246</v>
      </c>
      <c r="U634" s="5">
        <f>+$P634*BG634</f>
        <v>518.42859052683809</v>
      </c>
      <c r="V634" s="5">
        <f>+$P634*BH634</f>
        <v>424.85165476272317</v>
      </c>
      <c r="W634" s="5">
        <f>+$P634*BI634</f>
        <v>422.96939438631352</v>
      </c>
      <c r="X634" s="5">
        <f>+$P634*BJ634</f>
        <v>287.23552731389981</v>
      </c>
      <c r="Y634" s="5">
        <f>+$P634*BK634</f>
        <v>425.76926172778735</v>
      </c>
      <c r="Z634" s="5">
        <f>+$P634*BL634</f>
        <v>370.79029456517588</v>
      </c>
      <c r="AA634" s="5">
        <f>+$P634*BM634</f>
        <v>378.59094596053586</v>
      </c>
      <c r="AB634" s="5">
        <f>+$P634*BN634</f>
        <v>369.77779682837809</v>
      </c>
      <c r="AC634" s="5">
        <v>0</v>
      </c>
      <c r="AD634" s="5">
        <f>+$AC634*BC634</f>
        <v>0</v>
      </c>
      <c r="AE634" s="5">
        <f>+$AC634*BD634</f>
        <v>0</v>
      </c>
      <c r="AF634" s="5">
        <f>+$AC634*BE634</f>
        <v>0</v>
      </c>
      <c r="AG634" s="5">
        <f>+$AC634*BF634</f>
        <v>0</v>
      </c>
      <c r="AH634" s="5">
        <f>+$AC634*BG634</f>
        <v>0</v>
      </c>
      <c r="AI634" s="5">
        <f>+$AC634*BH634</f>
        <v>0</v>
      </c>
      <c r="AJ634" s="5">
        <f>+$AC634*BI634</f>
        <v>0</v>
      </c>
      <c r="AK634" s="5">
        <f>+$AC634*BJ634</f>
        <v>0</v>
      </c>
      <c r="AL634" s="5">
        <f>+$AC634*BK634</f>
        <v>0</v>
      </c>
      <c r="AM634" s="5">
        <f>+$AC634*BL634</f>
        <v>0</v>
      </c>
      <c r="AN634" s="5">
        <f>+$AC634*BM634</f>
        <v>0</v>
      </c>
      <c r="AO634" s="5">
        <f>+$AC634*BN634</f>
        <v>0</v>
      </c>
      <c r="AP634" s="5">
        <f>+AC634+P634+C634</f>
        <v>5000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2">
        <v>8.9181565948742242E-2</v>
      </c>
      <c r="BD634" s="2">
        <v>0.10665277883445198</v>
      </c>
      <c r="BE634" s="2">
        <v>9.438849084854764E-2</v>
      </c>
      <c r="BF634" s="2">
        <v>7.149564986855049E-2</v>
      </c>
      <c r="BG634" s="2">
        <v>0.10368571810536763</v>
      </c>
      <c r="BH634" s="2">
        <v>8.4970330952544637E-2</v>
      </c>
      <c r="BI634" s="2">
        <v>8.4593878877262704E-2</v>
      </c>
      <c r="BJ634" s="2">
        <v>5.7447105462779965E-2</v>
      </c>
      <c r="BK634" s="2">
        <v>8.5153852345557474E-2</v>
      </c>
      <c r="BL634" s="2">
        <v>7.4158058913035174E-2</v>
      </c>
      <c r="BM634" s="2">
        <v>7.5718189192107169E-2</v>
      </c>
      <c r="BN634" s="2">
        <v>7.3955559365675619E-2</v>
      </c>
    </row>
    <row r="635" spans="1:66" x14ac:dyDescent="0.25">
      <c r="A635" s="8">
        <v>4117</v>
      </c>
      <c r="B635" s="8" t="s">
        <v>361</v>
      </c>
      <c r="C635" s="5">
        <v>0</v>
      </c>
      <c r="D635" s="5">
        <f>+$C635*BC635</f>
        <v>0</v>
      </c>
      <c r="E635" s="5">
        <f>+$C635*BD635</f>
        <v>0</v>
      </c>
      <c r="F635" s="5">
        <f>+$C635*BE635</f>
        <v>0</v>
      </c>
      <c r="G635" s="5">
        <f>+$C635*BF635</f>
        <v>0</v>
      </c>
      <c r="H635" s="5">
        <f>+$C635*BG635</f>
        <v>0</v>
      </c>
      <c r="I635" s="5">
        <f>+$C635*BH635</f>
        <v>0</v>
      </c>
      <c r="J635" s="5">
        <f>+$C635*BI635</f>
        <v>0</v>
      </c>
      <c r="K635" s="5">
        <f>+$C635*BJ635</f>
        <v>0</v>
      </c>
      <c r="L635" s="5">
        <f>+$C635*BK635</f>
        <v>0</v>
      </c>
      <c r="M635" s="5">
        <f>+$C635*BL635</f>
        <v>0</v>
      </c>
      <c r="N635" s="5">
        <f>+$C635*BM635</f>
        <v>0</v>
      </c>
      <c r="O635" s="5">
        <f>+$C635*BN635</f>
        <v>0</v>
      </c>
      <c r="P635" s="5">
        <v>0</v>
      </c>
      <c r="Q635" s="5">
        <f>+$P635*BC635</f>
        <v>0</v>
      </c>
      <c r="R635" s="5">
        <f>+$P635*BD635</f>
        <v>0</v>
      </c>
      <c r="S635" s="5">
        <f>+$P635*BE635</f>
        <v>0</v>
      </c>
      <c r="T635" s="5">
        <f>+$P635*BF635</f>
        <v>0</v>
      </c>
      <c r="U635" s="5">
        <f>+$P635*BG635</f>
        <v>0</v>
      </c>
      <c r="V635" s="5">
        <f>+$P635*BH635</f>
        <v>0</v>
      </c>
      <c r="W635" s="5">
        <f>+$P635*BI635</f>
        <v>0</v>
      </c>
      <c r="X635" s="5">
        <f>+$P635*BJ635</f>
        <v>0</v>
      </c>
      <c r="Y635" s="5">
        <f>+$P635*BK635</f>
        <v>0</v>
      </c>
      <c r="Z635" s="5">
        <f>+$P635*BL635</f>
        <v>0</v>
      </c>
      <c r="AA635" s="5">
        <f>+$P635*BM635</f>
        <v>0</v>
      </c>
      <c r="AB635" s="5">
        <f>+$P635*BN635</f>
        <v>0</v>
      </c>
      <c r="AC635" s="5">
        <v>300</v>
      </c>
      <c r="AD635" s="5">
        <f>+$AC635*BC635</f>
        <v>26.754469784622671</v>
      </c>
      <c r="AE635" s="5">
        <f>+$AC635*BD635</f>
        <v>31.995833650335594</v>
      </c>
      <c r="AF635" s="5">
        <f>+$AC635*BE635</f>
        <v>28.316547254564291</v>
      </c>
      <c r="AG635" s="5">
        <f>+$AC635*BF635</f>
        <v>21.448694960565145</v>
      </c>
      <c r="AH635" s="5">
        <f>+$AC635*BG635</f>
        <v>31.105715431610289</v>
      </c>
      <c r="AI635" s="5">
        <f>+$AC635*BH635</f>
        <v>25.49109928576339</v>
      </c>
      <c r="AJ635" s="5">
        <f>+$AC635*BI635</f>
        <v>25.37816366317881</v>
      </c>
      <c r="AK635" s="5">
        <f>+$AC635*BJ635</f>
        <v>17.23413163883399</v>
      </c>
      <c r="AL635" s="5">
        <f>+$AC635*BK635</f>
        <v>25.546155703667242</v>
      </c>
      <c r="AM635" s="5">
        <f>+$AC635*BL635</f>
        <v>22.247417673910551</v>
      </c>
      <c r="AN635" s="5">
        <f>+$AC635*BM635</f>
        <v>22.71545675763215</v>
      </c>
      <c r="AO635" s="5">
        <f>+$AC635*BN635</f>
        <v>22.186667809702687</v>
      </c>
      <c r="AP635" s="5">
        <f>+AC635+P635+C635</f>
        <v>300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2">
        <v>8.9181565948742242E-2</v>
      </c>
      <c r="BD635" s="2">
        <v>0.10665277883445198</v>
      </c>
      <c r="BE635" s="2">
        <v>9.438849084854764E-2</v>
      </c>
      <c r="BF635" s="2">
        <v>7.149564986855049E-2</v>
      </c>
      <c r="BG635" s="2">
        <v>0.10368571810536763</v>
      </c>
      <c r="BH635" s="2">
        <v>8.4970330952544637E-2</v>
      </c>
      <c r="BI635" s="2">
        <v>8.4593878877262704E-2</v>
      </c>
      <c r="BJ635" s="2">
        <v>5.7447105462779965E-2</v>
      </c>
      <c r="BK635" s="2">
        <v>8.5153852345557474E-2</v>
      </c>
      <c r="BL635" s="2">
        <v>7.4158058913035174E-2</v>
      </c>
      <c r="BM635" s="2">
        <v>7.5718189192107169E-2</v>
      </c>
      <c r="BN635" s="2">
        <v>7.3955559365675619E-2</v>
      </c>
    </row>
    <row r="636" spans="1:66" x14ac:dyDescent="0.25">
      <c r="A636" s="8">
        <v>4134</v>
      </c>
      <c r="B636" s="8" t="s">
        <v>360</v>
      </c>
      <c r="C636" s="5">
        <v>0</v>
      </c>
      <c r="D636" s="5">
        <f>+$C636*BC636</f>
        <v>0</v>
      </c>
      <c r="E636" s="5">
        <f>+$C636*BD636</f>
        <v>0</v>
      </c>
      <c r="F636" s="5">
        <f>+$C636*BE636</f>
        <v>0</v>
      </c>
      <c r="G636" s="5">
        <f>+$C636*BF636</f>
        <v>0</v>
      </c>
      <c r="H636" s="5">
        <f>+$C636*BG636</f>
        <v>0</v>
      </c>
      <c r="I636" s="5">
        <f>+$C636*BH636</f>
        <v>0</v>
      </c>
      <c r="J636" s="5">
        <f>+$C636*BI636</f>
        <v>0</v>
      </c>
      <c r="K636" s="5">
        <f>+$C636*BJ636</f>
        <v>0</v>
      </c>
      <c r="L636" s="5">
        <f>+$C636*BK636</f>
        <v>0</v>
      </c>
      <c r="M636" s="5">
        <f>+$C636*BL636</f>
        <v>0</v>
      </c>
      <c r="N636" s="5">
        <f>+$C636*BM636</f>
        <v>0</v>
      </c>
      <c r="O636" s="5">
        <f>+$C636*BN636</f>
        <v>0</v>
      </c>
      <c r="P636" s="5">
        <v>0</v>
      </c>
      <c r="Q636" s="5">
        <f>+$P636*BC636</f>
        <v>0</v>
      </c>
      <c r="R636" s="5">
        <f>+$P636*BD636</f>
        <v>0</v>
      </c>
      <c r="S636" s="5">
        <f>+$P636*BE636</f>
        <v>0</v>
      </c>
      <c r="T636" s="5">
        <f>+$P636*BF636</f>
        <v>0</v>
      </c>
      <c r="U636" s="5">
        <f>+$P636*BG636</f>
        <v>0</v>
      </c>
      <c r="V636" s="5">
        <f>+$P636*BH636</f>
        <v>0</v>
      </c>
      <c r="W636" s="5">
        <f>+$P636*BI636</f>
        <v>0</v>
      </c>
      <c r="X636" s="5">
        <f>+$P636*BJ636</f>
        <v>0</v>
      </c>
      <c r="Y636" s="5">
        <f>+$P636*BK636</f>
        <v>0</v>
      </c>
      <c r="Z636" s="5">
        <f>+$P636*BL636</f>
        <v>0</v>
      </c>
      <c r="AA636" s="5">
        <f>+$P636*BM636</f>
        <v>0</v>
      </c>
      <c r="AB636" s="5">
        <f>+$P636*BN636</f>
        <v>0</v>
      </c>
      <c r="AC636" s="5">
        <v>0</v>
      </c>
      <c r="AD636" s="5">
        <f>+$AC636*BC636</f>
        <v>0</v>
      </c>
      <c r="AE636" s="5">
        <f>+$AC636*BD636</f>
        <v>0</v>
      </c>
      <c r="AF636" s="5">
        <f>+$AC636*BE636</f>
        <v>0</v>
      </c>
      <c r="AG636" s="5">
        <f>+$AC636*BF636</f>
        <v>0</v>
      </c>
      <c r="AH636" s="5">
        <f>+$AC636*BG636</f>
        <v>0</v>
      </c>
      <c r="AI636" s="5">
        <f>+$AC636*BH636</f>
        <v>0</v>
      </c>
      <c r="AJ636" s="5">
        <f>+$AC636*BI636</f>
        <v>0</v>
      </c>
      <c r="AK636" s="5">
        <f>+$AC636*BJ636</f>
        <v>0</v>
      </c>
      <c r="AL636" s="5">
        <f>+$AC636*BK636</f>
        <v>0</v>
      </c>
      <c r="AM636" s="5">
        <f>+$AC636*BL636</f>
        <v>0</v>
      </c>
      <c r="AN636" s="5">
        <f>+$AC636*BM636</f>
        <v>0</v>
      </c>
      <c r="AO636" s="5">
        <f>+$AC636*BN636</f>
        <v>0</v>
      </c>
      <c r="AP636" s="5">
        <f>+AC636+P636+C636</f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2">
        <v>8.9181565948742242E-2</v>
      </c>
      <c r="BD636" s="2">
        <v>0.10665277883445198</v>
      </c>
      <c r="BE636" s="2">
        <v>9.438849084854764E-2</v>
      </c>
      <c r="BF636" s="2">
        <v>7.149564986855049E-2</v>
      </c>
      <c r="BG636" s="2">
        <v>0.10368571810536763</v>
      </c>
      <c r="BH636" s="2">
        <v>8.4970330952544637E-2</v>
      </c>
      <c r="BI636" s="2">
        <v>8.4593878877262704E-2</v>
      </c>
      <c r="BJ636" s="2">
        <v>5.7447105462779965E-2</v>
      </c>
      <c r="BK636" s="2">
        <v>8.5153852345557474E-2</v>
      </c>
      <c r="BL636" s="2">
        <v>7.4158058913035174E-2</v>
      </c>
      <c r="BM636" s="2">
        <v>7.5718189192107169E-2</v>
      </c>
      <c r="BN636" s="2">
        <v>7.3955559365675619E-2</v>
      </c>
    </row>
    <row r="637" spans="1:66" x14ac:dyDescent="0.25">
      <c r="A637" s="8">
        <v>4142</v>
      </c>
      <c r="B637" s="8" t="s">
        <v>359</v>
      </c>
      <c r="C637" s="5">
        <v>0</v>
      </c>
      <c r="D637" s="5">
        <f>+$C637*BC637</f>
        <v>0</v>
      </c>
      <c r="E637" s="5">
        <f>+$C637*BD637</f>
        <v>0</v>
      </c>
      <c r="F637" s="5">
        <f>+$C637*BE637</f>
        <v>0</v>
      </c>
      <c r="G637" s="5">
        <f>+$C637*BF637</f>
        <v>0</v>
      </c>
      <c r="H637" s="5">
        <f>+$C637*BG637</f>
        <v>0</v>
      </c>
      <c r="I637" s="5">
        <f>+$C637*BH637</f>
        <v>0</v>
      </c>
      <c r="J637" s="5">
        <f>+$C637*BI637</f>
        <v>0</v>
      </c>
      <c r="K637" s="5">
        <f>+$C637*BJ637</f>
        <v>0</v>
      </c>
      <c r="L637" s="5">
        <f>+$C637*BK637</f>
        <v>0</v>
      </c>
      <c r="M637" s="5">
        <f>+$C637*BL637</f>
        <v>0</v>
      </c>
      <c r="N637" s="5">
        <f>+$C637*BM637</f>
        <v>0</v>
      </c>
      <c r="O637" s="5">
        <f>+$C637*BN637</f>
        <v>0</v>
      </c>
      <c r="P637" s="5">
        <v>0</v>
      </c>
      <c r="Q637" s="5">
        <f>+$P637*BC637</f>
        <v>0</v>
      </c>
      <c r="R637" s="5">
        <f>+$P637*BD637</f>
        <v>0</v>
      </c>
      <c r="S637" s="5">
        <f>+$P637*BE637</f>
        <v>0</v>
      </c>
      <c r="T637" s="5">
        <f>+$P637*BF637</f>
        <v>0</v>
      </c>
      <c r="U637" s="5">
        <f>+$P637*BG637</f>
        <v>0</v>
      </c>
      <c r="V637" s="5">
        <f>+$P637*BH637</f>
        <v>0</v>
      </c>
      <c r="W637" s="5">
        <f>+$P637*BI637</f>
        <v>0</v>
      </c>
      <c r="X637" s="5">
        <f>+$P637*BJ637</f>
        <v>0</v>
      </c>
      <c r="Y637" s="5">
        <f>+$P637*BK637</f>
        <v>0</v>
      </c>
      <c r="Z637" s="5">
        <f>+$P637*BL637</f>
        <v>0</v>
      </c>
      <c r="AA637" s="5">
        <f>+$P637*BM637</f>
        <v>0</v>
      </c>
      <c r="AB637" s="5">
        <f>+$P637*BN637</f>
        <v>0</v>
      </c>
      <c r="AC637" s="5">
        <v>0</v>
      </c>
      <c r="AD637" s="5">
        <f>+$AC637*BC637</f>
        <v>0</v>
      </c>
      <c r="AE637" s="5">
        <f>+$AC637*BD637</f>
        <v>0</v>
      </c>
      <c r="AF637" s="5">
        <f>+$AC637*BE637</f>
        <v>0</v>
      </c>
      <c r="AG637" s="5">
        <f>+$AC637*BF637</f>
        <v>0</v>
      </c>
      <c r="AH637" s="5">
        <f>+$AC637*BG637</f>
        <v>0</v>
      </c>
      <c r="AI637" s="5">
        <f>+$AC637*BH637</f>
        <v>0</v>
      </c>
      <c r="AJ637" s="5">
        <f>+$AC637*BI637</f>
        <v>0</v>
      </c>
      <c r="AK637" s="5">
        <f>+$AC637*BJ637</f>
        <v>0</v>
      </c>
      <c r="AL637" s="5">
        <f>+$AC637*BK637</f>
        <v>0</v>
      </c>
      <c r="AM637" s="5">
        <f>+$AC637*BL637</f>
        <v>0</v>
      </c>
      <c r="AN637" s="5">
        <f>+$AC637*BM637</f>
        <v>0</v>
      </c>
      <c r="AO637" s="5">
        <f>+$AC637*BN637</f>
        <v>0</v>
      </c>
      <c r="AP637" s="5">
        <f>+AC637+P637+C637</f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2">
        <v>8.9181565948742242E-2</v>
      </c>
      <c r="BD637" s="2">
        <v>0.10665277883445198</v>
      </c>
      <c r="BE637" s="2">
        <v>9.438849084854764E-2</v>
      </c>
      <c r="BF637" s="2">
        <v>7.149564986855049E-2</v>
      </c>
      <c r="BG637" s="2">
        <v>0.10368571810536763</v>
      </c>
      <c r="BH637" s="2">
        <v>8.4970330952544637E-2</v>
      </c>
      <c r="BI637" s="2">
        <v>8.4593878877262704E-2</v>
      </c>
      <c r="BJ637" s="2">
        <v>5.7447105462779965E-2</v>
      </c>
      <c r="BK637" s="2">
        <v>8.5153852345557474E-2</v>
      </c>
      <c r="BL637" s="2">
        <v>7.4158058913035174E-2</v>
      </c>
      <c r="BM637" s="2">
        <v>7.5718189192107169E-2</v>
      </c>
      <c r="BN637" s="2">
        <v>7.3955559365675619E-2</v>
      </c>
    </row>
    <row r="638" spans="1:66" x14ac:dyDescent="0.25">
      <c r="A638" s="8">
        <v>4145</v>
      </c>
      <c r="B638" s="8" t="s">
        <v>358</v>
      </c>
      <c r="C638" s="5">
        <v>0</v>
      </c>
      <c r="D638" s="5">
        <f>+$C638*BC638</f>
        <v>0</v>
      </c>
      <c r="E638" s="5">
        <f>+$C638*BD638</f>
        <v>0</v>
      </c>
      <c r="F638" s="5">
        <f>+$C638*BE638</f>
        <v>0</v>
      </c>
      <c r="G638" s="5">
        <f>+$C638*BF638</f>
        <v>0</v>
      </c>
      <c r="H638" s="5">
        <f>+$C638*BG638</f>
        <v>0</v>
      </c>
      <c r="I638" s="5">
        <f>+$C638*BH638</f>
        <v>0</v>
      </c>
      <c r="J638" s="5">
        <f>+$C638*BI638</f>
        <v>0</v>
      </c>
      <c r="K638" s="5">
        <f>+$C638*BJ638</f>
        <v>0</v>
      </c>
      <c r="L638" s="5">
        <f>+$C638*BK638</f>
        <v>0</v>
      </c>
      <c r="M638" s="5">
        <f>+$C638*BL638</f>
        <v>0</v>
      </c>
      <c r="N638" s="5">
        <f>+$C638*BM638</f>
        <v>0</v>
      </c>
      <c r="O638" s="5">
        <f>+$C638*BN638</f>
        <v>0</v>
      </c>
      <c r="P638" s="5">
        <v>0</v>
      </c>
      <c r="Q638" s="5">
        <f>+$P638*BC638</f>
        <v>0</v>
      </c>
      <c r="R638" s="5">
        <f>+$P638*BD638</f>
        <v>0</v>
      </c>
      <c r="S638" s="5">
        <f>+$P638*BE638</f>
        <v>0</v>
      </c>
      <c r="T638" s="5">
        <f>+$P638*BF638</f>
        <v>0</v>
      </c>
      <c r="U638" s="5">
        <f>+$P638*BG638</f>
        <v>0</v>
      </c>
      <c r="V638" s="5">
        <f>+$P638*BH638</f>
        <v>0</v>
      </c>
      <c r="W638" s="5">
        <f>+$P638*BI638</f>
        <v>0</v>
      </c>
      <c r="X638" s="5">
        <f>+$P638*BJ638</f>
        <v>0</v>
      </c>
      <c r="Y638" s="5">
        <f>+$P638*BK638</f>
        <v>0</v>
      </c>
      <c r="Z638" s="5">
        <f>+$P638*BL638</f>
        <v>0</v>
      </c>
      <c r="AA638" s="5">
        <f>+$P638*BM638</f>
        <v>0</v>
      </c>
      <c r="AB638" s="5">
        <f>+$P638*BN638</f>
        <v>0</v>
      </c>
      <c r="AC638" s="5">
        <v>0</v>
      </c>
      <c r="AD638" s="5">
        <f>+$AC638*BC638</f>
        <v>0</v>
      </c>
      <c r="AE638" s="5">
        <f>+$AC638*BD638</f>
        <v>0</v>
      </c>
      <c r="AF638" s="5">
        <f>+$AC638*BE638</f>
        <v>0</v>
      </c>
      <c r="AG638" s="5">
        <f>+$AC638*BF638</f>
        <v>0</v>
      </c>
      <c r="AH638" s="5">
        <f>+$AC638*BG638</f>
        <v>0</v>
      </c>
      <c r="AI638" s="5">
        <f>+$AC638*BH638</f>
        <v>0</v>
      </c>
      <c r="AJ638" s="5">
        <f>+$AC638*BI638</f>
        <v>0</v>
      </c>
      <c r="AK638" s="5">
        <f>+$AC638*BJ638</f>
        <v>0</v>
      </c>
      <c r="AL638" s="5">
        <f>+$AC638*BK638</f>
        <v>0</v>
      </c>
      <c r="AM638" s="5">
        <f>+$AC638*BL638</f>
        <v>0</v>
      </c>
      <c r="AN638" s="5">
        <f>+$AC638*BM638</f>
        <v>0</v>
      </c>
      <c r="AO638" s="5">
        <f>+$AC638*BN638</f>
        <v>0</v>
      </c>
      <c r="AP638" s="5">
        <f>+AC638+P638+C638</f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2">
        <v>8.9181565948742242E-2</v>
      </c>
      <c r="BD638" s="2">
        <v>0.10665277883445198</v>
      </c>
      <c r="BE638" s="2">
        <v>9.438849084854764E-2</v>
      </c>
      <c r="BF638" s="2">
        <v>7.149564986855049E-2</v>
      </c>
      <c r="BG638" s="2">
        <v>0.10368571810536763</v>
      </c>
      <c r="BH638" s="2">
        <v>8.4970330952544637E-2</v>
      </c>
      <c r="BI638" s="2">
        <v>8.4593878877262704E-2</v>
      </c>
      <c r="BJ638" s="2">
        <v>5.7447105462779965E-2</v>
      </c>
      <c r="BK638" s="2">
        <v>8.5153852345557474E-2</v>
      </c>
      <c r="BL638" s="2">
        <v>7.4158058913035174E-2</v>
      </c>
      <c r="BM638" s="2">
        <v>7.5718189192107169E-2</v>
      </c>
      <c r="BN638" s="2">
        <v>7.3955559365675619E-2</v>
      </c>
    </row>
    <row r="639" spans="1:66" x14ac:dyDescent="0.25">
      <c r="A639" s="8">
        <v>4161</v>
      </c>
      <c r="B639" s="8" t="s">
        <v>357</v>
      </c>
      <c r="C639" s="5">
        <v>0</v>
      </c>
      <c r="D639" s="5">
        <f>+$C639*BC639</f>
        <v>0</v>
      </c>
      <c r="E639" s="5">
        <f>+$C639*BD639</f>
        <v>0</v>
      </c>
      <c r="F639" s="5">
        <f>+$C639*BE639</f>
        <v>0</v>
      </c>
      <c r="G639" s="5">
        <f>+$C639*BF639</f>
        <v>0</v>
      </c>
      <c r="H639" s="5">
        <f>+$C639*BG639</f>
        <v>0</v>
      </c>
      <c r="I639" s="5">
        <f>+$C639*BH639</f>
        <v>0</v>
      </c>
      <c r="J639" s="5">
        <f>+$C639*BI639</f>
        <v>0</v>
      </c>
      <c r="K639" s="5">
        <f>+$C639*BJ639</f>
        <v>0</v>
      </c>
      <c r="L639" s="5">
        <f>+$C639*BK639</f>
        <v>0</v>
      </c>
      <c r="M639" s="5">
        <f>+$C639*BL639</f>
        <v>0</v>
      </c>
      <c r="N639" s="5">
        <f>+$C639*BM639</f>
        <v>0</v>
      </c>
      <c r="O639" s="5">
        <f>+$C639*BN639</f>
        <v>0</v>
      </c>
      <c r="P639" s="5">
        <v>0</v>
      </c>
      <c r="Q639" s="5">
        <f>+$P639*BC639</f>
        <v>0</v>
      </c>
      <c r="R639" s="5">
        <f>+$P639*BD639</f>
        <v>0</v>
      </c>
      <c r="S639" s="5">
        <f>+$P639*BE639</f>
        <v>0</v>
      </c>
      <c r="T639" s="5">
        <f>+$P639*BF639</f>
        <v>0</v>
      </c>
      <c r="U639" s="5">
        <f>+$P639*BG639</f>
        <v>0</v>
      </c>
      <c r="V639" s="5">
        <f>+$P639*BH639</f>
        <v>0</v>
      </c>
      <c r="W639" s="5">
        <f>+$P639*BI639</f>
        <v>0</v>
      </c>
      <c r="X639" s="5">
        <f>+$P639*BJ639</f>
        <v>0</v>
      </c>
      <c r="Y639" s="5">
        <f>+$P639*BK639</f>
        <v>0</v>
      </c>
      <c r="Z639" s="5">
        <f>+$P639*BL639</f>
        <v>0</v>
      </c>
      <c r="AA639" s="5">
        <f>+$P639*BM639</f>
        <v>0</v>
      </c>
      <c r="AB639" s="5">
        <f>+$P639*BN639</f>
        <v>0</v>
      </c>
      <c r="AC639" s="5">
        <v>0</v>
      </c>
      <c r="AD639" s="5">
        <f>+$AC639*BC639</f>
        <v>0</v>
      </c>
      <c r="AE639" s="5">
        <f>+$AC639*BD639</f>
        <v>0</v>
      </c>
      <c r="AF639" s="5">
        <f>+$AC639*BE639</f>
        <v>0</v>
      </c>
      <c r="AG639" s="5">
        <f>+$AC639*BF639</f>
        <v>0</v>
      </c>
      <c r="AH639" s="5">
        <f>+$AC639*BG639</f>
        <v>0</v>
      </c>
      <c r="AI639" s="5">
        <f>+$AC639*BH639</f>
        <v>0</v>
      </c>
      <c r="AJ639" s="5">
        <f>+$AC639*BI639</f>
        <v>0</v>
      </c>
      <c r="AK639" s="5">
        <f>+$AC639*BJ639</f>
        <v>0</v>
      </c>
      <c r="AL639" s="5">
        <f>+$AC639*BK639</f>
        <v>0</v>
      </c>
      <c r="AM639" s="5">
        <f>+$AC639*BL639</f>
        <v>0</v>
      </c>
      <c r="AN639" s="5">
        <f>+$AC639*BM639</f>
        <v>0</v>
      </c>
      <c r="AO639" s="5">
        <f>+$AC639*BN639</f>
        <v>0</v>
      </c>
      <c r="AP639" s="5">
        <f>+AC639+P639+C639</f>
        <v>0</v>
      </c>
      <c r="AQ639" s="1">
        <v>28.448919537648774</v>
      </c>
      <c r="AR639" s="1">
        <v>34.022236448190185</v>
      </c>
      <c r="AS639" s="1">
        <v>30.109928580686699</v>
      </c>
      <c r="AT639" s="1">
        <v>22.807112308067605</v>
      </c>
      <c r="AU639" s="1">
        <v>33.07574407561227</v>
      </c>
      <c r="AV639" s="1">
        <v>27.10553557386174</v>
      </c>
      <c r="AW639" s="1">
        <v>26.985447361846802</v>
      </c>
      <c r="AX639" s="1">
        <v>18.325626642626808</v>
      </c>
      <c r="AY639" s="1">
        <v>27.164078898232834</v>
      </c>
      <c r="AZ639" s="1">
        <v>23.656420793258221</v>
      </c>
      <c r="BA639" s="1">
        <v>24.154102352282187</v>
      </c>
      <c r="BB639" s="1">
        <v>23.591823437650522</v>
      </c>
      <c r="BC639" s="2">
        <v>8.9181565948742242E-2</v>
      </c>
      <c r="BD639" s="2">
        <v>0.10665277883445198</v>
      </c>
      <c r="BE639" s="2">
        <v>9.438849084854764E-2</v>
      </c>
      <c r="BF639" s="2">
        <v>7.149564986855049E-2</v>
      </c>
      <c r="BG639" s="2">
        <v>0.10368571810536763</v>
      </c>
      <c r="BH639" s="2">
        <v>8.4970330952544637E-2</v>
      </c>
      <c r="BI639" s="2">
        <v>8.4593878877262704E-2</v>
      </c>
      <c r="BJ639" s="2">
        <v>5.7447105462779965E-2</v>
      </c>
      <c r="BK639" s="2">
        <v>8.5153852345557474E-2</v>
      </c>
      <c r="BL639" s="2">
        <v>7.4158058913035174E-2</v>
      </c>
      <c r="BM639" s="2">
        <v>7.5718189192107169E-2</v>
      </c>
      <c r="BN639" s="2">
        <v>7.3955559365675619E-2</v>
      </c>
    </row>
    <row r="640" spans="1:66" x14ac:dyDescent="0.25">
      <c r="A640" s="8">
        <v>4177</v>
      </c>
      <c r="B640" s="8" t="s">
        <v>356</v>
      </c>
      <c r="C640" s="5">
        <v>0</v>
      </c>
      <c r="D640" s="5">
        <f>+$C640*BC640</f>
        <v>0</v>
      </c>
      <c r="E640" s="5">
        <f>+$C640*BD640</f>
        <v>0</v>
      </c>
      <c r="F640" s="5">
        <f>+$C640*BE640</f>
        <v>0</v>
      </c>
      <c r="G640" s="5">
        <f>+$C640*BF640</f>
        <v>0</v>
      </c>
      <c r="H640" s="5">
        <f>+$C640*BG640</f>
        <v>0</v>
      </c>
      <c r="I640" s="5">
        <f>+$C640*BH640</f>
        <v>0</v>
      </c>
      <c r="J640" s="5">
        <f>+$C640*BI640</f>
        <v>0</v>
      </c>
      <c r="K640" s="5">
        <f>+$C640*BJ640</f>
        <v>0</v>
      </c>
      <c r="L640" s="5">
        <f>+$C640*BK640</f>
        <v>0</v>
      </c>
      <c r="M640" s="5">
        <f>+$C640*BL640</f>
        <v>0</v>
      </c>
      <c r="N640" s="5">
        <f>+$C640*BM640</f>
        <v>0</v>
      </c>
      <c r="O640" s="5">
        <f>+$C640*BN640</f>
        <v>0</v>
      </c>
      <c r="P640" s="5">
        <v>0</v>
      </c>
      <c r="Q640" s="5">
        <f>+$P640*BC640</f>
        <v>0</v>
      </c>
      <c r="R640" s="5">
        <f>+$P640*BD640</f>
        <v>0</v>
      </c>
      <c r="S640" s="5">
        <f>+$P640*BE640</f>
        <v>0</v>
      </c>
      <c r="T640" s="5">
        <f>+$P640*BF640</f>
        <v>0</v>
      </c>
      <c r="U640" s="5">
        <f>+$P640*BG640</f>
        <v>0</v>
      </c>
      <c r="V640" s="5">
        <f>+$P640*BH640</f>
        <v>0</v>
      </c>
      <c r="W640" s="5">
        <f>+$P640*BI640</f>
        <v>0</v>
      </c>
      <c r="X640" s="5">
        <f>+$P640*BJ640</f>
        <v>0</v>
      </c>
      <c r="Y640" s="5">
        <f>+$P640*BK640</f>
        <v>0</v>
      </c>
      <c r="Z640" s="5">
        <f>+$P640*BL640</f>
        <v>0</v>
      </c>
      <c r="AA640" s="5">
        <f>+$P640*BM640</f>
        <v>0</v>
      </c>
      <c r="AB640" s="5">
        <f>+$P640*BN640</f>
        <v>0</v>
      </c>
      <c r="AC640" s="5">
        <v>0</v>
      </c>
      <c r="AD640" s="5">
        <f>+$AC640*BC640</f>
        <v>0</v>
      </c>
      <c r="AE640" s="5">
        <f>+$AC640*BD640</f>
        <v>0</v>
      </c>
      <c r="AF640" s="5">
        <f>+$AC640*BE640</f>
        <v>0</v>
      </c>
      <c r="AG640" s="5">
        <f>+$AC640*BF640</f>
        <v>0</v>
      </c>
      <c r="AH640" s="5">
        <f>+$AC640*BG640</f>
        <v>0</v>
      </c>
      <c r="AI640" s="5">
        <f>+$AC640*BH640</f>
        <v>0</v>
      </c>
      <c r="AJ640" s="5">
        <f>+$AC640*BI640</f>
        <v>0</v>
      </c>
      <c r="AK640" s="5">
        <f>+$AC640*BJ640</f>
        <v>0</v>
      </c>
      <c r="AL640" s="5">
        <f>+$AC640*BK640</f>
        <v>0</v>
      </c>
      <c r="AM640" s="5">
        <f>+$AC640*BL640</f>
        <v>0</v>
      </c>
      <c r="AN640" s="5">
        <f>+$AC640*BM640</f>
        <v>0</v>
      </c>
      <c r="AO640" s="5">
        <f>+$AC640*BN640</f>
        <v>0</v>
      </c>
      <c r="AP640" s="5">
        <f>+AC640+P640+C640</f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2">
        <v>8.9181565948742242E-2</v>
      </c>
      <c r="BD640" s="2">
        <v>0.10665277883445198</v>
      </c>
      <c r="BE640" s="2">
        <v>9.438849084854764E-2</v>
      </c>
      <c r="BF640" s="2">
        <v>7.149564986855049E-2</v>
      </c>
      <c r="BG640" s="2">
        <v>0.10368571810536763</v>
      </c>
      <c r="BH640" s="2">
        <v>8.4970330952544637E-2</v>
      </c>
      <c r="BI640" s="2">
        <v>8.4593878877262704E-2</v>
      </c>
      <c r="BJ640" s="2">
        <v>5.7447105462779965E-2</v>
      </c>
      <c r="BK640" s="2">
        <v>8.5153852345557474E-2</v>
      </c>
      <c r="BL640" s="2">
        <v>7.4158058913035174E-2</v>
      </c>
      <c r="BM640" s="2">
        <v>7.5718189192107169E-2</v>
      </c>
      <c r="BN640" s="2">
        <v>7.3955559365675619E-2</v>
      </c>
    </row>
    <row r="641" spans="1:66" x14ac:dyDescent="0.25">
      <c r="A641" s="8">
        <v>4186</v>
      </c>
      <c r="B641" s="8" t="s">
        <v>355</v>
      </c>
      <c r="C641" s="5">
        <v>0</v>
      </c>
      <c r="D641" s="5">
        <f>+$C641*BC641</f>
        <v>0</v>
      </c>
      <c r="E641" s="5">
        <f>+$C641*BD641</f>
        <v>0</v>
      </c>
      <c r="F641" s="5">
        <f>+$C641*BE641</f>
        <v>0</v>
      </c>
      <c r="G641" s="5">
        <f>+$C641*BF641</f>
        <v>0</v>
      </c>
      <c r="H641" s="5">
        <f>+$C641*BG641</f>
        <v>0</v>
      </c>
      <c r="I641" s="5">
        <f>+$C641*BH641</f>
        <v>0</v>
      </c>
      <c r="J641" s="5">
        <f>+$C641*BI641</f>
        <v>0</v>
      </c>
      <c r="K641" s="5">
        <f>+$C641*BJ641</f>
        <v>0</v>
      </c>
      <c r="L641" s="5">
        <f>+$C641*BK641</f>
        <v>0</v>
      </c>
      <c r="M641" s="5">
        <f>+$C641*BL641</f>
        <v>0</v>
      </c>
      <c r="N641" s="5">
        <f>+$C641*BM641</f>
        <v>0</v>
      </c>
      <c r="O641" s="5">
        <f>+$C641*BN641</f>
        <v>0</v>
      </c>
      <c r="P641" s="5">
        <v>1000</v>
      </c>
      <c r="Q641" s="5">
        <f>+$P641*BC641</f>
        <v>89.181565948742247</v>
      </c>
      <c r="R641" s="5">
        <f>+$P641*BD641</f>
        <v>106.65277883445198</v>
      </c>
      <c r="S641" s="5">
        <f>+$P641*BE641</f>
        <v>94.388490848547647</v>
      </c>
      <c r="T641" s="5">
        <f>+$P641*BF641</f>
        <v>71.495649868550487</v>
      </c>
      <c r="U641" s="5">
        <f>+$P641*BG641</f>
        <v>103.68571810536763</v>
      </c>
      <c r="V641" s="5">
        <f>+$P641*BH641</f>
        <v>84.970330952544643</v>
      </c>
      <c r="W641" s="5">
        <f>+$P641*BI641</f>
        <v>84.593878877262711</v>
      </c>
      <c r="X641" s="5">
        <f>+$P641*BJ641</f>
        <v>57.447105462779966</v>
      </c>
      <c r="Y641" s="5">
        <f>+$P641*BK641</f>
        <v>85.153852345557468</v>
      </c>
      <c r="Z641" s="5">
        <f>+$P641*BL641</f>
        <v>74.158058913035177</v>
      </c>
      <c r="AA641" s="5">
        <f>+$P641*BM641</f>
        <v>75.718189192107175</v>
      </c>
      <c r="AB641" s="5">
        <f>+$P641*BN641</f>
        <v>73.955559365675626</v>
      </c>
      <c r="AC641" s="5">
        <v>0</v>
      </c>
      <c r="AD641" s="5">
        <f>+$AC641*BC641</f>
        <v>0</v>
      </c>
      <c r="AE641" s="5">
        <f>+$AC641*BD641</f>
        <v>0</v>
      </c>
      <c r="AF641" s="5">
        <f>+$AC641*BE641</f>
        <v>0</v>
      </c>
      <c r="AG641" s="5">
        <f>+$AC641*BF641</f>
        <v>0</v>
      </c>
      <c r="AH641" s="5">
        <f>+$AC641*BG641</f>
        <v>0</v>
      </c>
      <c r="AI641" s="5">
        <f>+$AC641*BH641</f>
        <v>0</v>
      </c>
      <c r="AJ641" s="5">
        <f>+$AC641*BI641</f>
        <v>0</v>
      </c>
      <c r="AK641" s="5">
        <f>+$AC641*BJ641</f>
        <v>0</v>
      </c>
      <c r="AL641" s="5">
        <f>+$AC641*BK641</f>
        <v>0</v>
      </c>
      <c r="AM641" s="5">
        <f>+$AC641*BL641</f>
        <v>0</v>
      </c>
      <c r="AN641" s="5">
        <f>+$AC641*BM641</f>
        <v>0</v>
      </c>
      <c r="AO641" s="5">
        <f>+$AC641*BN641</f>
        <v>0</v>
      </c>
      <c r="AP641" s="5">
        <f>+AC641+P641+C641</f>
        <v>1000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2">
        <v>8.9181565948742242E-2</v>
      </c>
      <c r="BD641" s="2">
        <v>0.10665277883445198</v>
      </c>
      <c r="BE641" s="2">
        <v>9.438849084854764E-2</v>
      </c>
      <c r="BF641" s="2">
        <v>7.149564986855049E-2</v>
      </c>
      <c r="BG641" s="2">
        <v>0.10368571810536763</v>
      </c>
      <c r="BH641" s="2">
        <v>8.4970330952544637E-2</v>
      </c>
      <c r="BI641" s="2">
        <v>8.4593878877262704E-2</v>
      </c>
      <c r="BJ641" s="2">
        <v>5.7447105462779965E-2</v>
      </c>
      <c r="BK641" s="2">
        <v>8.5153852345557474E-2</v>
      </c>
      <c r="BL641" s="2">
        <v>7.4158058913035174E-2</v>
      </c>
      <c r="BM641" s="2">
        <v>7.5718189192107169E-2</v>
      </c>
      <c r="BN641" s="2">
        <v>7.3955559365675619E-2</v>
      </c>
    </row>
    <row r="642" spans="1:66" x14ac:dyDescent="0.25">
      <c r="A642" s="8">
        <v>4188</v>
      </c>
      <c r="B642" s="8" t="s">
        <v>354</v>
      </c>
      <c r="C642" s="5">
        <v>0</v>
      </c>
      <c r="D642" s="5">
        <f>+$C642*BC642</f>
        <v>0</v>
      </c>
      <c r="E642" s="5">
        <f>+$C642*BD642</f>
        <v>0</v>
      </c>
      <c r="F642" s="5">
        <f>+$C642*BE642</f>
        <v>0</v>
      </c>
      <c r="G642" s="5">
        <f>+$C642*BF642</f>
        <v>0</v>
      </c>
      <c r="H642" s="5">
        <f>+$C642*BG642</f>
        <v>0</v>
      </c>
      <c r="I642" s="5">
        <f>+$C642*BH642</f>
        <v>0</v>
      </c>
      <c r="J642" s="5">
        <f>+$C642*BI642</f>
        <v>0</v>
      </c>
      <c r="K642" s="5">
        <f>+$C642*BJ642</f>
        <v>0</v>
      </c>
      <c r="L642" s="5">
        <f>+$C642*BK642</f>
        <v>0</v>
      </c>
      <c r="M642" s="5">
        <f>+$C642*BL642</f>
        <v>0</v>
      </c>
      <c r="N642" s="5">
        <f>+$C642*BM642</f>
        <v>0</v>
      </c>
      <c r="O642" s="5">
        <f>+$C642*BN642</f>
        <v>0</v>
      </c>
      <c r="P642" s="5">
        <v>0</v>
      </c>
      <c r="Q642" s="5">
        <f>+$P642*BC642</f>
        <v>0</v>
      </c>
      <c r="R642" s="5">
        <f>+$P642*BD642</f>
        <v>0</v>
      </c>
      <c r="S642" s="5">
        <f>+$P642*BE642</f>
        <v>0</v>
      </c>
      <c r="T642" s="5">
        <f>+$P642*BF642</f>
        <v>0</v>
      </c>
      <c r="U642" s="5">
        <f>+$P642*BG642</f>
        <v>0</v>
      </c>
      <c r="V642" s="5">
        <f>+$P642*BH642</f>
        <v>0</v>
      </c>
      <c r="W642" s="5">
        <f>+$P642*BI642</f>
        <v>0</v>
      </c>
      <c r="X642" s="5">
        <f>+$P642*BJ642</f>
        <v>0</v>
      </c>
      <c r="Y642" s="5">
        <f>+$P642*BK642</f>
        <v>0</v>
      </c>
      <c r="Z642" s="5">
        <f>+$P642*BL642</f>
        <v>0</v>
      </c>
      <c r="AA642" s="5">
        <f>+$P642*BM642</f>
        <v>0</v>
      </c>
      <c r="AB642" s="5">
        <f>+$P642*BN642</f>
        <v>0</v>
      </c>
      <c r="AC642" s="5">
        <v>0</v>
      </c>
      <c r="AD642" s="5">
        <f>+$AC642*BC642</f>
        <v>0</v>
      </c>
      <c r="AE642" s="5">
        <f>+$AC642*BD642</f>
        <v>0</v>
      </c>
      <c r="AF642" s="5">
        <f>+$AC642*BE642</f>
        <v>0</v>
      </c>
      <c r="AG642" s="5">
        <f>+$AC642*BF642</f>
        <v>0</v>
      </c>
      <c r="AH642" s="5">
        <f>+$AC642*BG642</f>
        <v>0</v>
      </c>
      <c r="AI642" s="5">
        <f>+$AC642*BH642</f>
        <v>0</v>
      </c>
      <c r="AJ642" s="5">
        <f>+$AC642*BI642</f>
        <v>0</v>
      </c>
      <c r="AK642" s="5">
        <f>+$AC642*BJ642</f>
        <v>0</v>
      </c>
      <c r="AL642" s="5">
        <f>+$AC642*BK642</f>
        <v>0</v>
      </c>
      <c r="AM642" s="5">
        <f>+$AC642*BL642</f>
        <v>0</v>
      </c>
      <c r="AN642" s="5">
        <f>+$AC642*BM642</f>
        <v>0</v>
      </c>
      <c r="AO642" s="5">
        <f>+$AC642*BN642</f>
        <v>0</v>
      </c>
      <c r="AP642" s="5">
        <f>+AC642+P642+C642</f>
        <v>0</v>
      </c>
      <c r="AQ642" s="1">
        <v>213.65138572774234</v>
      </c>
      <c r="AR642" s="1">
        <v>255.50699572590833</v>
      </c>
      <c r="AS642" s="1">
        <v>226.12556364095715</v>
      </c>
      <c r="AT642" s="1">
        <v>171.28141343358777</v>
      </c>
      <c r="AU642" s="1">
        <v>248.39883800784821</v>
      </c>
      <c r="AV642" s="1">
        <v>203.56257215970172</v>
      </c>
      <c r="AW642" s="1">
        <v>202.66070968746953</v>
      </c>
      <c r="AX642" s="1">
        <v>137.62545608612737</v>
      </c>
      <c r="AY642" s="1">
        <v>204.00223252572863</v>
      </c>
      <c r="AZ642" s="1">
        <v>177.65972015736926</v>
      </c>
      <c r="BA642" s="1">
        <v>181.39730866563926</v>
      </c>
      <c r="BB642" s="1">
        <v>177.17459401675546</v>
      </c>
      <c r="BC642" s="2">
        <v>8.9181565948742242E-2</v>
      </c>
      <c r="BD642" s="2">
        <v>0.10665277883445198</v>
      </c>
      <c r="BE642" s="2">
        <v>9.438849084854764E-2</v>
      </c>
      <c r="BF642" s="2">
        <v>7.149564986855049E-2</v>
      </c>
      <c r="BG642" s="2">
        <v>0.10368571810536763</v>
      </c>
      <c r="BH642" s="2">
        <v>8.4970330952544637E-2</v>
      </c>
      <c r="BI642" s="2">
        <v>8.4593878877262704E-2</v>
      </c>
      <c r="BJ642" s="2">
        <v>5.7447105462779965E-2</v>
      </c>
      <c r="BK642" s="2">
        <v>8.5153852345557474E-2</v>
      </c>
      <c r="BL642" s="2">
        <v>7.4158058913035174E-2</v>
      </c>
      <c r="BM642" s="2">
        <v>7.5718189192107169E-2</v>
      </c>
      <c r="BN642" s="2">
        <v>7.3955559365675619E-2</v>
      </c>
    </row>
    <row r="643" spans="1:66" x14ac:dyDescent="0.25">
      <c r="A643" s="8">
        <v>4195</v>
      </c>
      <c r="B643" s="8" t="s">
        <v>353</v>
      </c>
      <c r="C643" s="5">
        <v>0</v>
      </c>
      <c r="D643" s="5">
        <f>+$C643*BC643</f>
        <v>0</v>
      </c>
      <c r="E643" s="5">
        <f>+$C643*BD643</f>
        <v>0</v>
      </c>
      <c r="F643" s="5">
        <f>+$C643*BE643</f>
        <v>0</v>
      </c>
      <c r="G643" s="5">
        <f>+$C643*BF643</f>
        <v>0</v>
      </c>
      <c r="H643" s="5">
        <f>+$C643*BG643</f>
        <v>0</v>
      </c>
      <c r="I643" s="5">
        <f>+$C643*BH643</f>
        <v>0</v>
      </c>
      <c r="J643" s="5">
        <f>+$C643*BI643</f>
        <v>0</v>
      </c>
      <c r="K643" s="5">
        <f>+$C643*BJ643</f>
        <v>0</v>
      </c>
      <c r="L643" s="5">
        <f>+$C643*BK643</f>
        <v>0</v>
      </c>
      <c r="M643" s="5">
        <f>+$C643*BL643</f>
        <v>0</v>
      </c>
      <c r="N643" s="5">
        <f>+$C643*BM643</f>
        <v>0</v>
      </c>
      <c r="O643" s="5">
        <f>+$C643*BN643</f>
        <v>0</v>
      </c>
      <c r="P643" s="5">
        <v>0</v>
      </c>
      <c r="Q643" s="5">
        <f>+$P643*BC643</f>
        <v>0</v>
      </c>
      <c r="R643" s="5">
        <f>+$P643*BD643</f>
        <v>0</v>
      </c>
      <c r="S643" s="5">
        <f>+$P643*BE643</f>
        <v>0</v>
      </c>
      <c r="T643" s="5">
        <f>+$P643*BF643</f>
        <v>0</v>
      </c>
      <c r="U643" s="5">
        <f>+$P643*BG643</f>
        <v>0</v>
      </c>
      <c r="V643" s="5">
        <f>+$P643*BH643</f>
        <v>0</v>
      </c>
      <c r="W643" s="5">
        <f>+$P643*BI643</f>
        <v>0</v>
      </c>
      <c r="X643" s="5">
        <f>+$P643*BJ643</f>
        <v>0</v>
      </c>
      <c r="Y643" s="5">
        <f>+$P643*BK643</f>
        <v>0</v>
      </c>
      <c r="Z643" s="5">
        <f>+$P643*BL643</f>
        <v>0</v>
      </c>
      <c r="AA643" s="5">
        <f>+$P643*BM643</f>
        <v>0</v>
      </c>
      <c r="AB643" s="5">
        <f>+$P643*BN643</f>
        <v>0</v>
      </c>
      <c r="AC643" s="5">
        <v>0</v>
      </c>
      <c r="AD643" s="5">
        <f>+$AC643*BC643</f>
        <v>0</v>
      </c>
      <c r="AE643" s="5">
        <f>+$AC643*BD643</f>
        <v>0</v>
      </c>
      <c r="AF643" s="5">
        <f>+$AC643*BE643</f>
        <v>0</v>
      </c>
      <c r="AG643" s="5">
        <f>+$AC643*BF643</f>
        <v>0</v>
      </c>
      <c r="AH643" s="5">
        <f>+$AC643*BG643</f>
        <v>0</v>
      </c>
      <c r="AI643" s="5">
        <f>+$AC643*BH643</f>
        <v>0</v>
      </c>
      <c r="AJ643" s="5">
        <f>+$AC643*BI643</f>
        <v>0</v>
      </c>
      <c r="AK643" s="5">
        <f>+$AC643*BJ643</f>
        <v>0</v>
      </c>
      <c r="AL643" s="5">
        <f>+$AC643*BK643</f>
        <v>0</v>
      </c>
      <c r="AM643" s="5">
        <f>+$AC643*BL643</f>
        <v>0</v>
      </c>
      <c r="AN643" s="5">
        <f>+$AC643*BM643</f>
        <v>0</v>
      </c>
      <c r="AO643" s="5">
        <f>+$AC643*BN643</f>
        <v>0</v>
      </c>
      <c r="AP643" s="5">
        <f>+AC643+P643+C643</f>
        <v>0</v>
      </c>
      <c r="AQ643" s="1">
        <v>9.8492121433790949</v>
      </c>
      <c r="AR643" s="1">
        <v>11.778732894476878</v>
      </c>
      <c r="AS643" s="1">
        <v>10.424264929313603</v>
      </c>
      <c r="AT643" s="1">
        <v>7.8959795714827168</v>
      </c>
      <c r="AU643" s="1">
        <v>11.451050707556803</v>
      </c>
      <c r="AV643" s="1">
        <v>9.3841233503990313</v>
      </c>
      <c r="AW643" s="1">
        <v>9.3425479832048932</v>
      </c>
      <c r="AX643" s="1">
        <v>6.3444583273094199</v>
      </c>
      <c r="AY643" s="1">
        <v>9.4043914530433685</v>
      </c>
      <c r="AZ643" s="1">
        <v>8.1900160263556057</v>
      </c>
      <c r="BA643" s="1">
        <v>8.3623168143763174</v>
      </c>
      <c r="BB643" s="1">
        <v>8.1676519763452156</v>
      </c>
      <c r="BC643" s="2">
        <v>8.9181565948742242E-2</v>
      </c>
      <c r="BD643" s="2">
        <v>0.10665277883445198</v>
      </c>
      <c r="BE643" s="2">
        <v>9.438849084854764E-2</v>
      </c>
      <c r="BF643" s="2">
        <v>7.149564986855049E-2</v>
      </c>
      <c r="BG643" s="2">
        <v>0.10368571810536763</v>
      </c>
      <c r="BH643" s="2">
        <v>8.4970330952544637E-2</v>
      </c>
      <c r="BI643" s="2">
        <v>8.4593878877262704E-2</v>
      </c>
      <c r="BJ643" s="2">
        <v>5.7447105462779965E-2</v>
      </c>
      <c r="BK643" s="2">
        <v>8.5153852345557474E-2</v>
      </c>
      <c r="BL643" s="2">
        <v>7.4158058913035174E-2</v>
      </c>
      <c r="BM643" s="2">
        <v>7.5718189192107169E-2</v>
      </c>
      <c r="BN643" s="2">
        <v>7.3955559365675619E-2</v>
      </c>
    </row>
    <row r="644" spans="1:66" x14ac:dyDescent="0.25">
      <c r="A644" s="8">
        <v>4199</v>
      </c>
      <c r="B644" s="8" t="s">
        <v>352</v>
      </c>
      <c r="C644" s="5">
        <v>0</v>
      </c>
      <c r="D644" s="5">
        <f>+$C644*BC644</f>
        <v>0</v>
      </c>
      <c r="E644" s="5">
        <f>+$C644*BD644</f>
        <v>0</v>
      </c>
      <c r="F644" s="5">
        <f>+$C644*BE644</f>
        <v>0</v>
      </c>
      <c r="G644" s="5">
        <f>+$C644*BF644</f>
        <v>0</v>
      </c>
      <c r="H644" s="5">
        <f>+$C644*BG644</f>
        <v>0</v>
      </c>
      <c r="I644" s="5">
        <f>+$C644*BH644</f>
        <v>0</v>
      </c>
      <c r="J644" s="5">
        <f>+$C644*BI644</f>
        <v>0</v>
      </c>
      <c r="K644" s="5">
        <f>+$C644*BJ644</f>
        <v>0</v>
      </c>
      <c r="L644" s="5">
        <f>+$C644*BK644</f>
        <v>0</v>
      </c>
      <c r="M644" s="5">
        <f>+$C644*BL644</f>
        <v>0</v>
      </c>
      <c r="N644" s="5">
        <f>+$C644*BM644</f>
        <v>0</v>
      </c>
      <c r="O644" s="5">
        <f>+$C644*BN644</f>
        <v>0</v>
      </c>
      <c r="P644" s="5">
        <v>0</v>
      </c>
      <c r="Q644" s="5">
        <f>+$P644*BC644</f>
        <v>0</v>
      </c>
      <c r="R644" s="5">
        <f>+$P644*BD644</f>
        <v>0</v>
      </c>
      <c r="S644" s="5">
        <f>+$P644*BE644</f>
        <v>0</v>
      </c>
      <c r="T644" s="5">
        <f>+$P644*BF644</f>
        <v>0</v>
      </c>
      <c r="U644" s="5">
        <f>+$P644*BG644</f>
        <v>0</v>
      </c>
      <c r="V644" s="5">
        <f>+$P644*BH644</f>
        <v>0</v>
      </c>
      <c r="W644" s="5">
        <f>+$P644*BI644</f>
        <v>0</v>
      </c>
      <c r="X644" s="5">
        <f>+$P644*BJ644</f>
        <v>0</v>
      </c>
      <c r="Y644" s="5">
        <f>+$P644*BK644</f>
        <v>0</v>
      </c>
      <c r="Z644" s="5">
        <f>+$P644*BL644</f>
        <v>0</v>
      </c>
      <c r="AA644" s="5">
        <f>+$P644*BM644</f>
        <v>0</v>
      </c>
      <c r="AB644" s="5">
        <f>+$P644*BN644</f>
        <v>0</v>
      </c>
      <c r="AC644" s="5">
        <v>0</v>
      </c>
      <c r="AD644" s="5">
        <f>+$AC644*BC644</f>
        <v>0</v>
      </c>
      <c r="AE644" s="5">
        <f>+$AC644*BD644</f>
        <v>0</v>
      </c>
      <c r="AF644" s="5">
        <f>+$AC644*BE644</f>
        <v>0</v>
      </c>
      <c r="AG644" s="5">
        <f>+$AC644*BF644</f>
        <v>0</v>
      </c>
      <c r="AH644" s="5">
        <f>+$AC644*BG644</f>
        <v>0</v>
      </c>
      <c r="AI644" s="5">
        <f>+$AC644*BH644</f>
        <v>0</v>
      </c>
      <c r="AJ644" s="5">
        <f>+$AC644*BI644</f>
        <v>0</v>
      </c>
      <c r="AK644" s="5">
        <f>+$AC644*BJ644</f>
        <v>0</v>
      </c>
      <c r="AL644" s="5">
        <f>+$AC644*BK644</f>
        <v>0</v>
      </c>
      <c r="AM644" s="5">
        <f>+$AC644*BL644</f>
        <v>0</v>
      </c>
      <c r="AN644" s="5">
        <f>+$AC644*BM644</f>
        <v>0</v>
      </c>
      <c r="AO644" s="5">
        <f>+$AC644*BN644</f>
        <v>0</v>
      </c>
      <c r="AP644" s="5">
        <f>+AC644+P644+C644</f>
        <v>0</v>
      </c>
      <c r="AQ644" s="1">
        <v>8.6327755838382494</v>
      </c>
      <c r="AR644" s="1">
        <v>10.323988991174954</v>
      </c>
      <c r="AS644" s="1">
        <v>9.136805914139412</v>
      </c>
      <c r="AT644" s="1">
        <v>6.9207789072756887</v>
      </c>
      <c r="AU644" s="1">
        <v>10.036777512599588</v>
      </c>
      <c r="AV644" s="1">
        <v>8.2251280362063213</v>
      </c>
      <c r="AW644" s="1">
        <v>8.1886874753190302</v>
      </c>
      <c r="AX644" s="1">
        <v>5.5608798087971012</v>
      </c>
      <c r="AY644" s="1">
        <v>8.2428929070499652</v>
      </c>
      <c r="AZ644" s="1">
        <v>7.1785001027818058</v>
      </c>
      <c r="BA644" s="1">
        <v>7.3295207137959748</v>
      </c>
      <c r="BB644" s="1">
        <v>7.1588981465974006</v>
      </c>
      <c r="BC644" s="2">
        <v>8.9181565948742242E-2</v>
      </c>
      <c r="BD644" s="2">
        <v>0.10665277883445198</v>
      </c>
      <c r="BE644" s="2">
        <v>9.438849084854764E-2</v>
      </c>
      <c r="BF644" s="2">
        <v>7.149564986855049E-2</v>
      </c>
      <c r="BG644" s="2">
        <v>0.10368571810536763</v>
      </c>
      <c r="BH644" s="2">
        <v>8.4970330952544637E-2</v>
      </c>
      <c r="BI644" s="2">
        <v>8.4593878877262704E-2</v>
      </c>
      <c r="BJ644" s="2">
        <v>5.7447105462779965E-2</v>
      </c>
      <c r="BK644" s="2">
        <v>8.5153852345557474E-2</v>
      </c>
      <c r="BL644" s="2">
        <v>7.4158058913035174E-2</v>
      </c>
      <c r="BM644" s="2">
        <v>7.5718189192107169E-2</v>
      </c>
      <c r="BN644" s="2">
        <v>7.3955559365675619E-2</v>
      </c>
    </row>
    <row r="645" spans="1:66" x14ac:dyDescent="0.25">
      <c r="A645" s="8">
        <v>4208</v>
      </c>
      <c r="B645" s="8" t="s">
        <v>351</v>
      </c>
      <c r="C645" s="5">
        <v>0</v>
      </c>
      <c r="D645" s="5">
        <f>+$C645*BC645</f>
        <v>0</v>
      </c>
      <c r="E645" s="5">
        <f>+$C645*BD645</f>
        <v>0</v>
      </c>
      <c r="F645" s="5">
        <f>+$C645*BE645</f>
        <v>0</v>
      </c>
      <c r="G645" s="5">
        <f>+$C645*BF645</f>
        <v>0</v>
      </c>
      <c r="H645" s="5">
        <f>+$C645*BG645</f>
        <v>0</v>
      </c>
      <c r="I645" s="5">
        <f>+$C645*BH645</f>
        <v>0</v>
      </c>
      <c r="J645" s="5">
        <f>+$C645*BI645</f>
        <v>0</v>
      </c>
      <c r="K645" s="5">
        <f>+$C645*BJ645</f>
        <v>0</v>
      </c>
      <c r="L645" s="5">
        <f>+$C645*BK645</f>
        <v>0</v>
      </c>
      <c r="M645" s="5">
        <f>+$C645*BL645</f>
        <v>0</v>
      </c>
      <c r="N645" s="5">
        <f>+$C645*BM645</f>
        <v>0</v>
      </c>
      <c r="O645" s="5">
        <f>+$C645*BN645</f>
        <v>0</v>
      </c>
      <c r="P645" s="5">
        <v>0</v>
      </c>
      <c r="Q645" s="5">
        <f>+$P645*BC645</f>
        <v>0</v>
      </c>
      <c r="R645" s="5">
        <f>+$P645*BD645</f>
        <v>0</v>
      </c>
      <c r="S645" s="5">
        <f>+$P645*BE645</f>
        <v>0</v>
      </c>
      <c r="T645" s="5">
        <f>+$P645*BF645</f>
        <v>0</v>
      </c>
      <c r="U645" s="5">
        <f>+$P645*BG645</f>
        <v>0</v>
      </c>
      <c r="V645" s="5">
        <f>+$P645*BH645</f>
        <v>0</v>
      </c>
      <c r="W645" s="5">
        <f>+$P645*BI645</f>
        <v>0</v>
      </c>
      <c r="X645" s="5">
        <f>+$P645*BJ645</f>
        <v>0</v>
      </c>
      <c r="Y645" s="5">
        <f>+$P645*BK645</f>
        <v>0</v>
      </c>
      <c r="Z645" s="5">
        <f>+$P645*BL645</f>
        <v>0</v>
      </c>
      <c r="AA645" s="5">
        <f>+$P645*BM645</f>
        <v>0</v>
      </c>
      <c r="AB645" s="5">
        <f>+$P645*BN645</f>
        <v>0</v>
      </c>
      <c r="AC645" s="5">
        <v>0</v>
      </c>
      <c r="AD645" s="5">
        <f>+$AC645*BC645</f>
        <v>0</v>
      </c>
      <c r="AE645" s="5">
        <f>+$AC645*BD645</f>
        <v>0</v>
      </c>
      <c r="AF645" s="5">
        <f>+$AC645*BE645</f>
        <v>0</v>
      </c>
      <c r="AG645" s="5">
        <f>+$AC645*BF645</f>
        <v>0</v>
      </c>
      <c r="AH645" s="5">
        <f>+$AC645*BG645</f>
        <v>0</v>
      </c>
      <c r="AI645" s="5">
        <f>+$AC645*BH645</f>
        <v>0</v>
      </c>
      <c r="AJ645" s="5">
        <f>+$AC645*BI645</f>
        <v>0</v>
      </c>
      <c r="AK645" s="5">
        <f>+$AC645*BJ645</f>
        <v>0</v>
      </c>
      <c r="AL645" s="5">
        <f>+$AC645*BK645</f>
        <v>0</v>
      </c>
      <c r="AM645" s="5">
        <f>+$AC645*BL645</f>
        <v>0</v>
      </c>
      <c r="AN645" s="5">
        <f>+$AC645*BM645</f>
        <v>0</v>
      </c>
      <c r="AO645" s="5">
        <f>+$AC645*BN645</f>
        <v>0</v>
      </c>
      <c r="AP645" s="5">
        <f>+AC645+P645+C645</f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2">
        <v>8.9181565948742242E-2</v>
      </c>
      <c r="BD645" s="2">
        <v>0.10665277883445198</v>
      </c>
      <c r="BE645" s="2">
        <v>9.438849084854764E-2</v>
      </c>
      <c r="BF645" s="2">
        <v>7.149564986855049E-2</v>
      </c>
      <c r="BG645" s="2">
        <v>0.10368571810536763</v>
      </c>
      <c r="BH645" s="2">
        <v>8.4970330952544637E-2</v>
      </c>
      <c r="BI645" s="2">
        <v>8.4593878877262704E-2</v>
      </c>
      <c r="BJ645" s="2">
        <v>5.7447105462779965E-2</v>
      </c>
      <c r="BK645" s="2">
        <v>8.5153852345557474E-2</v>
      </c>
      <c r="BL645" s="2">
        <v>7.4158058913035174E-2</v>
      </c>
      <c r="BM645" s="2">
        <v>7.5718189192107169E-2</v>
      </c>
      <c r="BN645" s="2">
        <v>7.3955559365675619E-2</v>
      </c>
    </row>
    <row r="646" spans="1:66" x14ac:dyDescent="0.25">
      <c r="A646" s="8">
        <v>4225</v>
      </c>
      <c r="B646" s="8" t="s">
        <v>350</v>
      </c>
      <c r="C646" s="5">
        <v>0</v>
      </c>
      <c r="D646" s="5">
        <f>+$C646*BC646</f>
        <v>0</v>
      </c>
      <c r="E646" s="5">
        <f>+$C646*BD646</f>
        <v>0</v>
      </c>
      <c r="F646" s="5">
        <f>+$C646*BE646</f>
        <v>0</v>
      </c>
      <c r="G646" s="5">
        <f>+$C646*BF646</f>
        <v>0</v>
      </c>
      <c r="H646" s="5">
        <f>+$C646*BG646</f>
        <v>0</v>
      </c>
      <c r="I646" s="5">
        <f>+$C646*BH646</f>
        <v>0</v>
      </c>
      <c r="J646" s="5">
        <f>+$C646*BI646</f>
        <v>0</v>
      </c>
      <c r="K646" s="5">
        <f>+$C646*BJ646</f>
        <v>0</v>
      </c>
      <c r="L646" s="5">
        <f>+$C646*BK646</f>
        <v>0</v>
      </c>
      <c r="M646" s="5">
        <f>+$C646*BL646</f>
        <v>0</v>
      </c>
      <c r="N646" s="5">
        <f>+$C646*BM646</f>
        <v>0</v>
      </c>
      <c r="O646" s="5">
        <f>+$C646*BN646</f>
        <v>0</v>
      </c>
      <c r="P646" s="5">
        <v>0</v>
      </c>
      <c r="Q646" s="5">
        <f>+$P646*BC646</f>
        <v>0</v>
      </c>
      <c r="R646" s="5">
        <f>+$P646*BD646</f>
        <v>0</v>
      </c>
      <c r="S646" s="5">
        <f>+$P646*BE646</f>
        <v>0</v>
      </c>
      <c r="T646" s="5">
        <f>+$P646*BF646</f>
        <v>0</v>
      </c>
      <c r="U646" s="5">
        <f>+$P646*BG646</f>
        <v>0</v>
      </c>
      <c r="V646" s="5">
        <f>+$P646*BH646</f>
        <v>0</v>
      </c>
      <c r="W646" s="5">
        <f>+$P646*BI646</f>
        <v>0</v>
      </c>
      <c r="X646" s="5">
        <f>+$P646*BJ646</f>
        <v>0</v>
      </c>
      <c r="Y646" s="5">
        <f>+$P646*BK646</f>
        <v>0</v>
      </c>
      <c r="Z646" s="5">
        <f>+$P646*BL646</f>
        <v>0</v>
      </c>
      <c r="AA646" s="5">
        <f>+$P646*BM646</f>
        <v>0</v>
      </c>
      <c r="AB646" s="5">
        <f>+$P646*BN646</f>
        <v>0</v>
      </c>
      <c r="AC646" s="5">
        <v>0</v>
      </c>
      <c r="AD646" s="5">
        <f>+$AC646*BC646</f>
        <v>0</v>
      </c>
      <c r="AE646" s="5">
        <f>+$AC646*BD646</f>
        <v>0</v>
      </c>
      <c r="AF646" s="5">
        <f>+$AC646*BE646</f>
        <v>0</v>
      </c>
      <c r="AG646" s="5">
        <f>+$AC646*BF646</f>
        <v>0</v>
      </c>
      <c r="AH646" s="5">
        <f>+$AC646*BG646</f>
        <v>0</v>
      </c>
      <c r="AI646" s="5">
        <f>+$AC646*BH646</f>
        <v>0</v>
      </c>
      <c r="AJ646" s="5">
        <f>+$AC646*BI646</f>
        <v>0</v>
      </c>
      <c r="AK646" s="5">
        <f>+$AC646*BJ646</f>
        <v>0</v>
      </c>
      <c r="AL646" s="5">
        <f>+$AC646*BK646</f>
        <v>0</v>
      </c>
      <c r="AM646" s="5">
        <f>+$AC646*BL646</f>
        <v>0</v>
      </c>
      <c r="AN646" s="5">
        <f>+$AC646*BM646</f>
        <v>0</v>
      </c>
      <c r="AO646" s="5">
        <f>+$AC646*BN646</f>
        <v>0</v>
      </c>
      <c r="AP646" s="5">
        <f>+AC646+P646+C646</f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2">
        <v>8.9181565948742242E-2</v>
      </c>
      <c r="BD646" s="2">
        <v>0.10665277883445198</v>
      </c>
      <c r="BE646" s="2">
        <v>9.438849084854764E-2</v>
      </c>
      <c r="BF646" s="2">
        <v>7.149564986855049E-2</v>
      </c>
      <c r="BG646" s="2">
        <v>0.10368571810536763</v>
      </c>
      <c r="BH646" s="2">
        <v>8.4970330952544637E-2</v>
      </c>
      <c r="BI646" s="2">
        <v>8.4593878877262704E-2</v>
      </c>
      <c r="BJ646" s="2">
        <v>5.7447105462779965E-2</v>
      </c>
      <c r="BK646" s="2">
        <v>8.5153852345557474E-2</v>
      </c>
      <c r="BL646" s="2">
        <v>7.4158058913035174E-2</v>
      </c>
      <c r="BM646" s="2">
        <v>7.5718189192107169E-2</v>
      </c>
      <c r="BN646" s="2">
        <v>7.3955559365675619E-2</v>
      </c>
    </row>
    <row r="647" spans="1:66" x14ac:dyDescent="0.25">
      <c r="A647" s="8">
        <v>4229</v>
      </c>
      <c r="B647" s="8" t="s">
        <v>349</v>
      </c>
      <c r="C647" s="5">
        <v>0</v>
      </c>
      <c r="D647" s="5">
        <f>+$C647*BC647</f>
        <v>0</v>
      </c>
      <c r="E647" s="5">
        <f>+$C647*BD647</f>
        <v>0</v>
      </c>
      <c r="F647" s="5">
        <f>+$C647*BE647</f>
        <v>0</v>
      </c>
      <c r="G647" s="5">
        <f>+$C647*BF647</f>
        <v>0</v>
      </c>
      <c r="H647" s="5">
        <f>+$C647*BG647</f>
        <v>0</v>
      </c>
      <c r="I647" s="5">
        <f>+$C647*BH647</f>
        <v>0</v>
      </c>
      <c r="J647" s="5">
        <f>+$C647*BI647</f>
        <v>0</v>
      </c>
      <c r="K647" s="5">
        <f>+$C647*BJ647</f>
        <v>0</v>
      </c>
      <c r="L647" s="5">
        <f>+$C647*BK647</f>
        <v>0</v>
      </c>
      <c r="M647" s="5">
        <f>+$C647*BL647</f>
        <v>0</v>
      </c>
      <c r="N647" s="5">
        <f>+$C647*BM647</f>
        <v>0</v>
      </c>
      <c r="O647" s="5">
        <f>+$C647*BN647</f>
        <v>0</v>
      </c>
      <c r="P647" s="5">
        <v>0</v>
      </c>
      <c r="Q647" s="5">
        <f>+$P647*BC647</f>
        <v>0</v>
      </c>
      <c r="R647" s="5">
        <f>+$P647*BD647</f>
        <v>0</v>
      </c>
      <c r="S647" s="5">
        <f>+$P647*BE647</f>
        <v>0</v>
      </c>
      <c r="T647" s="5">
        <f>+$P647*BF647</f>
        <v>0</v>
      </c>
      <c r="U647" s="5">
        <f>+$P647*BG647</f>
        <v>0</v>
      </c>
      <c r="V647" s="5">
        <f>+$P647*BH647</f>
        <v>0</v>
      </c>
      <c r="W647" s="5">
        <f>+$P647*BI647</f>
        <v>0</v>
      </c>
      <c r="X647" s="5">
        <f>+$P647*BJ647</f>
        <v>0</v>
      </c>
      <c r="Y647" s="5">
        <f>+$P647*BK647</f>
        <v>0</v>
      </c>
      <c r="Z647" s="5">
        <f>+$P647*BL647</f>
        <v>0</v>
      </c>
      <c r="AA647" s="5">
        <f>+$P647*BM647</f>
        <v>0</v>
      </c>
      <c r="AB647" s="5">
        <f>+$P647*BN647</f>
        <v>0</v>
      </c>
      <c r="AC647" s="5">
        <v>0</v>
      </c>
      <c r="AD647" s="5">
        <f>+$AC647*BC647</f>
        <v>0</v>
      </c>
      <c r="AE647" s="5">
        <f>+$AC647*BD647</f>
        <v>0</v>
      </c>
      <c r="AF647" s="5">
        <f>+$AC647*BE647</f>
        <v>0</v>
      </c>
      <c r="AG647" s="5">
        <f>+$AC647*BF647</f>
        <v>0</v>
      </c>
      <c r="AH647" s="5">
        <f>+$AC647*BG647</f>
        <v>0</v>
      </c>
      <c r="AI647" s="5">
        <f>+$AC647*BH647</f>
        <v>0</v>
      </c>
      <c r="AJ647" s="5">
        <f>+$AC647*BI647</f>
        <v>0</v>
      </c>
      <c r="AK647" s="5">
        <f>+$AC647*BJ647</f>
        <v>0</v>
      </c>
      <c r="AL647" s="5">
        <f>+$AC647*BK647</f>
        <v>0</v>
      </c>
      <c r="AM647" s="5">
        <f>+$AC647*BL647</f>
        <v>0</v>
      </c>
      <c r="AN647" s="5">
        <f>+$AC647*BM647</f>
        <v>0</v>
      </c>
      <c r="AO647" s="5">
        <f>+$AC647*BN647</f>
        <v>0</v>
      </c>
      <c r="AP647" s="5">
        <f>+AC647+P647+C647</f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2">
        <v>8.9181565948742242E-2</v>
      </c>
      <c r="BD647" s="2">
        <v>0.10665277883445198</v>
      </c>
      <c r="BE647" s="2">
        <v>9.438849084854764E-2</v>
      </c>
      <c r="BF647" s="2">
        <v>7.149564986855049E-2</v>
      </c>
      <c r="BG647" s="2">
        <v>0.10368571810536763</v>
      </c>
      <c r="BH647" s="2">
        <v>8.4970330952544637E-2</v>
      </c>
      <c r="BI647" s="2">
        <v>8.4593878877262704E-2</v>
      </c>
      <c r="BJ647" s="2">
        <v>5.7447105462779965E-2</v>
      </c>
      <c r="BK647" s="2">
        <v>8.5153852345557474E-2</v>
      </c>
      <c r="BL647" s="2">
        <v>7.4158058913035174E-2</v>
      </c>
      <c r="BM647" s="2">
        <v>7.5718189192107169E-2</v>
      </c>
      <c r="BN647" s="2">
        <v>7.3955559365675619E-2</v>
      </c>
    </row>
    <row r="648" spans="1:66" x14ac:dyDescent="0.25">
      <c r="A648" s="8">
        <v>4234</v>
      </c>
      <c r="B648" s="8" t="s">
        <v>348</v>
      </c>
      <c r="C648" s="5">
        <v>0</v>
      </c>
      <c r="D648" s="5">
        <f>+$C648*BC648</f>
        <v>0</v>
      </c>
      <c r="E648" s="5">
        <f>+$C648*BD648</f>
        <v>0</v>
      </c>
      <c r="F648" s="5">
        <f>+$C648*BE648</f>
        <v>0</v>
      </c>
      <c r="G648" s="5">
        <f>+$C648*BF648</f>
        <v>0</v>
      </c>
      <c r="H648" s="5">
        <f>+$C648*BG648</f>
        <v>0</v>
      </c>
      <c r="I648" s="5">
        <f>+$C648*BH648</f>
        <v>0</v>
      </c>
      <c r="J648" s="5">
        <f>+$C648*BI648</f>
        <v>0</v>
      </c>
      <c r="K648" s="5">
        <f>+$C648*BJ648</f>
        <v>0</v>
      </c>
      <c r="L648" s="5">
        <f>+$C648*BK648</f>
        <v>0</v>
      </c>
      <c r="M648" s="5">
        <f>+$C648*BL648</f>
        <v>0</v>
      </c>
      <c r="N648" s="5">
        <f>+$C648*BM648</f>
        <v>0</v>
      </c>
      <c r="O648" s="5">
        <f>+$C648*BN648</f>
        <v>0</v>
      </c>
      <c r="P648" s="5">
        <v>0</v>
      </c>
      <c r="Q648" s="5">
        <f>+$P648*BC648</f>
        <v>0</v>
      </c>
      <c r="R648" s="5">
        <f>+$P648*BD648</f>
        <v>0</v>
      </c>
      <c r="S648" s="5">
        <f>+$P648*BE648</f>
        <v>0</v>
      </c>
      <c r="T648" s="5">
        <f>+$P648*BF648</f>
        <v>0</v>
      </c>
      <c r="U648" s="5">
        <f>+$P648*BG648</f>
        <v>0</v>
      </c>
      <c r="V648" s="5">
        <f>+$P648*BH648</f>
        <v>0</v>
      </c>
      <c r="W648" s="5">
        <f>+$P648*BI648</f>
        <v>0</v>
      </c>
      <c r="X648" s="5">
        <f>+$P648*BJ648</f>
        <v>0</v>
      </c>
      <c r="Y648" s="5">
        <f>+$P648*BK648</f>
        <v>0</v>
      </c>
      <c r="Z648" s="5">
        <f>+$P648*BL648</f>
        <v>0</v>
      </c>
      <c r="AA648" s="5">
        <f>+$P648*BM648</f>
        <v>0</v>
      </c>
      <c r="AB648" s="5">
        <f>+$P648*BN648</f>
        <v>0</v>
      </c>
      <c r="AC648" s="5">
        <v>0</v>
      </c>
      <c r="AD648" s="5">
        <f>+$AC648*BC648</f>
        <v>0</v>
      </c>
      <c r="AE648" s="5">
        <f>+$AC648*BD648</f>
        <v>0</v>
      </c>
      <c r="AF648" s="5">
        <f>+$AC648*BE648</f>
        <v>0</v>
      </c>
      <c r="AG648" s="5">
        <f>+$AC648*BF648</f>
        <v>0</v>
      </c>
      <c r="AH648" s="5">
        <f>+$AC648*BG648</f>
        <v>0</v>
      </c>
      <c r="AI648" s="5">
        <f>+$AC648*BH648</f>
        <v>0</v>
      </c>
      <c r="AJ648" s="5">
        <f>+$AC648*BI648</f>
        <v>0</v>
      </c>
      <c r="AK648" s="5">
        <f>+$AC648*BJ648</f>
        <v>0</v>
      </c>
      <c r="AL648" s="5">
        <f>+$AC648*BK648</f>
        <v>0</v>
      </c>
      <c r="AM648" s="5">
        <f>+$AC648*BL648</f>
        <v>0</v>
      </c>
      <c r="AN648" s="5">
        <f>+$AC648*BM648</f>
        <v>0</v>
      </c>
      <c r="AO648" s="5">
        <f>+$AC648*BN648</f>
        <v>0</v>
      </c>
      <c r="AP648" s="5">
        <f>+AC648+P648+C648</f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2">
        <v>8.9181565948742242E-2</v>
      </c>
      <c r="BD648" s="2">
        <v>0.10665277883445198</v>
      </c>
      <c r="BE648" s="2">
        <v>9.438849084854764E-2</v>
      </c>
      <c r="BF648" s="2">
        <v>7.149564986855049E-2</v>
      </c>
      <c r="BG648" s="2">
        <v>0.10368571810536763</v>
      </c>
      <c r="BH648" s="2">
        <v>8.4970330952544637E-2</v>
      </c>
      <c r="BI648" s="2">
        <v>8.4593878877262704E-2</v>
      </c>
      <c r="BJ648" s="2">
        <v>5.7447105462779965E-2</v>
      </c>
      <c r="BK648" s="2">
        <v>8.5153852345557474E-2</v>
      </c>
      <c r="BL648" s="2">
        <v>7.4158058913035174E-2</v>
      </c>
      <c r="BM648" s="2">
        <v>7.5718189192107169E-2</v>
      </c>
      <c r="BN648" s="2">
        <v>7.3955559365675619E-2</v>
      </c>
    </row>
    <row r="649" spans="1:66" x14ac:dyDescent="0.25">
      <c r="A649" s="8">
        <v>4247</v>
      </c>
      <c r="B649" s="8" t="s">
        <v>347</v>
      </c>
      <c r="C649" s="5">
        <v>0</v>
      </c>
      <c r="D649" s="5">
        <f>+$C649*BC649</f>
        <v>0</v>
      </c>
      <c r="E649" s="5">
        <f>+$C649*BD649</f>
        <v>0</v>
      </c>
      <c r="F649" s="5">
        <f>+$C649*BE649</f>
        <v>0</v>
      </c>
      <c r="G649" s="5">
        <f>+$C649*BF649</f>
        <v>0</v>
      </c>
      <c r="H649" s="5">
        <f>+$C649*BG649</f>
        <v>0</v>
      </c>
      <c r="I649" s="5">
        <f>+$C649*BH649</f>
        <v>0</v>
      </c>
      <c r="J649" s="5">
        <f>+$C649*BI649</f>
        <v>0</v>
      </c>
      <c r="K649" s="5">
        <f>+$C649*BJ649</f>
        <v>0</v>
      </c>
      <c r="L649" s="5">
        <f>+$C649*BK649</f>
        <v>0</v>
      </c>
      <c r="M649" s="5">
        <f>+$C649*BL649</f>
        <v>0</v>
      </c>
      <c r="N649" s="5">
        <f>+$C649*BM649</f>
        <v>0</v>
      </c>
      <c r="O649" s="5">
        <f>+$C649*BN649</f>
        <v>0</v>
      </c>
      <c r="P649" s="5">
        <v>0</v>
      </c>
      <c r="Q649" s="5">
        <f>+$P649*BC649</f>
        <v>0</v>
      </c>
      <c r="R649" s="5">
        <f>+$P649*BD649</f>
        <v>0</v>
      </c>
      <c r="S649" s="5">
        <f>+$P649*BE649</f>
        <v>0</v>
      </c>
      <c r="T649" s="5">
        <f>+$P649*BF649</f>
        <v>0</v>
      </c>
      <c r="U649" s="5">
        <f>+$P649*BG649</f>
        <v>0</v>
      </c>
      <c r="V649" s="5">
        <f>+$P649*BH649</f>
        <v>0</v>
      </c>
      <c r="W649" s="5">
        <f>+$P649*BI649</f>
        <v>0</v>
      </c>
      <c r="X649" s="5">
        <f>+$P649*BJ649</f>
        <v>0</v>
      </c>
      <c r="Y649" s="5">
        <f>+$P649*BK649</f>
        <v>0</v>
      </c>
      <c r="Z649" s="5">
        <f>+$P649*BL649</f>
        <v>0</v>
      </c>
      <c r="AA649" s="5">
        <f>+$P649*BM649</f>
        <v>0</v>
      </c>
      <c r="AB649" s="5">
        <f>+$P649*BN649</f>
        <v>0</v>
      </c>
      <c r="AC649" s="5">
        <v>0</v>
      </c>
      <c r="AD649" s="5">
        <f>+$AC649*BC649</f>
        <v>0</v>
      </c>
      <c r="AE649" s="5">
        <f>+$AC649*BD649</f>
        <v>0</v>
      </c>
      <c r="AF649" s="5">
        <f>+$AC649*BE649</f>
        <v>0</v>
      </c>
      <c r="AG649" s="5">
        <f>+$AC649*BF649</f>
        <v>0</v>
      </c>
      <c r="AH649" s="5">
        <f>+$AC649*BG649</f>
        <v>0</v>
      </c>
      <c r="AI649" s="5">
        <f>+$AC649*BH649</f>
        <v>0</v>
      </c>
      <c r="AJ649" s="5">
        <f>+$AC649*BI649</f>
        <v>0</v>
      </c>
      <c r="AK649" s="5">
        <f>+$AC649*BJ649</f>
        <v>0</v>
      </c>
      <c r="AL649" s="5">
        <f>+$AC649*BK649</f>
        <v>0</v>
      </c>
      <c r="AM649" s="5">
        <f>+$AC649*BL649</f>
        <v>0</v>
      </c>
      <c r="AN649" s="5">
        <f>+$AC649*BM649</f>
        <v>0</v>
      </c>
      <c r="AO649" s="5">
        <f>+$AC649*BN649</f>
        <v>0</v>
      </c>
      <c r="AP649" s="5">
        <f>+AC649+P649+C649</f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2">
        <v>8.9181565948742242E-2</v>
      </c>
      <c r="BD649" s="2">
        <v>0.10665277883445198</v>
      </c>
      <c r="BE649" s="2">
        <v>9.438849084854764E-2</v>
      </c>
      <c r="BF649" s="2">
        <v>7.149564986855049E-2</v>
      </c>
      <c r="BG649" s="2">
        <v>0.10368571810536763</v>
      </c>
      <c r="BH649" s="2">
        <v>8.4970330952544637E-2</v>
      </c>
      <c r="BI649" s="2">
        <v>8.4593878877262704E-2</v>
      </c>
      <c r="BJ649" s="2">
        <v>5.7447105462779965E-2</v>
      </c>
      <c r="BK649" s="2">
        <v>8.5153852345557474E-2</v>
      </c>
      <c r="BL649" s="2">
        <v>7.4158058913035174E-2</v>
      </c>
      <c r="BM649" s="2">
        <v>7.5718189192107169E-2</v>
      </c>
      <c r="BN649" s="2">
        <v>7.3955559365675619E-2</v>
      </c>
    </row>
    <row r="650" spans="1:66" x14ac:dyDescent="0.25">
      <c r="A650" s="8">
        <v>4251</v>
      </c>
      <c r="B650" s="8" t="s">
        <v>346</v>
      </c>
      <c r="C650" s="5">
        <v>0</v>
      </c>
      <c r="D650" s="5">
        <f>+$C650*BC650</f>
        <v>0</v>
      </c>
      <c r="E650" s="5">
        <f>+$C650*BD650</f>
        <v>0</v>
      </c>
      <c r="F650" s="5">
        <f>+$C650*BE650</f>
        <v>0</v>
      </c>
      <c r="G650" s="5">
        <f>+$C650*BF650</f>
        <v>0</v>
      </c>
      <c r="H650" s="5">
        <f>+$C650*BG650</f>
        <v>0</v>
      </c>
      <c r="I650" s="5">
        <f>+$C650*BH650</f>
        <v>0</v>
      </c>
      <c r="J650" s="5">
        <f>+$C650*BI650</f>
        <v>0</v>
      </c>
      <c r="K650" s="5">
        <f>+$C650*BJ650</f>
        <v>0</v>
      </c>
      <c r="L650" s="5">
        <f>+$C650*BK650</f>
        <v>0</v>
      </c>
      <c r="M650" s="5">
        <f>+$C650*BL650</f>
        <v>0</v>
      </c>
      <c r="N650" s="5">
        <f>+$C650*BM650</f>
        <v>0</v>
      </c>
      <c r="O650" s="5">
        <f>+$C650*BN650</f>
        <v>0</v>
      </c>
      <c r="P650" s="5">
        <v>0</v>
      </c>
      <c r="Q650" s="5">
        <f>+$P650*BC650</f>
        <v>0</v>
      </c>
      <c r="R650" s="5">
        <f>+$P650*BD650</f>
        <v>0</v>
      </c>
      <c r="S650" s="5">
        <f>+$P650*BE650</f>
        <v>0</v>
      </c>
      <c r="T650" s="5">
        <f>+$P650*BF650</f>
        <v>0</v>
      </c>
      <c r="U650" s="5">
        <f>+$P650*BG650</f>
        <v>0</v>
      </c>
      <c r="V650" s="5">
        <f>+$P650*BH650</f>
        <v>0</v>
      </c>
      <c r="W650" s="5">
        <f>+$P650*BI650</f>
        <v>0</v>
      </c>
      <c r="X650" s="5">
        <f>+$P650*BJ650</f>
        <v>0</v>
      </c>
      <c r="Y650" s="5">
        <f>+$P650*BK650</f>
        <v>0</v>
      </c>
      <c r="Z650" s="5">
        <f>+$P650*BL650</f>
        <v>0</v>
      </c>
      <c r="AA650" s="5">
        <f>+$P650*BM650</f>
        <v>0</v>
      </c>
      <c r="AB650" s="5">
        <f>+$P650*BN650</f>
        <v>0</v>
      </c>
      <c r="AC650" s="5">
        <v>0</v>
      </c>
      <c r="AD650" s="5">
        <f>+$AC650*BC650</f>
        <v>0</v>
      </c>
      <c r="AE650" s="5">
        <f>+$AC650*BD650</f>
        <v>0</v>
      </c>
      <c r="AF650" s="5">
        <f>+$AC650*BE650</f>
        <v>0</v>
      </c>
      <c r="AG650" s="5">
        <f>+$AC650*BF650</f>
        <v>0</v>
      </c>
      <c r="AH650" s="5">
        <f>+$AC650*BG650</f>
        <v>0</v>
      </c>
      <c r="AI650" s="5">
        <f>+$AC650*BH650</f>
        <v>0</v>
      </c>
      <c r="AJ650" s="5">
        <f>+$AC650*BI650</f>
        <v>0</v>
      </c>
      <c r="AK650" s="5">
        <f>+$AC650*BJ650</f>
        <v>0</v>
      </c>
      <c r="AL650" s="5">
        <f>+$AC650*BK650</f>
        <v>0</v>
      </c>
      <c r="AM650" s="5">
        <f>+$AC650*BL650</f>
        <v>0</v>
      </c>
      <c r="AN650" s="5">
        <f>+$AC650*BM650</f>
        <v>0</v>
      </c>
      <c r="AO650" s="5">
        <f>+$AC650*BN650</f>
        <v>0</v>
      </c>
      <c r="AP650" s="5">
        <f>+AC650+P650+C650</f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2">
        <v>8.9181565948742242E-2</v>
      </c>
      <c r="BD650" s="2">
        <v>0.10665277883445198</v>
      </c>
      <c r="BE650" s="2">
        <v>9.438849084854764E-2</v>
      </c>
      <c r="BF650" s="2">
        <v>7.149564986855049E-2</v>
      </c>
      <c r="BG650" s="2">
        <v>0.10368571810536763</v>
      </c>
      <c r="BH650" s="2">
        <v>8.4970330952544637E-2</v>
      </c>
      <c r="BI650" s="2">
        <v>8.4593878877262704E-2</v>
      </c>
      <c r="BJ650" s="2">
        <v>5.7447105462779965E-2</v>
      </c>
      <c r="BK650" s="2">
        <v>8.5153852345557474E-2</v>
      </c>
      <c r="BL650" s="2">
        <v>7.4158058913035174E-2</v>
      </c>
      <c r="BM650" s="2">
        <v>7.5718189192107169E-2</v>
      </c>
      <c r="BN650" s="2">
        <v>7.3955559365675619E-2</v>
      </c>
    </row>
    <row r="651" spans="1:66" x14ac:dyDescent="0.25">
      <c r="A651" s="8">
        <v>4256</v>
      </c>
      <c r="B651" s="8" t="s">
        <v>345</v>
      </c>
      <c r="C651" s="5">
        <v>0</v>
      </c>
      <c r="D651" s="5">
        <f>+$C651*BC651</f>
        <v>0</v>
      </c>
      <c r="E651" s="5">
        <f>+$C651*BD651</f>
        <v>0</v>
      </c>
      <c r="F651" s="5">
        <f>+$C651*BE651</f>
        <v>0</v>
      </c>
      <c r="G651" s="5">
        <f>+$C651*BF651</f>
        <v>0</v>
      </c>
      <c r="H651" s="5">
        <f>+$C651*BG651</f>
        <v>0</v>
      </c>
      <c r="I651" s="5">
        <f>+$C651*BH651</f>
        <v>0</v>
      </c>
      <c r="J651" s="5">
        <f>+$C651*BI651</f>
        <v>0</v>
      </c>
      <c r="K651" s="5">
        <f>+$C651*BJ651</f>
        <v>0</v>
      </c>
      <c r="L651" s="5">
        <f>+$C651*BK651</f>
        <v>0</v>
      </c>
      <c r="M651" s="5">
        <f>+$C651*BL651</f>
        <v>0</v>
      </c>
      <c r="N651" s="5">
        <f>+$C651*BM651</f>
        <v>0</v>
      </c>
      <c r="O651" s="5">
        <f>+$C651*BN651</f>
        <v>0</v>
      </c>
      <c r="P651" s="5">
        <v>0</v>
      </c>
      <c r="Q651" s="5">
        <f>+$P651*BC651</f>
        <v>0</v>
      </c>
      <c r="R651" s="5">
        <f>+$P651*BD651</f>
        <v>0</v>
      </c>
      <c r="S651" s="5">
        <f>+$P651*BE651</f>
        <v>0</v>
      </c>
      <c r="T651" s="5">
        <f>+$P651*BF651</f>
        <v>0</v>
      </c>
      <c r="U651" s="5">
        <f>+$P651*BG651</f>
        <v>0</v>
      </c>
      <c r="V651" s="5">
        <f>+$P651*BH651</f>
        <v>0</v>
      </c>
      <c r="W651" s="5">
        <f>+$P651*BI651</f>
        <v>0</v>
      </c>
      <c r="X651" s="5">
        <f>+$P651*BJ651</f>
        <v>0</v>
      </c>
      <c r="Y651" s="5">
        <f>+$P651*BK651</f>
        <v>0</v>
      </c>
      <c r="Z651" s="5">
        <f>+$P651*BL651</f>
        <v>0</v>
      </c>
      <c r="AA651" s="5">
        <f>+$P651*BM651</f>
        <v>0</v>
      </c>
      <c r="AB651" s="5">
        <f>+$P651*BN651</f>
        <v>0</v>
      </c>
      <c r="AC651" s="5">
        <v>0</v>
      </c>
      <c r="AD651" s="5">
        <f>+$AC651*BC651</f>
        <v>0</v>
      </c>
      <c r="AE651" s="5">
        <f>+$AC651*BD651</f>
        <v>0</v>
      </c>
      <c r="AF651" s="5">
        <f>+$AC651*BE651</f>
        <v>0</v>
      </c>
      <c r="AG651" s="5">
        <f>+$AC651*BF651</f>
        <v>0</v>
      </c>
      <c r="AH651" s="5">
        <f>+$AC651*BG651</f>
        <v>0</v>
      </c>
      <c r="AI651" s="5">
        <f>+$AC651*BH651</f>
        <v>0</v>
      </c>
      <c r="AJ651" s="5">
        <f>+$AC651*BI651</f>
        <v>0</v>
      </c>
      <c r="AK651" s="5">
        <f>+$AC651*BJ651</f>
        <v>0</v>
      </c>
      <c r="AL651" s="5">
        <f>+$AC651*BK651</f>
        <v>0</v>
      </c>
      <c r="AM651" s="5">
        <f>+$AC651*BL651</f>
        <v>0</v>
      </c>
      <c r="AN651" s="5">
        <f>+$AC651*BM651</f>
        <v>0</v>
      </c>
      <c r="AO651" s="5">
        <f>+$AC651*BN651</f>
        <v>0</v>
      </c>
      <c r="AP651" s="5">
        <f>+AC651+P651+C651</f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2">
        <v>8.9181565948742242E-2</v>
      </c>
      <c r="BD651" s="2">
        <v>0.10665277883445198</v>
      </c>
      <c r="BE651" s="2">
        <v>9.438849084854764E-2</v>
      </c>
      <c r="BF651" s="2">
        <v>7.149564986855049E-2</v>
      </c>
      <c r="BG651" s="2">
        <v>0.10368571810536763</v>
      </c>
      <c r="BH651" s="2">
        <v>8.4970330952544637E-2</v>
      </c>
      <c r="BI651" s="2">
        <v>8.4593878877262704E-2</v>
      </c>
      <c r="BJ651" s="2">
        <v>5.7447105462779965E-2</v>
      </c>
      <c r="BK651" s="2">
        <v>8.5153852345557474E-2</v>
      </c>
      <c r="BL651" s="2">
        <v>7.4158058913035174E-2</v>
      </c>
      <c r="BM651" s="2">
        <v>7.5718189192107169E-2</v>
      </c>
      <c r="BN651" s="2">
        <v>7.3955559365675619E-2</v>
      </c>
    </row>
    <row r="652" spans="1:66" x14ac:dyDescent="0.25">
      <c r="A652" s="8">
        <v>4269</v>
      </c>
      <c r="B652" s="8" t="s">
        <v>344</v>
      </c>
      <c r="C652" s="5">
        <v>0</v>
      </c>
      <c r="D652" s="5">
        <f>+$C652*BC652</f>
        <v>0</v>
      </c>
      <c r="E652" s="5">
        <f>+$C652*BD652</f>
        <v>0</v>
      </c>
      <c r="F652" s="5">
        <f>+$C652*BE652</f>
        <v>0</v>
      </c>
      <c r="G652" s="5">
        <f>+$C652*BF652</f>
        <v>0</v>
      </c>
      <c r="H652" s="5">
        <f>+$C652*BG652</f>
        <v>0</v>
      </c>
      <c r="I652" s="5">
        <f>+$C652*BH652</f>
        <v>0</v>
      </c>
      <c r="J652" s="5">
        <f>+$C652*BI652</f>
        <v>0</v>
      </c>
      <c r="K652" s="5">
        <f>+$C652*BJ652</f>
        <v>0</v>
      </c>
      <c r="L652" s="5">
        <f>+$C652*BK652</f>
        <v>0</v>
      </c>
      <c r="M652" s="5">
        <f>+$C652*BL652</f>
        <v>0</v>
      </c>
      <c r="N652" s="5">
        <f>+$C652*BM652</f>
        <v>0</v>
      </c>
      <c r="O652" s="5">
        <f>+$C652*BN652</f>
        <v>0</v>
      </c>
      <c r="P652" s="5">
        <v>2000</v>
      </c>
      <c r="Q652" s="5">
        <f>+$P652*BC652</f>
        <v>178.36313189748449</v>
      </c>
      <c r="R652" s="5">
        <f>+$P652*BD652</f>
        <v>213.30555766890396</v>
      </c>
      <c r="S652" s="5">
        <f>+$P652*BE652</f>
        <v>188.77698169709529</v>
      </c>
      <c r="T652" s="5">
        <f>+$P652*BF652</f>
        <v>142.99129973710097</v>
      </c>
      <c r="U652" s="5">
        <f>+$P652*BG652</f>
        <v>207.37143621073525</v>
      </c>
      <c r="V652" s="5">
        <f>+$P652*BH652</f>
        <v>169.94066190508929</v>
      </c>
      <c r="W652" s="5">
        <f>+$P652*BI652</f>
        <v>169.18775775452542</v>
      </c>
      <c r="X652" s="5">
        <f>+$P652*BJ652</f>
        <v>114.89421092555993</v>
      </c>
      <c r="Y652" s="5">
        <f>+$P652*BK652</f>
        <v>170.30770469111494</v>
      </c>
      <c r="Z652" s="5">
        <f>+$P652*BL652</f>
        <v>148.31611782607035</v>
      </c>
      <c r="AA652" s="5">
        <f>+$P652*BM652</f>
        <v>151.43637838421435</v>
      </c>
      <c r="AB652" s="5">
        <f>+$P652*BN652</f>
        <v>147.91111873135125</v>
      </c>
      <c r="AC652" s="5">
        <v>0</v>
      </c>
      <c r="AD652" s="5">
        <f>+$AC652*BC652</f>
        <v>0</v>
      </c>
      <c r="AE652" s="5">
        <f>+$AC652*BD652</f>
        <v>0</v>
      </c>
      <c r="AF652" s="5">
        <f>+$AC652*BE652</f>
        <v>0</v>
      </c>
      <c r="AG652" s="5">
        <f>+$AC652*BF652</f>
        <v>0</v>
      </c>
      <c r="AH652" s="5">
        <f>+$AC652*BG652</f>
        <v>0</v>
      </c>
      <c r="AI652" s="5">
        <f>+$AC652*BH652</f>
        <v>0</v>
      </c>
      <c r="AJ652" s="5">
        <f>+$AC652*BI652</f>
        <v>0</v>
      </c>
      <c r="AK652" s="5">
        <f>+$AC652*BJ652</f>
        <v>0</v>
      </c>
      <c r="AL652" s="5">
        <f>+$AC652*BK652</f>
        <v>0</v>
      </c>
      <c r="AM652" s="5">
        <f>+$AC652*BL652</f>
        <v>0</v>
      </c>
      <c r="AN652" s="5">
        <f>+$AC652*BM652</f>
        <v>0</v>
      </c>
      <c r="AO652" s="5">
        <f>+$AC652*BN652</f>
        <v>0</v>
      </c>
      <c r="AP652" s="5">
        <f>+AC652+P652+C652</f>
        <v>2000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2">
        <v>8.9181565948742242E-2</v>
      </c>
      <c r="BD652" s="2">
        <v>0.10665277883445198</v>
      </c>
      <c r="BE652" s="2">
        <v>9.438849084854764E-2</v>
      </c>
      <c r="BF652" s="2">
        <v>7.149564986855049E-2</v>
      </c>
      <c r="BG652" s="2">
        <v>0.10368571810536763</v>
      </c>
      <c r="BH652" s="2">
        <v>8.4970330952544637E-2</v>
      </c>
      <c r="BI652" s="2">
        <v>8.4593878877262704E-2</v>
      </c>
      <c r="BJ652" s="2">
        <v>5.7447105462779965E-2</v>
      </c>
      <c r="BK652" s="2">
        <v>8.5153852345557474E-2</v>
      </c>
      <c r="BL652" s="2">
        <v>7.4158058913035174E-2</v>
      </c>
      <c r="BM652" s="2">
        <v>7.5718189192107169E-2</v>
      </c>
      <c r="BN652" s="2">
        <v>7.3955559365675619E-2</v>
      </c>
    </row>
    <row r="653" spans="1:66" x14ac:dyDescent="0.25">
      <c r="A653" s="8">
        <v>4282</v>
      </c>
      <c r="B653" s="8" t="s">
        <v>343</v>
      </c>
      <c r="C653" s="5">
        <v>0</v>
      </c>
      <c r="D653" s="5">
        <f>+$C653*BC653</f>
        <v>0</v>
      </c>
      <c r="E653" s="5">
        <f>+$C653*BD653</f>
        <v>0</v>
      </c>
      <c r="F653" s="5">
        <f>+$C653*BE653</f>
        <v>0</v>
      </c>
      <c r="G653" s="5">
        <f>+$C653*BF653</f>
        <v>0</v>
      </c>
      <c r="H653" s="5">
        <f>+$C653*BG653</f>
        <v>0</v>
      </c>
      <c r="I653" s="5">
        <f>+$C653*BH653</f>
        <v>0</v>
      </c>
      <c r="J653" s="5">
        <f>+$C653*BI653</f>
        <v>0</v>
      </c>
      <c r="K653" s="5">
        <f>+$C653*BJ653</f>
        <v>0</v>
      </c>
      <c r="L653" s="5">
        <f>+$C653*BK653</f>
        <v>0</v>
      </c>
      <c r="M653" s="5">
        <f>+$C653*BL653</f>
        <v>0</v>
      </c>
      <c r="N653" s="5">
        <f>+$C653*BM653</f>
        <v>0</v>
      </c>
      <c r="O653" s="5">
        <f>+$C653*BN653</f>
        <v>0</v>
      </c>
      <c r="P653" s="5">
        <v>4500</v>
      </c>
      <c r="Q653" s="5">
        <f>+$P653*BC653</f>
        <v>401.3170467693401</v>
      </c>
      <c r="R653" s="5">
        <f>+$P653*BD653</f>
        <v>479.9375047550339</v>
      </c>
      <c r="S653" s="5">
        <f>+$P653*BE653</f>
        <v>424.74820881846438</v>
      </c>
      <c r="T653" s="5">
        <f>+$P653*BF653</f>
        <v>321.73042440847718</v>
      </c>
      <c r="U653" s="5">
        <f>+$P653*BG653</f>
        <v>466.58573147415433</v>
      </c>
      <c r="V653" s="5">
        <f>+$P653*BH653</f>
        <v>382.36648928645087</v>
      </c>
      <c r="W653" s="5">
        <f>+$P653*BI653</f>
        <v>380.67245494768218</v>
      </c>
      <c r="X653" s="5">
        <f>+$P653*BJ653</f>
        <v>258.51197458250982</v>
      </c>
      <c r="Y653" s="5">
        <f>+$P653*BK653</f>
        <v>383.19233555500864</v>
      </c>
      <c r="Z653" s="5">
        <f>+$P653*BL653</f>
        <v>333.71126510865827</v>
      </c>
      <c r="AA653" s="5">
        <f>+$P653*BM653</f>
        <v>340.73185136448228</v>
      </c>
      <c r="AB653" s="5">
        <f>+$P653*BN653</f>
        <v>332.80001714554027</v>
      </c>
      <c r="AC653" s="5">
        <v>0</v>
      </c>
      <c r="AD653" s="5">
        <f>+$AC653*BC653</f>
        <v>0</v>
      </c>
      <c r="AE653" s="5">
        <f>+$AC653*BD653</f>
        <v>0</v>
      </c>
      <c r="AF653" s="5">
        <f>+$AC653*BE653</f>
        <v>0</v>
      </c>
      <c r="AG653" s="5">
        <f>+$AC653*BF653</f>
        <v>0</v>
      </c>
      <c r="AH653" s="5">
        <f>+$AC653*BG653</f>
        <v>0</v>
      </c>
      <c r="AI653" s="5">
        <f>+$AC653*BH653</f>
        <v>0</v>
      </c>
      <c r="AJ653" s="5">
        <f>+$AC653*BI653</f>
        <v>0</v>
      </c>
      <c r="AK653" s="5">
        <f>+$AC653*BJ653</f>
        <v>0</v>
      </c>
      <c r="AL653" s="5">
        <f>+$AC653*BK653</f>
        <v>0</v>
      </c>
      <c r="AM653" s="5">
        <f>+$AC653*BL653</f>
        <v>0</v>
      </c>
      <c r="AN653" s="5">
        <f>+$AC653*BM653</f>
        <v>0</v>
      </c>
      <c r="AO653" s="5">
        <f>+$AC653*BN653</f>
        <v>0</v>
      </c>
      <c r="AP653" s="5">
        <f>+AC653+P653+C653</f>
        <v>4500</v>
      </c>
      <c r="AQ653" s="1">
        <v>169.80571473687294</v>
      </c>
      <c r="AR653" s="1">
        <v>203.07169027584416</v>
      </c>
      <c r="AS653" s="1">
        <v>179.71993405772292</v>
      </c>
      <c r="AT653" s="1">
        <v>136.13093465396423</v>
      </c>
      <c r="AU653" s="1">
        <v>197.42227312993472</v>
      </c>
      <c r="AV653" s="1">
        <v>161.78733379853787</v>
      </c>
      <c r="AW653" s="1">
        <v>161.07055210685769</v>
      </c>
      <c r="AX653" s="1">
        <v>109.3818739208789</v>
      </c>
      <c r="AY653" s="1">
        <v>162.13676678929701</v>
      </c>
      <c r="AZ653" s="1">
        <v>141.20028128307007</v>
      </c>
      <c r="BA653" s="1">
        <v>144.17083954028573</v>
      </c>
      <c r="BB653" s="1">
        <v>140.81471303241784</v>
      </c>
      <c r="BC653" s="2">
        <v>8.9181565948742242E-2</v>
      </c>
      <c r="BD653" s="2">
        <v>0.10665277883445198</v>
      </c>
      <c r="BE653" s="2">
        <v>9.438849084854764E-2</v>
      </c>
      <c r="BF653" s="2">
        <v>7.149564986855049E-2</v>
      </c>
      <c r="BG653" s="2">
        <v>0.10368571810536763</v>
      </c>
      <c r="BH653" s="2">
        <v>8.4970330952544637E-2</v>
      </c>
      <c r="BI653" s="2">
        <v>8.4593878877262704E-2</v>
      </c>
      <c r="BJ653" s="2">
        <v>5.7447105462779965E-2</v>
      </c>
      <c r="BK653" s="2">
        <v>8.5153852345557474E-2</v>
      </c>
      <c r="BL653" s="2">
        <v>7.4158058913035174E-2</v>
      </c>
      <c r="BM653" s="2">
        <v>7.5718189192107169E-2</v>
      </c>
      <c r="BN653" s="2">
        <v>7.3955559365675619E-2</v>
      </c>
    </row>
    <row r="654" spans="1:66" x14ac:dyDescent="0.25">
      <c r="A654" s="8">
        <v>4284</v>
      </c>
      <c r="B654" s="8" t="s">
        <v>342</v>
      </c>
      <c r="C654" s="5">
        <v>0</v>
      </c>
      <c r="D654" s="5">
        <f>+$C654*BC654</f>
        <v>0</v>
      </c>
      <c r="E654" s="5">
        <f>+$C654*BD654</f>
        <v>0</v>
      </c>
      <c r="F654" s="5">
        <f>+$C654*BE654</f>
        <v>0</v>
      </c>
      <c r="G654" s="5">
        <f>+$C654*BF654</f>
        <v>0</v>
      </c>
      <c r="H654" s="5">
        <f>+$C654*BG654</f>
        <v>0</v>
      </c>
      <c r="I654" s="5">
        <f>+$C654*BH654</f>
        <v>0</v>
      </c>
      <c r="J654" s="5">
        <f>+$C654*BI654</f>
        <v>0</v>
      </c>
      <c r="K654" s="5">
        <f>+$C654*BJ654</f>
        <v>0</v>
      </c>
      <c r="L654" s="5">
        <f>+$C654*BK654</f>
        <v>0</v>
      </c>
      <c r="M654" s="5">
        <f>+$C654*BL654</f>
        <v>0</v>
      </c>
      <c r="N654" s="5">
        <f>+$C654*BM654</f>
        <v>0</v>
      </c>
      <c r="O654" s="5">
        <f>+$C654*BN654</f>
        <v>0</v>
      </c>
      <c r="P654" s="5">
        <v>0</v>
      </c>
      <c r="Q654" s="5">
        <f>+$P654*BC654</f>
        <v>0</v>
      </c>
      <c r="R654" s="5">
        <f>+$P654*BD654</f>
        <v>0</v>
      </c>
      <c r="S654" s="5">
        <f>+$P654*BE654</f>
        <v>0</v>
      </c>
      <c r="T654" s="5">
        <f>+$P654*BF654</f>
        <v>0</v>
      </c>
      <c r="U654" s="5">
        <f>+$P654*BG654</f>
        <v>0</v>
      </c>
      <c r="V654" s="5">
        <f>+$P654*BH654</f>
        <v>0</v>
      </c>
      <c r="W654" s="5">
        <f>+$P654*BI654</f>
        <v>0</v>
      </c>
      <c r="X654" s="5">
        <f>+$P654*BJ654</f>
        <v>0</v>
      </c>
      <c r="Y654" s="5">
        <f>+$P654*BK654</f>
        <v>0</v>
      </c>
      <c r="Z654" s="5">
        <f>+$P654*BL654</f>
        <v>0</v>
      </c>
      <c r="AA654" s="5">
        <f>+$P654*BM654</f>
        <v>0</v>
      </c>
      <c r="AB654" s="5">
        <f>+$P654*BN654</f>
        <v>0</v>
      </c>
      <c r="AC654" s="5">
        <v>0</v>
      </c>
      <c r="AD654" s="5">
        <f>+$AC654*BC654</f>
        <v>0</v>
      </c>
      <c r="AE654" s="5">
        <f>+$AC654*BD654</f>
        <v>0</v>
      </c>
      <c r="AF654" s="5">
        <f>+$AC654*BE654</f>
        <v>0</v>
      </c>
      <c r="AG654" s="5">
        <f>+$AC654*BF654</f>
        <v>0</v>
      </c>
      <c r="AH654" s="5">
        <f>+$AC654*BG654</f>
        <v>0</v>
      </c>
      <c r="AI654" s="5">
        <f>+$AC654*BH654</f>
        <v>0</v>
      </c>
      <c r="AJ654" s="5">
        <f>+$AC654*BI654</f>
        <v>0</v>
      </c>
      <c r="AK654" s="5">
        <f>+$AC654*BJ654</f>
        <v>0</v>
      </c>
      <c r="AL654" s="5">
        <f>+$AC654*BK654</f>
        <v>0</v>
      </c>
      <c r="AM654" s="5">
        <f>+$AC654*BL654</f>
        <v>0</v>
      </c>
      <c r="AN654" s="5">
        <f>+$AC654*BM654</f>
        <v>0</v>
      </c>
      <c r="AO654" s="5">
        <f>+$AC654*BN654</f>
        <v>0</v>
      </c>
      <c r="AP654" s="5">
        <f>+AC654+P654+C654</f>
        <v>0</v>
      </c>
      <c r="AQ654" s="1">
        <v>124.27567150992964</v>
      </c>
      <c r="AR654" s="1">
        <v>148.62203379193369</v>
      </c>
      <c r="AS654" s="1">
        <v>131.53158904783217</v>
      </c>
      <c r="AT654" s="1">
        <v>99.630117535273399</v>
      </c>
      <c r="AU654" s="1">
        <v>144.48739609416515</v>
      </c>
      <c r="AV654" s="1">
        <v>118.40726079667333</v>
      </c>
      <c r="AW654" s="1">
        <v>117.88266993589097</v>
      </c>
      <c r="AX654" s="1">
        <v>80.053288274754891</v>
      </c>
      <c r="AY654" s="1">
        <v>118.66300024361483</v>
      </c>
      <c r="AZ654" s="1">
        <v>103.34021915008037</v>
      </c>
      <c r="BA654" s="1">
        <v>105.51428097566082</v>
      </c>
      <c r="BB654" s="1">
        <v>103.05803339834073</v>
      </c>
      <c r="BC654" s="2">
        <v>8.9181565948742242E-2</v>
      </c>
      <c r="BD654" s="2">
        <v>0.10665277883445198</v>
      </c>
      <c r="BE654" s="2">
        <v>9.438849084854764E-2</v>
      </c>
      <c r="BF654" s="2">
        <v>7.149564986855049E-2</v>
      </c>
      <c r="BG654" s="2">
        <v>0.10368571810536763</v>
      </c>
      <c r="BH654" s="2">
        <v>8.4970330952544637E-2</v>
      </c>
      <c r="BI654" s="2">
        <v>8.4593878877262704E-2</v>
      </c>
      <c r="BJ654" s="2">
        <v>5.7447105462779965E-2</v>
      </c>
      <c r="BK654" s="2">
        <v>8.5153852345557474E-2</v>
      </c>
      <c r="BL654" s="2">
        <v>7.4158058913035174E-2</v>
      </c>
      <c r="BM654" s="2">
        <v>7.5718189192107169E-2</v>
      </c>
      <c r="BN654" s="2">
        <v>7.3955559365675619E-2</v>
      </c>
    </row>
    <row r="655" spans="1:66" x14ac:dyDescent="0.25">
      <c r="A655" s="8">
        <v>4287</v>
      </c>
      <c r="B655" s="8" t="s">
        <v>341</v>
      </c>
      <c r="C655" s="5">
        <v>0</v>
      </c>
      <c r="D655" s="5">
        <f>+$C655*BC655</f>
        <v>0</v>
      </c>
      <c r="E655" s="5">
        <f>+$C655*BD655</f>
        <v>0</v>
      </c>
      <c r="F655" s="5">
        <f>+$C655*BE655</f>
        <v>0</v>
      </c>
      <c r="G655" s="5">
        <f>+$C655*BF655</f>
        <v>0</v>
      </c>
      <c r="H655" s="5">
        <f>+$C655*BG655</f>
        <v>0</v>
      </c>
      <c r="I655" s="5">
        <f>+$C655*BH655</f>
        <v>0</v>
      </c>
      <c r="J655" s="5">
        <f>+$C655*BI655</f>
        <v>0</v>
      </c>
      <c r="K655" s="5">
        <f>+$C655*BJ655</f>
        <v>0</v>
      </c>
      <c r="L655" s="5">
        <f>+$C655*BK655</f>
        <v>0</v>
      </c>
      <c r="M655" s="5">
        <f>+$C655*BL655</f>
        <v>0</v>
      </c>
      <c r="N655" s="5">
        <f>+$C655*BM655</f>
        <v>0</v>
      </c>
      <c r="O655" s="5">
        <f>+$C655*BN655</f>
        <v>0</v>
      </c>
      <c r="P655" s="5">
        <v>0</v>
      </c>
      <c r="Q655" s="5">
        <f>+$P655*BC655</f>
        <v>0</v>
      </c>
      <c r="R655" s="5">
        <f>+$P655*BD655</f>
        <v>0</v>
      </c>
      <c r="S655" s="5">
        <f>+$P655*BE655</f>
        <v>0</v>
      </c>
      <c r="T655" s="5">
        <f>+$P655*BF655</f>
        <v>0</v>
      </c>
      <c r="U655" s="5">
        <f>+$P655*BG655</f>
        <v>0</v>
      </c>
      <c r="V655" s="5">
        <f>+$P655*BH655</f>
        <v>0</v>
      </c>
      <c r="W655" s="5">
        <f>+$P655*BI655</f>
        <v>0</v>
      </c>
      <c r="X655" s="5">
        <f>+$P655*BJ655</f>
        <v>0</v>
      </c>
      <c r="Y655" s="5">
        <f>+$P655*BK655</f>
        <v>0</v>
      </c>
      <c r="Z655" s="5">
        <f>+$P655*BL655</f>
        <v>0</v>
      </c>
      <c r="AA655" s="5">
        <f>+$P655*BM655</f>
        <v>0</v>
      </c>
      <c r="AB655" s="5">
        <f>+$P655*BN655</f>
        <v>0</v>
      </c>
      <c r="AC655" s="5">
        <v>0</v>
      </c>
      <c r="AD655" s="5">
        <f>+$AC655*BC655</f>
        <v>0</v>
      </c>
      <c r="AE655" s="5">
        <f>+$AC655*BD655</f>
        <v>0</v>
      </c>
      <c r="AF655" s="5">
        <f>+$AC655*BE655</f>
        <v>0</v>
      </c>
      <c r="AG655" s="5">
        <f>+$AC655*BF655</f>
        <v>0</v>
      </c>
      <c r="AH655" s="5">
        <f>+$AC655*BG655</f>
        <v>0</v>
      </c>
      <c r="AI655" s="5">
        <f>+$AC655*BH655</f>
        <v>0</v>
      </c>
      <c r="AJ655" s="5">
        <f>+$AC655*BI655</f>
        <v>0</v>
      </c>
      <c r="AK655" s="5">
        <f>+$AC655*BJ655</f>
        <v>0</v>
      </c>
      <c r="AL655" s="5">
        <f>+$AC655*BK655</f>
        <v>0</v>
      </c>
      <c r="AM655" s="5">
        <f>+$AC655*BL655</f>
        <v>0</v>
      </c>
      <c r="AN655" s="5">
        <f>+$AC655*BM655</f>
        <v>0</v>
      </c>
      <c r="AO655" s="5">
        <f>+$AC655*BN655</f>
        <v>0</v>
      </c>
      <c r="AP655" s="5">
        <f>+AC655+P655+C655</f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2">
        <v>8.9181565948742242E-2</v>
      </c>
      <c r="BD655" s="2">
        <v>0.10665277883445198</v>
      </c>
      <c r="BE655" s="2">
        <v>9.438849084854764E-2</v>
      </c>
      <c r="BF655" s="2">
        <v>7.149564986855049E-2</v>
      </c>
      <c r="BG655" s="2">
        <v>0.10368571810536763</v>
      </c>
      <c r="BH655" s="2">
        <v>8.4970330952544637E-2</v>
      </c>
      <c r="BI655" s="2">
        <v>8.4593878877262704E-2</v>
      </c>
      <c r="BJ655" s="2">
        <v>5.7447105462779965E-2</v>
      </c>
      <c r="BK655" s="2">
        <v>8.5153852345557474E-2</v>
      </c>
      <c r="BL655" s="2">
        <v>7.4158058913035174E-2</v>
      </c>
      <c r="BM655" s="2">
        <v>7.5718189192107169E-2</v>
      </c>
      <c r="BN655" s="2">
        <v>7.3955559365675619E-2</v>
      </c>
    </row>
    <row r="656" spans="1:66" x14ac:dyDescent="0.25">
      <c r="A656" s="8">
        <v>4303</v>
      </c>
      <c r="B656" s="8" t="s">
        <v>340</v>
      </c>
      <c r="C656" s="5">
        <v>0</v>
      </c>
      <c r="D656" s="5">
        <f>+$C656*BC656</f>
        <v>0</v>
      </c>
      <c r="E656" s="5">
        <f>+$C656*BD656</f>
        <v>0</v>
      </c>
      <c r="F656" s="5">
        <f>+$C656*BE656</f>
        <v>0</v>
      </c>
      <c r="G656" s="5">
        <f>+$C656*BF656</f>
        <v>0</v>
      </c>
      <c r="H656" s="5">
        <f>+$C656*BG656</f>
        <v>0</v>
      </c>
      <c r="I656" s="5">
        <f>+$C656*BH656</f>
        <v>0</v>
      </c>
      <c r="J656" s="5">
        <f>+$C656*BI656</f>
        <v>0</v>
      </c>
      <c r="K656" s="5">
        <f>+$C656*BJ656</f>
        <v>0</v>
      </c>
      <c r="L656" s="5">
        <f>+$C656*BK656</f>
        <v>0</v>
      </c>
      <c r="M656" s="5">
        <f>+$C656*BL656</f>
        <v>0</v>
      </c>
      <c r="N656" s="5">
        <f>+$C656*BM656</f>
        <v>0</v>
      </c>
      <c r="O656" s="5">
        <f>+$C656*BN656</f>
        <v>0</v>
      </c>
      <c r="P656" s="5">
        <v>0</v>
      </c>
      <c r="Q656" s="5">
        <f>+$P656*BC656</f>
        <v>0</v>
      </c>
      <c r="R656" s="5">
        <f>+$P656*BD656</f>
        <v>0</v>
      </c>
      <c r="S656" s="5">
        <f>+$P656*BE656</f>
        <v>0</v>
      </c>
      <c r="T656" s="5">
        <f>+$P656*BF656</f>
        <v>0</v>
      </c>
      <c r="U656" s="5">
        <f>+$P656*BG656</f>
        <v>0</v>
      </c>
      <c r="V656" s="5">
        <f>+$P656*BH656</f>
        <v>0</v>
      </c>
      <c r="W656" s="5">
        <f>+$P656*BI656</f>
        <v>0</v>
      </c>
      <c r="X656" s="5">
        <f>+$P656*BJ656</f>
        <v>0</v>
      </c>
      <c r="Y656" s="5">
        <f>+$P656*BK656</f>
        <v>0</v>
      </c>
      <c r="Z656" s="5">
        <f>+$P656*BL656</f>
        <v>0</v>
      </c>
      <c r="AA656" s="5">
        <f>+$P656*BM656</f>
        <v>0</v>
      </c>
      <c r="AB656" s="5">
        <f>+$P656*BN656</f>
        <v>0</v>
      </c>
      <c r="AC656" s="5">
        <v>0</v>
      </c>
      <c r="AD656" s="5">
        <f>+$AC656*BC656</f>
        <v>0</v>
      </c>
      <c r="AE656" s="5">
        <f>+$AC656*BD656</f>
        <v>0</v>
      </c>
      <c r="AF656" s="5">
        <f>+$AC656*BE656</f>
        <v>0</v>
      </c>
      <c r="AG656" s="5">
        <f>+$AC656*BF656</f>
        <v>0</v>
      </c>
      <c r="AH656" s="5">
        <f>+$AC656*BG656</f>
        <v>0</v>
      </c>
      <c r="AI656" s="5">
        <f>+$AC656*BH656</f>
        <v>0</v>
      </c>
      <c r="AJ656" s="5">
        <f>+$AC656*BI656</f>
        <v>0</v>
      </c>
      <c r="AK656" s="5">
        <f>+$AC656*BJ656</f>
        <v>0</v>
      </c>
      <c r="AL656" s="5">
        <f>+$AC656*BK656</f>
        <v>0</v>
      </c>
      <c r="AM656" s="5">
        <f>+$AC656*BL656</f>
        <v>0</v>
      </c>
      <c r="AN656" s="5">
        <f>+$AC656*BM656</f>
        <v>0</v>
      </c>
      <c r="AO656" s="5">
        <f>+$AC656*BN656</f>
        <v>0</v>
      </c>
      <c r="AP656" s="5">
        <f>+AC656+P656+C656</f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2">
        <v>8.9181565948742242E-2</v>
      </c>
      <c r="BD656" s="2">
        <v>0.10665277883445198</v>
      </c>
      <c r="BE656" s="2">
        <v>9.438849084854764E-2</v>
      </c>
      <c r="BF656" s="2">
        <v>7.149564986855049E-2</v>
      </c>
      <c r="BG656" s="2">
        <v>0.10368571810536763</v>
      </c>
      <c r="BH656" s="2">
        <v>8.4970330952544637E-2</v>
      </c>
      <c r="BI656" s="2">
        <v>8.4593878877262704E-2</v>
      </c>
      <c r="BJ656" s="2">
        <v>5.7447105462779965E-2</v>
      </c>
      <c r="BK656" s="2">
        <v>8.5153852345557474E-2</v>
      </c>
      <c r="BL656" s="2">
        <v>7.4158058913035174E-2</v>
      </c>
      <c r="BM656" s="2">
        <v>7.5718189192107169E-2</v>
      </c>
      <c r="BN656" s="2">
        <v>7.3955559365675619E-2</v>
      </c>
    </row>
    <row r="657" spans="1:66" x14ac:dyDescent="0.25">
      <c r="A657" s="8">
        <v>4323</v>
      </c>
      <c r="B657" s="8" t="s">
        <v>339</v>
      </c>
      <c r="C657" s="5">
        <v>0</v>
      </c>
      <c r="D657" s="5">
        <f>+$C657*BC657</f>
        <v>0</v>
      </c>
      <c r="E657" s="5">
        <f>+$C657*BD657</f>
        <v>0</v>
      </c>
      <c r="F657" s="5">
        <f>+$C657*BE657</f>
        <v>0</v>
      </c>
      <c r="G657" s="5">
        <f>+$C657*BF657</f>
        <v>0</v>
      </c>
      <c r="H657" s="5">
        <f>+$C657*BG657</f>
        <v>0</v>
      </c>
      <c r="I657" s="5">
        <f>+$C657*BH657</f>
        <v>0</v>
      </c>
      <c r="J657" s="5">
        <f>+$C657*BI657</f>
        <v>0</v>
      </c>
      <c r="K657" s="5">
        <f>+$C657*BJ657</f>
        <v>0</v>
      </c>
      <c r="L657" s="5">
        <f>+$C657*BK657</f>
        <v>0</v>
      </c>
      <c r="M657" s="5">
        <f>+$C657*BL657</f>
        <v>0</v>
      </c>
      <c r="N657" s="5">
        <f>+$C657*BM657</f>
        <v>0</v>
      </c>
      <c r="O657" s="5">
        <f>+$C657*BN657</f>
        <v>0</v>
      </c>
      <c r="P657" s="5">
        <v>0</v>
      </c>
      <c r="Q657" s="5">
        <f>+$P657*BC657</f>
        <v>0</v>
      </c>
      <c r="R657" s="5">
        <f>+$P657*BD657</f>
        <v>0</v>
      </c>
      <c r="S657" s="5">
        <f>+$P657*BE657</f>
        <v>0</v>
      </c>
      <c r="T657" s="5">
        <f>+$P657*BF657</f>
        <v>0</v>
      </c>
      <c r="U657" s="5">
        <f>+$P657*BG657</f>
        <v>0</v>
      </c>
      <c r="V657" s="5">
        <f>+$P657*BH657</f>
        <v>0</v>
      </c>
      <c r="W657" s="5">
        <f>+$P657*BI657</f>
        <v>0</v>
      </c>
      <c r="X657" s="5">
        <f>+$P657*BJ657</f>
        <v>0</v>
      </c>
      <c r="Y657" s="5">
        <f>+$P657*BK657</f>
        <v>0</v>
      </c>
      <c r="Z657" s="5">
        <f>+$P657*BL657</f>
        <v>0</v>
      </c>
      <c r="AA657" s="5">
        <f>+$P657*BM657</f>
        <v>0</v>
      </c>
      <c r="AB657" s="5">
        <f>+$P657*BN657</f>
        <v>0</v>
      </c>
      <c r="AC657" s="5">
        <v>0</v>
      </c>
      <c r="AD657" s="5">
        <f>+$AC657*BC657</f>
        <v>0</v>
      </c>
      <c r="AE657" s="5">
        <f>+$AC657*BD657</f>
        <v>0</v>
      </c>
      <c r="AF657" s="5">
        <f>+$AC657*BE657</f>
        <v>0</v>
      </c>
      <c r="AG657" s="5">
        <f>+$AC657*BF657</f>
        <v>0</v>
      </c>
      <c r="AH657" s="5">
        <f>+$AC657*BG657</f>
        <v>0</v>
      </c>
      <c r="AI657" s="5">
        <f>+$AC657*BH657</f>
        <v>0</v>
      </c>
      <c r="AJ657" s="5">
        <f>+$AC657*BI657</f>
        <v>0</v>
      </c>
      <c r="AK657" s="5">
        <f>+$AC657*BJ657</f>
        <v>0</v>
      </c>
      <c r="AL657" s="5">
        <f>+$AC657*BK657</f>
        <v>0</v>
      </c>
      <c r="AM657" s="5">
        <f>+$AC657*BL657</f>
        <v>0</v>
      </c>
      <c r="AN657" s="5">
        <f>+$AC657*BM657</f>
        <v>0</v>
      </c>
      <c r="AO657" s="5">
        <f>+$AC657*BN657</f>
        <v>0</v>
      </c>
      <c r="AP657" s="5">
        <f>+AC657+P657+C657</f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2">
        <v>8.9181565948742242E-2</v>
      </c>
      <c r="BD657" s="2">
        <v>0.10665277883445198</v>
      </c>
      <c r="BE657" s="2">
        <v>9.438849084854764E-2</v>
      </c>
      <c r="BF657" s="2">
        <v>7.149564986855049E-2</v>
      </c>
      <c r="BG657" s="2">
        <v>0.10368571810536763</v>
      </c>
      <c r="BH657" s="2">
        <v>8.4970330952544637E-2</v>
      </c>
      <c r="BI657" s="2">
        <v>8.4593878877262704E-2</v>
      </c>
      <c r="BJ657" s="2">
        <v>5.7447105462779965E-2</v>
      </c>
      <c r="BK657" s="2">
        <v>8.5153852345557474E-2</v>
      </c>
      <c r="BL657" s="2">
        <v>7.4158058913035174E-2</v>
      </c>
      <c r="BM657" s="2">
        <v>7.5718189192107169E-2</v>
      </c>
      <c r="BN657" s="2">
        <v>7.3955559365675619E-2</v>
      </c>
    </row>
    <row r="658" spans="1:66" x14ac:dyDescent="0.25">
      <c r="A658" s="8">
        <v>4324</v>
      </c>
      <c r="B658" s="8" t="s">
        <v>338</v>
      </c>
      <c r="C658" s="5">
        <v>0</v>
      </c>
      <c r="D658" s="5">
        <f>+$C658*BC658</f>
        <v>0</v>
      </c>
      <c r="E658" s="5">
        <f>+$C658*BD658</f>
        <v>0</v>
      </c>
      <c r="F658" s="5">
        <f>+$C658*BE658</f>
        <v>0</v>
      </c>
      <c r="G658" s="5">
        <f>+$C658*BF658</f>
        <v>0</v>
      </c>
      <c r="H658" s="5">
        <f>+$C658*BG658</f>
        <v>0</v>
      </c>
      <c r="I658" s="5">
        <f>+$C658*BH658</f>
        <v>0</v>
      </c>
      <c r="J658" s="5">
        <f>+$C658*BI658</f>
        <v>0</v>
      </c>
      <c r="K658" s="5">
        <f>+$C658*BJ658</f>
        <v>0</v>
      </c>
      <c r="L658" s="5">
        <f>+$C658*BK658</f>
        <v>0</v>
      </c>
      <c r="M658" s="5">
        <f>+$C658*BL658</f>
        <v>0</v>
      </c>
      <c r="N658" s="5">
        <f>+$C658*BM658</f>
        <v>0</v>
      </c>
      <c r="O658" s="5">
        <f>+$C658*BN658</f>
        <v>0</v>
      </c>
      <c r="P658" s="5">
        <v>0</v>
      </c>
      <c r="Q658" s="5">
        <f>+$P658*BC658</f>
        <v>0</v>
      </c>
      <c r="R658" s="5">
        <f>+$P658*BD658</f>
        <v>0</v>
      </c>
      <c r="S658" s="5">
        <f>+$P658*BE658</f>
        <v>0</v>
      </c>
      <c r="T658" s="5">
        <f>+$P658*BF658</f>
        <v>0</v>
      </c>
      <c r="U658" s="5">
        <f>+$P658*BG658</f>
        <v>0</v>
      </c>
      <c r="V658" s="5">
        <f>+$P658*BH658</f>
        <v>0</v>
      </c>
      <c r="W658" s="5">
        <f>+$P658*BI658</f>
        <v>0</v>
      </c>
      <c r="X658" s="5">
        <f>+$P658*BJ658</f>
        <v>0</v>
      </c>
      <c r="Y658" s="5">
        <f>+$P658*BK658</f>
        <v>0</v>
      </c>
      <c r="Z658" s="5">
        <f>+$P658*BL658</f>
        <v>0</v>
      </c>
      <c r="AA658" s="5">
        <f>+$P658*BM658</f>
        <v>0</v>
      </c>
      <c r="AB658" s="5">
        <f>+$P658*BN658</f>
        <v>0</v>
      </c>
      <c r="AC658" s="5">
        <v>0</v>
      </c>
      <c r="AD658" s="5">
        <f>+$AC658*BC658</f>
        <v>0</v>
      </c>
      <c r="AE658" s="5">
        <f>+$AC658*BD658</f>
        <v>0</v>
      </c>
      <c r="AF658" s="5">
        <f>+$AC658*BE658</f>
        <v>0</v>
      </c>
      <c r="AG658" s="5">
        <f>+$AC658*BF658</f>
        <v>0</v>
      </c>
      <c r="AH658" s="5">
        <f>+$AC658*BG658</f>
        <v>0</v>
      </c>
      <c r="AI658" s="5">
        <f>+$AC658*BH658</f>
        <v>0</v>
      </c>
      <c r="AJ658" s="5">
        <f>+$AC658*BI658</f>
        <v>0</v>
      </c>
      <c r="AK658" s="5">
        <f>+$AC658*BJ658</f>
        <v>0</v>
      </c>
      <c r="AL658" s="5">
        <f>+$AC658*BK658</f>
        <v>0</v>
      </c>
      <c r="AM658" s="5">
        <f>+$AC658*BL658</f>
        <v>0</v>
      </c>
      <c r="AN658" s="5">
        <f>+$AC658*BM658</f>
        <v>0</v>
      </c>
      <c r="AO658" s="5">
        <f>+$AC658*BN658</f>
        <v>0</v>
      </c>
      <c r="AP658" s="5">
        <f>+AC658+P658+C658</f>
        <v>0</v>
      </c>
      <c r="AQ658" s="1">
        <v>64.353417988612406</v>
      </c>
      <c r="AR658" s="1">
        <v>76.960645206940555</v>
      </c>
      <c r="AS658" s="1">
        <v>68.110734996311976</v>
      </c>
      <c r="AT658" s="1">
        <v>51.591260945146033</v>
      </c>
      <c r="AU658" s="1">
        <v>74.819614184833284</v>
      </c>
      <c r="AV658" s="1">
        <v>61.314590815356212</v>
      </c>
      <c r="AW658" s="1">
        <v>61.042942997832768</v>
      </c>
      <c r="AX658" s="1">
        <v>41.453831301942024</v>
      </c>
      <c r="AY658" s="1">
        <v>61.447019852554277</v>
      </c>
      <c r="AZ658" s="1">
        <v>53.512455311646185</v>
      </c>
      <c r="BA658" s="1">
        <v>54.638245321024534</v>
      </c>
      <c r="BB658" s="1">
        <v>53.366331638271525</v>
      </c>
      <c r="BC658" s="2">
        <v>8.9181565948742242E-2</v>
      </c>
      <c r="BD658" s="2">
        <v>0.10665277883445198</v>
      </c>
      <c r="BE658" s="2">
        <v>9.438849084854764E-2</v>
      </c>
      <c r="BF658" s="2">
        <v>7.149564986855049E-2</v>
      </c>
      <c r="BG658" s="2">
        <v>0.10368571810536763</v>
      </c>
      <c r="BH658" s="2">
        <v>8.4970330952544637E-2</v>
      </c>
      <c r="BI658" s="2">
        <v>8.4593878877262704E-2</v>
      </c>
      <c r="BJ658" s="2">
        <v>5.7447105462779965E-2</v>
      </c>
      <c r="BK658" s="2">
        <v>8.5153852345557474E-2</v>
      </c>
      <c r="BL658" s="2">
        <v>7.4158058913035174E-2</v>
      </c>
      <c r="BM658" s="2">
        <v>7.5718189192107169E-2</v>
      </c>
      <c r="BN658" s="2">
        <v>7.3955559365675619E-2</v>
      </c>
    </row>
    <row r="659" spans="1:66" x14ac:dyDescent="0.25">
      <c r="A659" s="8">
        <v>4326</v>
      </c>
      <c r="B659" s="8" t="s">
        <v>337</v>
      </c>
      <c r="C659" s="5">
        <v>0</v>
      </c>
      <c r="D659" s="5">
        <f>+$C659*BC659</f>
        <v>0</v>
      </c>
      <c r="E659" s="5">
        <f>+$C659*BD659</f>
        <v>0</v>
      </c>
      <c r="F659" s="5">
        <f>+$C659*BE659</f>
        <v>0</v>
      </c>
      <c r="G659" s="5">
        <f>+$C659*BF659</f>
        <v>0</v>
      </c>
      <c r="H659" s="5">
        <f>+$C659*BG659</f>
        <v>0</v>
      </c>
      <c r="I659" s="5">
        <f>+$C659*BH659</f>
        <v>0</v>
      </c>
      <c r="J659" s="5">
        <f>+$C659*BI659</f>
        <v>0</v>
      </c>
      <c r="K659" s="5">
        <f>+$C659*BJ659</f>
        <v>0</v>
      </c>
      <c r="L659" s="5">
        <f>+$C659*BK659</f>
        <v>0</v>
      </c>
      <c r="M659" s="5">
        <f>+$C659*BL659</f>
        <v>0</v>
      </c>
      <c r="N659" s="5">
        <f>+$C659*BM659</f>
        <v>0</v>
      </c>
      <c r="O659" s="5">
        <f>+$C659*BN659</f>
        <v>0</v>
      </c>
      <c r="P659" s="5">
        <v>0</v>
      </c>
      <c r="Q659" s="5">
        <f>+$P659*BC659</f>
        <v>0</v>
      </c>
      <c r="R659" s="5">
        <f>+$P659*BD659</f>
        <v>0</v>
      </c>
      <c r="S659" s="5">
        <f>+$P659*BE659</f>
        <v>0</v>
      </c>
      <c r="T659" s="5">
        <f>+$P659*BF659</f>
        <v>0</v>
      </c>
      <c r="U659" s="5">
        <f>+$P659*BG659</f>
        <v>0</v>
      </c>
      <c r="V659" s="5">
        <f>+$P659*BH659</f>
        <v>0</v>
      </c>
      <c r="W659" s="5">
        <f>+$P659*BI659</f>
        <v>0</v>
      </c>
      <c r="X659" s="5">
        <f>+$P659*BJ659</f>
        <v>0</v>
      </c>
      <c r="Y659" s="5">
        <f>+$P659*BK659</f>
        <v>0</v>
      </c>
      <c r="Z659" s="5">
        <f>+$P659*BL659</f>
        <v>0</v>
      </c>
      <c r="AA659" s="5">
        <f>+$P659*BM659</f>
        <v>0</v>
      </c>
      <c r="AB659" s="5">
        <f>+$P659*BN659</f>
        <v>0</v>
      </c>
      <c r="AC659" s="5">
        <v>0</v>
      </c>
      <c r="AD659" s="5">
        <f>+$AC659*BC659</f>
        <v>0</v>
      </c>
      <c r="AE659" s="5">
        <f>+$AC659*BD659</f>
        <v>0</v>
      </c>
      <c r="AF659" s="5">
        <f>+$AC659*BE659</f>
        <v>0</v>
      </c>
      <c r="AG659" s="5">
        <f>+$AC659*BF659</f>
        <v>0</v>
      </c>
      <c r="AH659" s="5">
        <f>+$AC659*BG659</f>
        <v>0</v>
      </c>
      <c r="AI659" s="5">
        <f>+$AC659*BH659</f>
        <v>0</v>
      </c>
      <c r="AJ659" s="5">
        <f>+$AC659*BI659</f>
        <v>0</v>
      </c>
      <c r="AK659" s="5">
        <f>+$AC659*BJ659</f>
        <v>0</v>
      </c>
      <c r="AL659" s="5">
        <f>+$AC659*BK659</f>
        <v>0</v>
      </c>
      <c r="AM659" s="5">
        <f>+$AC659*BL659</f>
        <v>0</v>
      </c>
      <c r="AN659" s="5">
        <f>+$AC659*BM659</f>
        <v>0</v>
      </c>
      <c r="AO659" s="5">
        <f>+$AC659*BN659</f>
        <v>0</v>
      </c>
      <c r="AP659" s="5">
        <f>+AC659+P659+C659</f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2">
        <v>8.9181565948742242E-2</v>
      </c>
      <c r="BD659" s="2">
        <v>0.10665277883445198</v>
      </c>
      <c r="BE659" s="2">
        <v>9.438849084854764E-2</v>
      </c>
      <c r="BF659" s="2">
        <v>7.149564986855049E-2</v>
      </c>
      <c r="BG659" s="2">
        <v>0.10368571810536763</v>
      </c>
      <c r="BH659" s="2">
        <v>8.4970330952544637E-2</v>
      </c>
      <c r="BI659" s="2">
        <v>8.4593878877262704E-2</v>
      </c>
      <c r="BJ659" s="2">
        <v>5.7447105462779965E-2</v>
      </c>
      <c r="BK659" s="2">
        <v>8.5153852345557474E-2</v>
      </c>
      <c r="BL659" s="2">
        <v>7.4158058913035174E-2</v>
      </c>
      <c r="BM659" s="2">
        <v>7.5718189192107169E-2</v>
      </c>
      <c r="BN659" s="2">
        <v>7.3955559365675619E-2</v>
      </c>
    </row>
    <row r="660" spans="1:66" x14ac:dyDescent="0.25">
      <c r="A660" s="8">
        <v>4352</v>
      </c>
      <c r="B660" s="8" t="s">
        <v>336</v>
      </c>
      <c r="C660" s="5">
        <v>0</v>
      </c>
      <c r="D660" s="5">
        <f>+$C660*BC660</f>
        <v>0</v>
      </c>
      <c r="E660" s="5">
        <f>+$C660*BD660</f>
        <v>0</v>
      </c>
      <c r="F660" s="5">
        <f>+$C660*BE660</f>
        <v>0</v>
      </c>
      <c r="G660" s="5">
        <f>+$C660*BF660</f>
        <v>0</v>
      </c>
      <c r="H660" s="5">
        <f>+$C660*BG660</f>
        <v>0</v>
      </c>
      <c r="I660" s="5">
        <f>+$C660*BH660</f>
        <v>0</v>
      </c>
      <c r="J660" s="5">
        <f>+$C660*BI660</f>
        <v>0</v>
      </c>
      <c r="K660" s="5">
        <f>+$C660*BJ660</f>
        <v>0</v>
      </c>
      <c r="L660" s="5">
        <f>+$C660*BK660</f>
        <v>0</v>
      </c>
      <c r="M660" s="5">
        <f>+$C660*BL660</f>
        <v>0</v>
      </c>
      <c r="N660" s="5">
        <f>+$C660*BM660</f>
        <v>0</v>
      </c>
      <c r="O660" s="5">
        <f>+$C660*BN660</f>
        <v>0</v>
      </c>
      <c r="P660" s="5">
        <v>0</v>
      </c>
      <c r="Q660" s="5">
        <f>+$P660*BC660</f>
        <v>0</v>
      </c>
      <c r="R660" s="5">
        <f>+$P660*BD660</f>
        <v>0</v>
      </c>
      <c r="S660" s="5">
        <f>+$P660*BE660</f>
        <v>0</v>
      </c>
      <c r="T660" s="5">
        <f>+$P660*BF660</f>
        <v>0</v>
      </c>
      <c r="U660" s="5">
        <f>+$P660*BG660</f>
        <v>0</v>
      </c>
      <c r="V660" s="5">
        <f>+$P660*BH660</f>
        <v>0</v>
      </c>
      <c r="W660" s="5">
        <f>+$P660*BI660</f>
        <v>0</v>
      </c>
      <c r="X660" s="5">
        <f>+$P660*BJ660</f>
        <v>0</v>
      </c>
      <c r="Y660" s="5">
        <f>+$P660*BK660</f>
        <v>0</v>
      </c>
      <c r="Z660" s="5">
        <f>+$P660*BL660</f>
        <v>0</v>
      </c>
      <c r="AA660" s="5">
        <f>+$P660*BM660</f>
        <v>0</v>
      </c>
      <c r="AB660" s="5">
        <f>+$P660*BN660</f>
        <v>0</v>
      </c>
      <c r="AC660" s="5">
        <v>0</v>
      </c>
      <c r="AD660" s="5">
        <f>+$AC660*BC660</f>
        <v>0</v>
      </c>
      <c r="AE660" s="5">
        <f>+$AC660*BD660</f>
        <v>0</v>
      </c>
      <c r="AF660" s="5">
        <f>+$AC660*BE660</f>
        <v>0</v>
      </c>
      <c r="AG660" s="5">
        <f>+$AC660*BF660</f>
        <v>0</v>
      </c>
      <c r="AH660" s="5">
        <f>+$AC660*BG660</f>
        <v>0</v>
      </c>
      <c r="AI660" s="5">
        <f>+$AC660*BH660</f>
        <v>0</v>
      </c>
      <c r="AJ660" s="5">
        <f>+$AC660*BI660</f>
        <v>0</v>
      </c>
      <c r="AK660" s="5">
        <f>+$AC660*BJ660</f>
        <v>0</v>
      </c>
      <c r="AL660" s="5">
        <f>+$AC660*BK660</f>
        <v>0</v>
      </c>
      <c r="AM660" s="5">
        <f>+$AC660*BL660</f>
        <v>0</v>
      </c>
      <c r="AN660" s="5">
        <f>+$AC660*BM660</f>
        <v>0</v>
      </c>
      <c r="AO660" s="5">
        <f>+$AC660*BN660</f>
        <v>0</v>
      </c>
      <c r="AP660" s="5">
        <f>+AC660+P660+C660</f>
        <v>0</v>
      </c>
      <c r="AQ660" s="1">
        <v>8.338476416207401</v>
      </c>
      <c r="AR660" s="1">
        <v>9.9720348210212624</v>
      </c>
      <c r="AS660" s="1">
        <v>8.8253238943392063</v>
      </c>
      <c r="AT660" s="1">
        <v>6.6848432627094718</v>
      </c>
      <c r="AU660" s="1">
        <v>9.6946146428518745</v>
      </c>
      <c r="AV660" s="1">
        <v>7.9447259440629248</v>
      </c>
      <c r="AW660" s="1">
        <v>7.909527675024064</v>
      </c>
      <c r="AX660" s="1">
        <v>5.371304360769928</v>
      </c>
      <c r="AY660" s="1">
        <v>7.9618851943096249</v>
      </c>
      <c r="AZ660" s="1">
        <v>6.93377850836879</v>
      </c>
      <c r="BA660" s="1">
        <v>7.0796506894620217</v>
      </c>
      <c r="BB660" s="1">
        <v>6.9148448006906715</v>
      </c>
      <c r="BC660" s="2">
        <v>8.9181565948742242E-2</v>
      </c>
      <c r="BD660" s="2">
        <v>0.10665277883445198</v>
      </c>
      <c r="BE660" s="2">
        <v>9.438849084854764E-2</v>
      </c>
      <c r="BF660" s="2">
        <v>7.149564986855049E-2</v>
      </c>
      <c r="BG660" s="2">
        <v>0.10368571810536763</v>
      </c>
      <c r="BH660" s="2">
        <v>8.4970330952544637E-2</v>
      </c>
      <c r="BI660" s="2">
        <v>8.4593878877262704E-2</v>
      </c>
      <c r="BJ660" s="2">
        <v>5.7447105462779965E-2</v>
      </c>
      <c r="BK660" s="2">
        <v>8.5153852345557474E-2</v>
      </c>
      <c r="BL660" s="2">
        <v>7.4158058913035174E-2</v>
      </c>
      <c r="BM660" s="2">
        <v>7.5718189192107169E-2</v>
      </c>
      <c r="BN660" s="2">
        <v>7.3955559365675619E-2</v>
      </c>
    </row>
    <row r="661" spans="1:66" x14ac:dyDescent="0.25">
      <c r="A661" s="8">
        <v>4361</v>
      </c>
      <c r="B661" s="8" t="s">
        <v>335</v>
      </c>
      <c r="C661" s="5">
        <v>0</v>
      </c>
      <c r="D661" s="5">
        <f>+$C661*BC661</f>
        <v>0</v>
      </c>
      <c r="E661" s="5">
        <f>+$C661*BD661</f>
        <v>0</v>
      </c>
      <c r="F661" s="5">
        <f>+$C661*BE661</f>
        <v>0</v>
      </c>
      <c r="G661" s="5">
        <f>+$C661*BF661</f>
        <v>0</v>
      </c>
      <c r="H661" s="5">
        <f>+$C661*BG661</f>
        <v>0</v>
      </c>
      <c r="I661" s="5">
        <f>+$C661*BH661</f>
        <v>0</v>
      </c>
      <c r="J661" s="5">
        <f>+$C661*BI661</f>
        <v>0</v>
      </c>
      <c r="K661" s="5">
        <f>+$C661*BJ661</f>
        <v>0</v>
      </c>
      <c r="L661" s="5">
        <f>+$C661*BK661</f>
        <v>0</v>
      </c>
      <c r="M661" s="5">
        <f>+$C661*BL661</f>
        <v>0</v>
      </c>
      <c r="N661" s="5">
        <f>+$C661*BM661</f>
        <v>0</v>
      </c>
      <c r="O661" s="5">
        <f>+$C661*BN661</f>
        <v>0</v>
      </c>
      <c r="P661" s="5">
        <v>0</v>
      </c>
      <c r="Q661" s="5">
        <f>+$P661*BC661</f>
        <v>0</v>
      </c>
      <c r="R661" s="5">
        <f>+$P661*BD661</f>
        <v>0</v>
      </c>
      <c r="S661" s="5">
        <f>+$P661*BE661</f>
        <v>0</v>
      </c>
      <c r="T661" s="5">
        <f>+$P661*BF661</f>
        <v>0</v>
      </c>
      <c r="U661" s="5">
        <f>+$P661*BG661</f>
        <v>0</v>
      </c>
      <c r="V661" s="5">
        <f>+$P661*BH661</f>
        <v>0</v>
      </c>
      <c r="W661" s="5">
        <f>+$P661*BI661</f>
        <v>0</v>
      </c>
      <c r="X661" s="5">
        <f>+$P661*BJ661</f>
        <v>0</v>
      </c>
      <c r="Y661" s="5">
        <f>+$P661*BK661</f>
        <v>0</v>
      </c>
      <c r="Z661" s="5">
        <f>+$P661*BL661</f>
        <v>0</v>
      </c>
      <c r="AA661" s="5">
        <f>+$P661*BM661</f>
        <v>0</v>
      </c>
      <c r="AB661" s="5">
        <f>+$P661*BN661</f>
        <v>0</v>
      </c>
      <c r="AC661" s="5">
        <v>0</v>
      </c>
      <c r="AD661" s="5">
        <f>+$AC661*BC661</f>
        <v>0</v>
      </c>
      <c r="AE661" s="5">
        <f>+$AC661*BD661</f>
        <v>0</v>
      </c>
      <c r="AF661" s="5">
        <f>+$AC661*BE661</f>
        <v>0</v>
      </c>
      <c r="AG661" s="5">
        <f>+$AC661*BF661</f>
        <v>0</v>
      </c>
      <c r="AH661" s="5">
        <f>+$AC661*BG661</f>
        <v>0</v>
      </c>
      <c r="AI661" s="5">
        <f>+$AC661*BH661</f>
        <v>0</v>
      </c>
      <c r="AJ661" s="5">
        <f>+$AC661*BI661</f>
        <v>0</v>
      </c>
      <c r="AK661" s="5">
        <f>+$AC661*BJ661</f>
        <v>0</v>
      </c>
      <c r="AL661" s="5">
        <f>+$AC661*BK661</f>
        <v>0</v>
      </c>
      <c r="AM661" s="5">
        <f>+$AC661*BL661</f>
        <v>0</v>
      </c>
      <c r="AN661" s="5">
        <f>+$AC661*BM661</f>
        <v>0</v>
      </c>
      <c r="AO661" s="5">
        <f>+$AC661*BN661</f>
        <v>0</v>
      </c>
      <c r="AP661" s="5">
        <f>+AC661+P661+C661</f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2">
        <v>8.9181565948742242E-2</v>
      </c>
      <c r="BD661" s="2">
        <v>0.10665277883445198</v>
      </c>
      <c r="BE661" s="2">
        <v>9.438849084854764E-2</v>
      </c>
      <c r="BF661" s="2">
        <v>7.149564986855049E-2</v>
      </c>
      <c r="BG661" s="2">
        <v>0.10368571810536763</v>
      </c>
      <c r="BH661" s="2">
        <v>8.4970330952544637E-2</v>
      </c>
      <c r="BI661" s="2">
        <v>8.4593878877262704E-2</v>
      </c>
      <c r="BJ661" s="2">
        <v>5.7447105462779965E-2</v>
      </c>
      <c r="BK661" s="2">
        <v>8.5153852345557474E-2</v>
      </c>
      <c r="BL661" s="2">
        <v>7.4158058913035174E-2</v>
      </c>
      <c r="BM661" s="2">
        <v>7.5718189192107169E-2</v>
      </c>
      <c r="BN661" s="2">
        <v>7.3955559365675619E-2</v>
      </c>
    </row>
    <row r="662" spans="1:66" x14ac:dyDescent="0.25">
      <c r="A662" s="8">
        <v>4382</v>
      </c>
      <c r="B662" s="8" t="s">
        <v>334</v>
      </c>
      <c r="C662" s="5">
        <v>0</v>
      </c>
      <c r="D662" s="5">
        <f>+$C662*BC662</f>
        <v>0</v>
      </c>
      <c r="E662" s="5">
        <f>+$C662*BD662</f>
        <v>0</v>
      </c>
      <c r="F662" s="5">
        <f>+$C662*BE662</f>
        <v>0</v>
      </c>
      <c r="G662" s="5">
        <f>+$C662*BF662</f>
        <v>0</v>
      </c>
      <c r="H662" s="5">
        <f>+$C662*BG662</f>
        <v>0</v>
      </c>
      <c r="I662" s="5">
        <f>+$C662*BH662</f>
        <v>0</v>
      </c>
      <c r="J662" s="5">
        <f>+$C662*BI662</f>
        <v>0</v>
      </c>
      <c r="K662" s="5">
        <f>+$C662*BJ662</f>
        <v>0</v>
      </c>
      <c r="L662" s="5">
        <f>+$C662*BK662</f>
        <v>0</v>
      </c>
      <c r="M662" s="5">
        <f>+$C662*BL662</f>
        <v>0</v>
      </c>
      <c r="N662" s="5">
        <f>+$C662*BM662</f>
        <v>0</v>
      </c>
      <c r="O662" s="5">
        <f>+$C662*BN662</f>
        <v>0</v>
      </c>
      <c r="P662" s="5">
        <v>0</v>
      </c>
      <c r="Q662" s="5">
        <f>+$P662*BC662</f>
        <v>0</v>
      </c>
      <c r="R662" s="5">
        <f>+$P662*BD662</f>
        <v>0</v>
      </c>
      <c r="S662" s="5">
        <f>+$P662*BE662</f>
        <v>0</v>
      </c>
      <c r="T662" s="5">
        <f>+$P662*BF662</f>
        <v>0</v>
      </c>
      <c r="U662" s="5">
        <f>+$P662*BG662</f>
        <v>0</v>
      </c>
      <c r="V662" s="5">
        <f>+$P662*BH662</f>
        <v>0</v>
      </c>
      <c r="W662" s="5">
        <f>+$P662*BI662</f>
        <v>0</v>
      </c>
      <c r="X662" s="5">
        <f>+$P662*BJ662</f>
        <v>0</v>
      </c>
      <c r="Y662" s="5">
        <f>+$P662*BK662</f>
        <v>0</v>
      </c>
      <c r="Z662" s="5">
        <f>+$P662*BL662</f>
        <v>0</v>
      </c>
      <c r="AA662" s="5">
        <f>+$P662*BM662</f>
        <v>0</v>
      </c>
      <c r="AB662" s="5">
        <f>+$P662*BN662</f>
        <v>0</v>
      </c>
      <c r="AC662" s="5">
        <v>0</v>
      </c>
      <c r="AD662" s="5">
        <f>+$AC662*BC662</f>
        <v>0</v>
      </c>
      <c r="AE662" s="5">
        <f>+$AC662*BD662</f>
        <v>0</v>
      </c>
      <c r="AF662" s="5">
        <f>+$AC662*BE662</f>
        <v>0</v>
      </c>
      <c r="AG662" s="5">
        <f>+$AC662*BF662</f>
        <v>0</v>
      </c>
      <c r="AH662" s="5">
        <f>+$AC662*BG662</f>
        <v>0</v>
      </c>
      <c r="AI662" s="5">
        <f>+$AC662*BH662</f>
        <v>0</v>
      </c>
      <c r="AJ662" s="5">
        <f>+$AC662*BI662</f>
        <v>0</v>
      </c>
      <c r="AK662" s="5">
        <f>+$AC662*BJ662</f>
        <v>0</v>
      </c>
      <c r="AL662" s="5">
        <f>+$AC662*BK662</f>
        <v>0</v>
      </c>
      <c r="AM662" s="5">
        <f>+$AC662*BL662</f>
        <v>0</v>
      </c>
      <c r="AN662" s="5">
        <f>+$AC662*BM662</f>
        <v>0</v>
      </c>
      <c r="AO662" s="5">
        <f>+$AC662*BN662</f>
        <v>0</v>
      </c>
      <c r="AP662" s="5">
        <f>+AC662+P662+C662</f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2">
        <v>8.9181565948742242E-2</v>
      </c>
      <c r="BD662" s="2">
        <v>0.10665277883445198</v>
      </c>
      <c r="BE662" s="2">
        <v>9.438849084854764E-2</v>
      </c>
      <c r="BF662" s="2">
        <v>7.149564986855049E-2</v>
      </c>
      <c r="BG662" s="2">
        <v>0.10368571810536763</v>
      </c>
      <c r="BH662" s="2">
        <v>8.4970330952544637E-2</v>
      </c>
      <c r="BI662" s="2">
        <v>8.4593878877262704E-2</v>
      </c>
      <c r="BJ662" s="2">
        <v>5.7447105462779965E-2</v>
      </c>
      <c r="BK662" s="2">
        <v>8.5153852345557474E-2</v>
      </c>
      <c r="BL662" s="2">
        <v>7.4158058913035174E-2</v>
      </c>
      <c r="BM662" s="2">
        <v>7.5718189192107169E-2</v>
      </c>
      <c r="BN662" s="2">
        <v>7.3955559365675619E-2</v>
      </c>
    </row>
    <row r="663" spans="1:66" x14ac:dyDescent="0.25">
      <c r="A663" s="8">
        <v>4404</v>
      </c>
      <c r="B663" s="8" t="s">
        <v>333</v>
      </c>
      <c r="C663" s="5">
        <v>0</v>
      </c>
      <c r="D663" s="5">
        <f>+$C663*BC663</f>
        <v>0</v>
      </c>
      <c r="E663" s="5">
        <f>+$C663*BD663</f>
        <v>0</v>
      </c>
      <c r="F663" s="5">
        <f>+$C663*BE663</f>
        <v>0</v>
      </c>
      <c r="G663" s="5">
        <f>+$C663*BF663</f>
        <v>0</v>
      </c>
      <c r="H663" s="5">
        <f>+$C663*BG663</f>
        <v>0</v>
      </c>
      <c r="I663" s="5">
        <f>+$C663*BH663</f>
        <v>0</v>
      </c>
      <c r="J663" s="5">
        <f>+$C663*BI663</f>
        <v>0</v>
      </c>
      <c r="K663" s="5">
        <f>+$C663*BJ663</f>
        <v>0</v>
      </c>
      <c r="L663" s="5">
        <f>+$C663*BK663</f>
        <v>0</v>
      </c>
      <c r="M663" s="5">
        <f>+$C663*BL663</f>
        <v>0</v>
      </c>
      <c r="N663" s="5">
        <f>+$C663*BM663</f>
        <v>0</v>
      </c>
      <c r="O663" s="5">
        <f>+$C663*BN663</f>
        <v>0</v>
      </c>
      <c r="P663" s="5">
        <v>4000</v>
      </c>
      <c r="Q663" s="5">
        <f>+$P663*BC663</f>
        <v>356.72626379496899</v>
      </c>
      <c r="R663" s="5">
        <f>+$P663*BD663</f>
        <v>426.61111533780792</v>
      </c>
      <c r="S663" s="5">
        <f>+$P663*BE663</f>
        <v>377.55396339419059</v>
      </c>
      <c r="T663" s="5">
        <f>+$P663*BF663</f>
        <v>285.98259947420195</v>
      </c>
      <c r="U663" s="5">
        <f>+$P663*BG663</f>
        <v>414.74287242147051</v>
      </c>
      <c r="V663" s="5">
        <f>+$P663*BH663</f>
        <v>339.88132381017857</v>
      </c>
      <c r="W663" s="5">
        <f>+$P663*BI663</f>
        <v>338.37551550905084</v>
      </c>
      <c r="X663" s="5">
        <f>+$P663*BJ663</f>
        <v>229.78842185111986</v>
      </c>
      <c r="Y663" s="5">
        <f>+$P663*BK663</f>
        <v>340.61540938222987</v>
      </c>
      <c r="Z663" s="5">
        <f>+$P663*BL663</f>
        <v>296.63223565214071</v>
      </c>
      <c r="AA663" s="5">
        <f>+$P663*BM663</f>
        <v>302.8727567684287</v>
      </c>
      <c r="AB663" s="5">
        <f>+$P663*BN663</f>
        <v>295.8222374627025</v>
      </c>
      <c r="AC663" s="5">
        <v>0</v>
      </c>
      <c r="AD663" s="5">
        <f>+$AC663*BC663</f>
        <v>0</v>
      </c>
      <c r="AE663" s="5">
        <f>+$AC663*BD663</f>
        <v>0</v>
      </c>
      <c r="AF663" s="5">
        <f>+$AC663*BE663</f>
        <v>0</v>
      </c>
      <c r="AG663" s="5">
        <f>+$AC663*BF663</f>
        <v>0</v>
      </c>
      <c r="AH663" s="5">
        <f>+$AC663*BG663</f>
        <v>0</v>
      </c>
      <c r="AI663" s="5">
        <f>+$AC663*BH663</f>
        <v>0</v>
      </c>
      <c r="AJ663" s="5">
        <f>+$AC663*BI663</f>
        <v>0</v>
      </c>
      <c r="AK663" s="5">
        <f>+$AC663*BJ663</f>
        <v>0</v>
      </c>
      <c r="AL663" s="5">
        <f>+$AC663*BK663</f>
        <v>0</v>
      </c>
      <c r="AM663" s="5">
        <f>+$AC663*BL663</f>
        <v>0</v>
      </c>
      <c r="AN663" s="5">
        <f>+$AC663*BM663</f>
        <v>0</v>
      </c>
      <c r="AO663" s="5">
        <f>+$AC663*BN663</f>
        <v>0</v>
      </c>
      <c r="AP663" s="5">
        <f>+AC663+P663+C663</f>
        <v>4000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2">
        <v>8.9181565948742242E-2</v>
      </c>
      <c r="BD663" s="2">
        <v>0.10665277883445198</v>
      </c>
      <c r="BE663" s="2">
        <v>9.438849084854764E-2</v>
      </c>
      <c r="BF663" s="2">
        <v>7.149564986855049E-2</v>
      </c>
      <c r="BG663" s="2">
        <v>0.10368571810536763</v>
      </c>
      <c r="BH663" s="2">
        <v>8.4970330952544637E-2</v>
      </c>
      <c r="BI663" s="2">
        <v>8.4593878877262704E-2</v>
      </c>
      <c r="BJ663" s="2">
        <v>5.7447105462779965E-2</v>
      </c>
      <c r="BK663" s="2">
        <v>8.5153852345557474E-2</v>
      </c>
      <c r="BL663" s="2">
        <v>7.4158058913035174E-2</v>
      </c>
      <c r="BM663" s="2">
        <v>7.5718189192107169E-2</v>
      </c>
      <c r="BN663" s="2">
        <v>7.3955559365675619E-2</v>
      </c>
    </row>
    <row r="664" spans="1:66" x14ac:dyDescent="0.25">
      <c r="A664" s="8">
        <v>4418</v>
      </c>
      <c r="B664" s="8" t="s">
        <v>332</v>
      </c>
      <c r="C664" s="5">
        <v>0</v>
      </c>
      <c r="D664" s="5">
        <f>+$C664*BC664</f>
        <v>0</v>
      </c>
      <c r="E664" s="5">
        <f>+$C664*BD664</f>
        <v>0</v>
      </c>
      <c r="F664" s="5">
        <f>+$C664*BE664</f>
        <v>0</v>
      </c>
      <c r="G664" s="5">
        <f>+$C664*BF664</f>
        <v>0</v>
      </c>
      <c r="H664" s="5">
        <f>+$C664*BG664</f>
        <v>0</v>
      </c>
      <c r="I664" s="5">
        <f>+$C664*BH664</f>
        <v>0</v>
      </c>
      <c r="J664" s="5">
        <f>+$C664*BI664</f>
        <v>0</v>
      </c>
      <c r="K664" s="5">
        <f>+$C664*BJ664</f>
        <v>0</v>
      </c>
      <c r="L664" s="5">
        <f>+$C664*BK664</f>
        <v>0</v>
      </c>
      <c r="M664" s="5">
        <f>+$C664*BL664</f>
        <v>0</v>
      </c>
      <c r="N664" s="5">
        <f>+$C664*BM664</f>
        <v>0</v>
      </c>
      <c r="O664" s="5">
        <f>+$C664*BN664</f>
        <v>0</v>
      </c>
      <c r="P664" s="5">
        <v>0</v>
      </c>
      <c r="Q664" s="5">
        <f>+$P664*BC664</f>
        <v>0</v>
      </c>
      <c r="R664" s="5">
        <f>+$P664*BD664</f>
        <v>0</v>
      </c>
      <c r="S664" s="5">
        <f>+$P664*BE664</f>
        <v>0</v>
      </c>
      <c r="T664" s="5">
        <f>+$P664*BF664</f>
        <v>0</v>
      </c>
      <c r="U664" s="5">
        <f>+$P664*BG664</f>
        <v>0</v>
      </c>
      <c r="V664" s="5">
        <f>+$P664*BH664</f>
        <v>0</v>
      </c>
      <c r="W664" s="5">
        <f>+$P664*BI664</f>
        <v>0</v>
      </c>
      <c r="X664" s="5">
        <f>+$P664*BJ664</f>
        <v>0</v>
      </c>
      <c r="Y664" s="5">
        <f>+$P664*BK664</f>
        <v>0</v>
      </c>
      <c r="Z664" s="5">
        <f>+$P664*BL664</f>
        <v>0</v>
      </c>
      <c r="AA664" s="5">
        <f>+$P664*BM664</f>
        <v>0</v>
      </c>
      <c r="AB664" s="5">
        <f>+$P664*BN664</f>
        <v>0</v>
      </c>
      <c r="AC664" s="5">
        <v>0</v>
      </c>
      <c r="AD664" s="5">
        <f>+$AC664*BC664</f>
        <v>0</v>
      </c>
      <c r="AE664" s="5">
        <f>+$AC664*BD664</f>
        <v>0</v>
      </c>
      <c r="AF664" s="5">
        <f>+$AC664*BE664</f>
        <v>0</v>
      </c>
      <c r="AG664" s="5">
        <f>+$AC664*BF664</f>
        <v>0</v>
      </c>
      <c r="AH664" s="5">
        <f>+$AC664*BG664</f>
        <v>0</v>
      </c>
      <c r="AI664" s="5">
        <f>+$AC664*BH664</f>
        <v>0</v>
      </c>
      <c r="AJ664" s="5">
        <f>+$AC664*BI664</f>
        <v>0</v>
      </c>
      <c r="AK664" s="5">
        <f>+$AC664*BJ664</f>
        <v>0</v>
      </c>
      <c r="AL664" s="5">
        <f>+$AC664*BK664</f>
        <v>0</v>
      </c>
      <c r="AM664" s="5">
        <f>+$AC664*BL664</f>
        <v>0</v>
      </c>
      <c r="AN664" s="5">
        <f>+$AC664*BM664</f>
        <v>0</v>
      </c>
      <c r="AO664" s="5">
        <f>+$AC664*BN664</f>
        <v>0</v>
      </c>
      <c r="AP664" s="5">
        <f>+AC664+P664+C664</f>
        <v>0</v>
      </c>
      <c r="AQ664" s="1">
        <v>170.89069766820535</v>
      </c>
      <c r="AR664" s="1">
        <v>204.3692279831441</v>
      </c>
      <c r="AS664" s="1">
        <v>180.86826443738636</v>
      </c>
      <c r="AT664" s="1">
        <v>137.00075073026503</v>
      </c>
      <c r="AU664" s="1">
        <v>198.68371357640464</v>
      </c>
      <c r="AV664" s="1">
        <v>162.82108284490653</v>
      </c>
      <c r="AW664" s="1">
        <v>162.09972123727846</v>
      </c>
      <c r="AX664" s="1">
        <v>110.08077540593908</v>
      </c>
      <c r="AY664" s="1">
        <v>163.17274855693304</v>
      </c>
      <c r="AZ664" s="1">
        <v>142.10248822780605</v>
      </c>
      <c r="BA664" s="1">
        <v>145.0920270299969</v>
      </c>
      <c r="BB664" s="1">
        <v>141.71445636766066</v>
      </c>
      <c r="BC664" s="2">
        <v>8.9181565948742242E-2</v>
      </c>
      <c r="BD664" s="2">
        <v>0.10665277883445198</v>
      </c>
      <c r="BE664" s="2">
        <v>9.438849084854764E-2</v>
      </c>
      <c r="BF664" s="2">
        <v>7.149564986855049E-2</v>
      </c>
      <c r="BG664" s="2">
        <v>0.10368571810536763</v>
      </c>
      <c r="BH664" s="2">
        <v>8.4970330952544637E-2</v>
      </c>
      <c r="BI664" s="2">
        <v>8.4593878877262704E-2</v>
      </c>
      <c r="BJ664" s="2">
        <v>5.7447105462779965E-2</v>
      </c>
      <c r="BK664" s="2">
        <v>8.5153852345557474E-2</v>
      </c>
      <c r="BL664" s="2">
        <v>7.4158058913035174E-2</v>
      </c>
      <c r="BM664" s="2">
        <v>7.5718189192107169E-2</v>
      </c>
      <c r="BN664" s="2">
        <v>7.3955559365675619E-2</v>
      </c>
    </row>
    <row r="665" spans="1:66" x14ac:dyDescent="0.25">
      <c r="A665" s="8">
        <v>4424</v>
      </c>
      <c r="B665" s="8" t="s">
        <v>331</v>
      </c>
      <c r="C665" s="5">
        <v>0</v>
      </c>
      <c r="D665" s="5">
        <f>+$C665*BC665</f>
        <v>0</v>
      </c>
      <c r="E665" s="5">
        <f>+$C665*BD665</f>
        <v>0</v>
      </c>
      <c r="F665" s="5">
        <f>+$C665*BE665</f>
        <v>0</v>
      </c>
      <c r="G665" s="5">
        <f>+$C665*BF665</f>
        <v>0</v>
      </c>
      <c r="H665" s="5">
        <f>+$C665*BG665</f>
        <v>0</v>
      </c>
      <c r="I665" s="5">
        <f>+$C665*BH665</f>
        <v>0</v>
      </c>
      <c r="J665" s="5">
        <f>+$C665*BI665</f>
        <v>0</v>
      </c>
      <c r="K665" s="5">
        <f>+$C665*BJ665</f>
        <v>0</v>
      </c>
      <c r="L665" s="5">
        <f>+$C665*BK665</f>
        <v>0</v>
      </c>
      <c r="M665" s="5">
        <f>+$C665*BL665</f>
        <v>0</v>
      </c>
      <c r="N665" s="5">
        <f>+$C665*BM665</f>
        <v>0</v>
      </c>
      <c r="O665" s="5">
        <f>+$C665*BN665</f>
        <v>0</v>
      </c>
      <c r="P665" s="5">
        <v>500</v>
      </c>
      <c r="Q665" s="5">
        <f>+$P665*BC665</f>
        <v>44.590782974371123</v>
      </c>
      <c r="R665" s="5">
        <f>+$P665*BD665</f>
        <v>53.32638941722599</v>
      </c>
      <c r="S665" s="5">
        <f>+$P665*BE665</f>
        <v>47.194245424273824</v>
      </c>
      <c r="T665" s="5">
        <f>+$P665*BF665</f>
        <v>35.747824934275243</v>
      </c>
      <c r="U665" s="5">
        <f>+$P665*BG665</f>
        <v>51.842859052683814</v>
      </c>
      <c r="V665" s="5">
        <f>+$P665*BH665</f>
        <v>42.485165476272321</v>
      </c>
      <c r="W665" s="5">
        <f>+$P665*BI665</f>
        <v>42.296939438631355</v>
      </c>
      <c r="X665" s="5">
        <f>+$P665*BJ665</f>
        <v>28.723552731389983</v>
      </c>
      <c r="Y665" s="5">
        <f>+$P665*BK665</f>
        <v>42.576926172778734</v>
      </c>
      <c r="Z665" s="5">
        <f>+$P665*BL665</f>
        <v>37.079029456517588</v>
      </c>
      <c r="AA665" s="5">
        <f>+$P665*BM665</f>
        <v>37.859094596053588</v>
      </c>
      <c r="AB665" s="5">
        <f>+$P665*BN665</f>
        <v>36.977779682837813</v>
      </c>
      <c r="AC665" s="5">
        <v>0</v>
      </c>
      <c r="AD665" s="5">
        <f>+$AC665*BC665</f>
        <v>0</v>
      </c>
      <c r="AE665" s="5">
        <f>+$AC665*BD665</f>
        <v>0</v>
      </c>
      <c r="AF665" s="5">
        <f>+$AC665*BE665</f>
        <v>0</v>
      </c>
      <c r="AG665" s="5">
        <f>+$AC665*BF665</f>
        <v>0</v>
      </c>
      <c r="AH665" s="5">
        <f>+$AC665*BG665</f>
        <v>0</v>
      </c>
      <c r="AI665" s="5">
        <f>+$AC665*BH665</f>
        <v>0</v>
      </c>
      <c r="AJ665" s="5">
        <f>+$AC665*BI665</f>
        <v>0</v>
      </c>
      <c r="AK665" s="5">
        <f>+$AC665*BJ665</f>
        <v>0</v>
      </c>
      <c r="AL665" s="5">
        <f>+$AC665*BK665</f>
        <v>0</v>
      </c>
      <c r="AM665" s="5">
        <f>+$AC665*BL665</f>
        <v>0</v>
      </c>
      <c r="AN665" s="5">
        <f>+$AC665*BM665</f>
        <v>0</v>
      </c>
      <c r="AO665" s="5">
        <f>+$AC665*BN665</f>
        <v>0</v>
      </c>
      <c r="AP665" s="5">
        <f>+AC665+P665+C665</f>
        <v>500</v>
      </c>
      <c r="AQ665" s="1">
        <v>6.5972063410582082</v>
      </c>
      <c r="AR665" s="1">
        <v>7.8896393142785861</v>
      </c>
      <c r="AS665" s="1">
        <v>6.9823886105213129</v>
      </c>
      <c r="AT665" s="1">
        <v>5.2888906990260232</v>
      </c>
      <c r="AU665" s="1">
        <v>7.6701509968445709</v>
      </c>
      <c r="AV665" s="1">
        <v>6.2856802322144905</v>
      </c>
      <c r="AW665" s="1">
        <v>6.2578321899455096</v>
      </c>
      <c r="AX665" s="1">
        <v>4.2496496266091484</v>
      </c>
      <c r="AY665" s="1">
        <v>6.2992562272626147</v>
      </c>
      <c r="AZ665" s="1">
        <v>5.485842408091778</v>
      </c>
      <c r="BA665" s="1">
        <v>5.6012530454861285</v>
      </c>
      <c r="BB665" s="1">
        <v>5.4708625040758543</v>
      </c>
      <c r="BC665" s="2">
        <v>8.9181565948742242E-2</v>
      </c>
      <c r="BD665" s="2">
        <v>0.10665277883445198</v>
      </c>
      <c r="BE665" s="2">
        <v>9.438849084854764E-2</v>
      </c>
      <c r="BF665" s="2">
        <v>7.149564986855049E-2</v>
      </c>
      <c r="BG665" s="2">
        <v>0.10368571810536763</v>
      </c>
      <c r="BH665" s="2">
        <v>8.4970330952544637E-2</v>
      </c>
      <c r="BI665" s="2">
        <v>8.4593878877262704E-2</v>
      </c>
      <c r="BJ665" s="2">
        <v>5.7447105462779965E-2</v>
      </c>
      <c r="BK665" s="2">
        <v>8.5153852345557474E-2</v>
      </c>
      <c r="BL665" s="2">
        <v>7.4158058913035174E-2</v>
      </c>
      <c r="BM665" s="2">
        <v>7.5718189192107169E-2</v>
      </c>
      <c r="BN665" s="2">
        <v>7.3955559365675619E-2</v>
      </c>
    </row>
    <row r="666" spans="1:66" x14ac:dyDescent="0.25">
      <c r="A666" s="8">
        <v>4485</v>
      </c>
      <c r="B666" s="8" t="s">
        <v>330</v>
      </c>
      <c r="C666" s="5">
        <v>0</v>
      </c>
      <c r="D666" s="5">
        <f>+$C666*BC666</f>
        <v>0</v>
      </c>
      <c r="E666" s="5">
        <f>+$C666*BD666</f>
        <v>0</v>
      </c>
      <c r="F666" s="5">
        <f>+$C666*BE666</f>
        <v>0</v>
      </c>
      <c r="G666" s="5">
        <f>+$C666*BF666</f>
        <v>0</v>
      </c>
      <c r="H666" s="5">
        <f>+$C666*BG666</f>
        <v>0</v>
      </c>
      <c r="I666" s="5">
        <f>+$C666*BH666</f>
        <v>0</v>
      </c>
      <c r="J666" s="5">
        <f>+$C666*BI666</f>
        <v>0</v>
      </c>
      <c r="K666" s="5">
        <f>+$C666*BJ666</f>
        <v>0</v>
      </c>
      <c r="L666" s="5">
        <f>+$C666*BK666</f>
        <v>0</v>
      </c>
      <c r="M666" s="5">
        <f>+$C666*BL666</f>
        <v>0</v>
      </c>
      <c r="N666" s="5">
        <f>+$C666*BM666</f>
        <v>0</v>
      </c>
      <c r="O666" s="5">
        <f>+$C666*BN666</f>
        <v>0</v>
      </c>
      <c r="P666" s="5">
        <v>0</v>
      </c>
      <c r="Q666" s="5">
        <f>+$P666*BC666</f>
        <v>0</v>
      </c>
      <c r="R666" s="5">
        <f>+$P666*BD666</f>
        <v>0</v>
      </c>
      <c r="S666" s="5">
        <f>+$P666*BE666</f>
        <v>0</v>
      </c>
      <c r="T666" s="5">
        <f>+$P666*BF666</f>
        <v>0</v>
      </c>
      <c r="U666" s="5">
        <f>+$P666*BG666</f>
        <v>0</v>
      </c>
      <c r="V666" s="5">
        <f>+$P666*BH666</f>
        <v>0</v>
      </c>
      <c r="W666" s="5">
        <f>+$P666*BI666</f>
        <v>0</v>
      </c>
      <c r="X666" s="5">
        <f>+$P666*BJ666</f>
        <v>0</v>
      </c>
      <c r="Y666" s="5">
        <f>+$P666*BK666</f>
        <v>0</v>
      </c>
      <c r="Z666" s="5">
        <f>+$P666*BL666</f>
        <v>0</v>
      </c>
      <c r="AA666" s="5">
        <f>+$P666*BM666</f>
        <v>0</v>
      </c>
      <c r="AB666" s="5">
        <f>+$P666*BN666</f>
        <v>0</v>
      </c>
      <c r="AC666" s="5">
        <v>0</v>
      </c>
      <c r="AD666" s="5">
        <f>+$AC666*BC666</f>
        <v>0</v>
      </c>
      <c r="AE666" s="5">
        <f>+$AC666*BD666</f>
        <v>0</v>
      </c>
      <c r="AF666" s="5">
        <f>+$AC666*BE666</f>
        <v>0</v>
      </c>
      <c r="AG666" s="5">
        <f>+$AC666*BF666</f>
        <v>0</v>
      </c>
      <c r="AH666" s="5">
        <f>+$AC666*BG666</f>
        <v>0</v>
      </c>
      <c r="AI666" s="5">
        <f>+$AC666*BH666</f>
        <v>0</v>
      </c>
      <c r="AJ666" s="5">
        <f>+$AC666*BI666</f>
        <v>0</v>
      </c>
      <c r="AK666" s="5">
        <f>+$AC666*BJ666</f>
        <v>0</v>
      </c>
      <c r="AL666" s="5">
        <f>+$AC666*BK666</f>
        <v>0</v>
      </c>
      <c r="AM666" s="5">
        <f>+$AC666*BL666</f>
        <v>0</v>
      </c>
      <c r="AN666" s="5">
        <f>+$AC666*BM666</f>
        <v>0</v>
      </c>
      <c r="AO666" s="5">
        <f>+$AC666*BN666</f>
        <v>0</v>
      </c>
      <c r="AP666" s="5">
        <f>+AC666+P666+C666</f>
        <v>0</v>
      </c>
      <c r="AQ666" s="1">
        <v>5.2973850173552897E-2</v>
      </c>
      <c r="AR666" s="1">
        <v>6.3351750627664488E-2</v>
      </c>
      <c r="AS666" s="1">
        <v>5.6066763564037309E-2</v>
      </c>
      <c r="AT666" s="1">
        <v>4.2468416021918996E-2</v>
      </c>
      <c r="AU666" s="1">
        <v>6.158931655458838E-2</v>
      </c>
      <c r="AV666" s="1">
        <v>5.0472376585811524E-2</v>
      </c>
      <c r="AW666" s="1">
        <v>5.0248764053094051E-2</v>
      </c>
      <c r="AX666" s="1">
        <v>3.4123580644891308E-2</v>
      </c>
      <c r="AY666" s="1">
        <v>5.0581388293261149E-2</v>
      </c>
      <c r="AZ666" s="1">
        <v>4.4049886994342903E-2</v>
      </c>
      <c r="BA666" s="1">
        <v>4.4976604380111668E-2</v>
      </c>
      <c r="BB666" s="1">
        <v>4.3929602263211326E-2</v>
      </c>
      <c r="BC666" s="2">
        <v>8.9181565948742242E-2</v>
      </c>
      <c r="BD666" s="2">
        <v>0.10665277883445198</v>
      </c>
      <c r="BE666" s="2">
        <v>9.438849084854764E-2</v>
      </c>
      <c r="BF666" s="2">
        <v>7.149564986855049E-2</v>
      </c>
      <c r="BG666" s="2">
        <v>0.10368571810536763</v>
      </c>
      <c r="BH666" s="2">
        <v>8.4970330952544637E-2</v>
      </c>
      <c r="BI666" s="2">
        <v>8.4593878877262704E-2</v>
      </c>
      <c r="BJ666" s="2">
        <v>5.7447105462779965E-2</v>
      </c>
      <c r="BK666" s="2">
        <v>8.5153852345557474E-2</v>
      </c>
      <c r="BL666" s="2">
        <v>7.4158058913035174E-2</v>
      </c>
      <c r="BM666" s="2">
        <v>7.5718189192107169E-2</v>
      </c>
      <c r="BN666" s="2">
        <v>7.3955559365675619E-2</v>
      </c>
    </row>
    <row r="667" spans="1:66" x14ac:dyDescent="0.25">
      <c r="A667" s="8">
        <v>4493</v>
      </c>
      <c r="B667" s="8" t="s">
        <v>329</v>
      </c>
      <c r="C667" s="5">
        <v>0</v>
      </c>
      <c r="D667" s="5">
        <f>+$C667*BC667</f>
        <v>0</v>
      </c>
      <c r="E667" s="5">
        <f>+$C667*BD667</f>
        <v>0</v>
      </c>
      <c r="F667" s="5">
        <f>+$C667*BE667</f>
        <v>0</v>
      </c>
      <c r="G667" s="5">
        <f>+$C667*BF667</f>
        <v>0</v>
      </c>
      <c r="H667" s="5">
        <f>+$C667*BG667</f>
        <v>0</v>
      </c>
      <c r="I667" s="5">
        <f>+$C667*BH667</f>
        <v>0</v>
      </c>
      <c r="J667" s="5">
        <f>+$C667*BI667</f>
        <v>0</v>
      </c>
      <c r="K667" s="5">
        <f>+$C667*BJ667</f>
        <v>0</v>
      </c>
      <c r="L667" s="5">
        <f>+$C667*BK667</f>
        <v>0</v>
      </c>
      <c r="M667" s="5">
        <f>+$C667*BL667</f>
        <v>0</v>
      </c>
      <c r="N667" s="5">
        <f>+$C667*BM667</f>
        <v>0</v>
      </c>
      <c r="O667" s="5">
        <f>+$C667*BN667</f>
        <v>0</v>
      </c>
      <c r="P667" s="5">
        <v>0</v>
      </c>
      <c r="Q667" s="5">
        <f>+$P667*BC667</f>
        <v>0</v>
      </c>
      <c r="R667" s="5">
        <f>+$P667*BD667</f>
        <v>0</v>
      </c>
      <c r="S667" s="5">
        <f>+$P667*BE667</f>
        <v>0</v>
      </c>
      <c r="T667" s="5">
        <f>+$P667*BF667</f>
        <v>0</v>
      </c>
      <c r="U667" s="5">
        <f>+$P667*BG667</f>
        <v>0</v>
      </c>
      <c r="V667" s="5">
        <f>+$P667*BH667</f>
        <v>0</v>
      </c>
      <c r="W667" s="5">
        <f>+$P667*BI667</f>
        <v>0</v>
      </c>
      <c r="X667" s="5">
        <f>+$P667*BJ667</f>
        <v>0</v>
      </c>
      <c r="Y667" s="5">
        <f>+$P667*BK667</f>
        <v>0</v>
      </c>
      <c r="Z667" s="5">
        <f>+$P667*BL667</f>
        <v>0</v>
      </c>
      <c r="AA667" s="5">
        <f>+$P667*BM667</f>
        <v>0</v>
      </c>
      <c r="AB667" s="5">
        <f>+$P667*BN667</f>
        <v>0</v>
      </c>
      <c r="AC667" s="5">
        <v>0</v>
      </c>
      <c r="AD667" s="5">
        <f>+$AC667*BC667</f>
        <v>0</v>
      </c>
      <c r="AE667" s="5">
        <f>+$AC667*BD667</f>
        <v>0</v>
      </c>
      <c r="AF667" s="5">
        <f>+$AC667*BE667</f>
        <v>0</v>
      </c>
      <c r="AG667" s="5">
        <f>+$AC667*BF667</f>
        <v>0</v>
      </c>
      <c r="AH667" s="5">
        <f>+$AC667*BG667</f>
        <v>0</v>
      </c>
      <c r="AI667" s="5">
        <f>+$AC667*BH667</f>
        <v>0</v>
      </c>
      <c r="AJ667" s="5">
        <f>+$AC667*BI667</f>
        <v>0</v>
      </c>
      <c r="AK667" s="5">
        <f>+$AC667*BJ667</f>
        <v>0</v>
      </c>
      <c r="AL667" s="5">
        <f>+$AC667*BK667</f>
        <v>0</v>
      </c>
      <c r="AM667" s="5">
        <f>+$AC667*BL667</f>
        <v>0</v>
      </c>
      <c r="AN667" s="5">
        <f>+$AC667*BM667</f>
        <v>0</v>
      </c>
      <c r="AO667" s="5">
        <f>+$AC667*BN667</f>
        <v>0</v>
      </c>
      <c r="AP667" s="5">
        <f>+AC667+P667+C667</f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2">
        <v>8.9181565948742242E-2</v>
      </c>
      <c r="BD667" s="2">
        <v>0.10665277883445198</v>
      </c>
      <c r="BE667" s="2">
        <v>9.438849084854764E-2</v>
      </c>
      <c r="BF667" s="2">
        <v>7.149564986855049E-2</v>
      </c>
      <c r="BG667" s="2">
        <v>0.10368571810536763</v>
      </c>
      <c r="BH667" s="2">
        <v>8.4970330952544637E-2</v>
      </c>
      <c r="BI667" s="2">
        <v>8.4593878877262704E-2</v>
      </c>
      <c r="BJ667" s="2">
        <v>5.7447105462779965E-2</v>
      </c>
      <c r="BK667" s="2">
        <v>8.5153852345557474E-2</v>
      </c>
      <c r="BL667" s="2">
        <v>7.4158058913035174E-2</v>
      </c>
      <c r="BM667" s="2">
        <v>7.5718189192107169E-2</v>
      </c>
      <c r="BN667" s="2">
        <v>7.3955559365675619E-2</v>
      </c>
    </row>
    <row r="668" spans="1:66" x14ac:dyDescent="0.25">
      <c r="A668" s="8">
        <v>4506</v>
      </c>
      <c r="B668" s="8" t="s">
        <v>328</v>
      </c>
      <c r="C668" s="5">
        <v>0</v>
      </c>
      <c r="D668" s="5">
        <f>+$C668*BC668</f>
        <v>0</v>
      </c>
      <c r="E668" s="5">
        <f>+$C668*BD668</f>
        <v>0</v>
      </c>
      <c r="F668" s="5">
        <f>+$C668*BE668</f>
        <v>0</v>
      </c>
      <c r="G668" s="5">
        <f>+$C668*BF668</f>
        <v>0</v>
      </c>
      <c r="H668" s="5">
        <f>+$C668*BG668</f>
        <v>0</v>
      </c>
      <c r="I668" s="5">
        <f>+$C668*BH668</f>
        <v>0</v>
      </c>
      <c r="J668" s="5">
        <f>+$C668*BI668</f>
        <v>0</v>
      </c>
      <c r="K668" s="5">
        <f>+$C668*BJ668</f>
        <v>0</v>
      </c>
      <c r="L668" s="5">
        <f>+$C668*BK668</f>
        <v>0</v>
      </c>
      <c r="M668" s="5">
        <f>+$C668*BL668</f>
        <v>0</v>
      </c>
      <c r="N668" s="5">
        <f>+$C668*BM668</f>
        <v>0</v>
      </c>
      <c r="O668" s="5">
        <f>+$C668*BN668</f>
        <v>0</v>
      </c>
      <c r="P668" s="5">
        <v>0</v>
      </c>
      <c r="Q668" s="5">
        <f>+$P668*BC668</f>
        <v>0</v>
      </c>
      <c r="R668" s="5">
        <f>+$P668*BD668</f>
        <v>0</v>
      </c>
      <c r="S668" s="5">
        <f>+$P668*BE668</f>
        <v>0</v>
      </c>
      <c r="T668" s="5">
        <f>+$P668*BF668</f>
        <v>0</v>
      </c>
      <c r="U668" s="5">
        <f>+$P668*BG668</f>
        <v>0</v>
      </c>
      <c r="V668" s="5">
        <f>+$P668*BH668</f>
        <v>0</v>
      </c>
      <c r="W668" s="5">
        <f>+$P668*BI668</f>
        <v>0</v>
      </c>
      <c r="X668" s="5">
        <f>+$P668*BJ668</f>
        <v>0</v>
      </c>
      <c r="Y668" s="5">
        <f>+$P668*BK668</f>
        <v>0</v>
      </c>
      <c r="Z668" s="5">
        <f>+$P668*BL668</f>
        <v>0</v>
      </c>
      <c r="AA668" s="5">
        <f>+$P668*BM668</f>
        <v>0</v>
      </c>
      <c r="AB668" s="5">
        <f>+$P668*BN668</f>
        <v>0</v>
      </c>
      <c r="AC668" s="5">
        <v>0</v>
      </c>
      <c r="AD668" s="5">
        <f>+$AC668*BC668</f>
        <v>0</v>
      </c>
      <c r="AE668" s="5">
        <f>+$AC668*BD668</f>
        <v>0</v>
      </c>
      <c r="AF668" s="5">
        <f>+$AC668*BE668</f>
        <v>0</v>
      </c>
      <c r="AG668" s="5">
        <f>+$AC668*BF668</f>
        <v>0</v>
      </c>
      <c r="AH668" s="5">
        <f>+$AC668*BG668</f>
        <v>0</v>
      </c>
      <c r="AI668" s="5">
        <f>+$AC668*BH668</f>
        <v>0</v>
      </c>
      <c r="AJ668" s="5">
        <f>+$AC668*BI668</f>
        <v>0</v>
      </c>
      <c r="AK668" s="5">
        <f>+$AC668*BJ668</f>
        <v>0</v>
      </c>
      <c r="AL668" s="5">
        <f>+$AC668*BK668</f>
        <v>0</v>
      </c>
      <c r="AM668" s="5">
        <f>+$AC668*BL668</f>
        <v>0</v>
      </c>
      <c r="AN668" s="5">
        <f>+$AC668*BM668</f>
        <v>0</v>
      </c>
      <c r="AO668" s="5">
        <f>+$AC668*BN668</f>
        <v>0</v>
      </c>
      <c r="AP668" s="5">
        <f>+AC668+P668+C668</f>
        <v>0</v>
      </c>
      <c r="AQ668" s="1">
        <v>13.243462543388222</v>
      </c>
      <c r="AR668" s="1">
        <v>15.83793765691612</v>
      </c>
      <c r="AS668" s="1">
        <v>14.016690891009324</v>
      </c>
      <c r="AT668" s="1">
        <v>10.617104005479748</v>
      </c>
      <c r="AU668" s="1">
        <v>15.397329138647093</v>
      </c>
      <c r="AV668" s="1">
        <v>12.618094146452879</v>
      </c>
      <c r="AW668" s="1">
        <v>12.562191013273512</v>
      </c>
      <c r="AX668" s="1">
        <v>8.5308951612228245</v>
      </c>
      <c r="AY668" s="1">
        <v>12.645347073315286</v>
      </c>
      <c r="AZ668" s="1">
        <v>11.012471748585723</v>
      </c>
      <c r="BA668" s="1">
        <v>11.244151095027915</v>
      </c>
      <c r="BB668" s="1">
        <v>10.982400565802829</v>
      </c>
      <c r="BC668" s="2">
        <v>8.9181565948742242E-2</v>
      </c>
      <c r="BD668" s="2">
        <v>0.10665277883445198</v>
      </c>
      <c r="BE668" s="2">
        <v>9.438849084854764E-2</v>
      </c>
      <c r="BF668" s="2">
        <v>7.149564986855049E-2</v>
      </c>
      <c r="BG668" s="2">
        <v>0.10368571810536763</v>
      </c>
      <c r="BH668" s="2">
        <v>8.4970330952544637E-2</v>
      </c>
      <c r="BI668" s="2">
        <v>8.4593878877262704E-2</v>
      </c>
      <c r="BJ668" s="2">
        <v>5.7447105462779965E-2</v>
      </c>
      <c r="BK668" s="2">
        <v>8.5153852345557474E-2</v>
      </c>
      <c r="BL668" s="2">
        <v>7.4158058913035174E-2</v>
      </c>
      <c r="BM668" s="2">
        <v>7.5718189192107169E-2</v>
      </c>
      <c r="BN668" s="2">
        <v>7.3955559365675619E-2</v>
      </c>
    </row>
    <row r="669" spans="1:66" x14ac:dyDescent="0.25">
      <c r="A669" s="8">
        <v>4513</v>
      </c>
      <c r="B669" s="8" t="s">
        <v>327</v>
      </c>
      <c r="C669" s="5">
        <v>0</v>
      </c>
      <c r="D669" s="5">
        <f>+$C669*BC669</f>
        <v>0</v>
      </c>
      <c r="E669" s="5">
        <f>+$C669*BD669</f>
        <v>0</v>
      </c>
      <c r="F669" s="5">
        <f>+$C669*BE669</f>
        <v>0</v>
      </c>
      <c r="G669" s="5">
        <f>+$C669*BF669</f>
        <v>0</v>
      </c>
      <c r="H669" s="5">
        <f>+$C669*BG669</f>
        <v>0</v>
      </c>
      <c r="I669" s="5">
        <f>+$C669*BH669</f>
        <v>0</v>
      </c>
      <c r="J669" s="5">
        <f>+$C669*BI669</f>
        <v>0</v>
      </c>
      <c r="K669" s="5">
        <f>+$C669*BJ669</f>
        <v>0</v>
      </c>
      <c r="L669" s="5">
        <f>+$C669*BK669</f>
        <v>0</v>
      </c>
      <c r="M669" s="5">
        <f>+$C669*BL669</f>
        <v>0</v>
      </c>
      <c r="N669" s="5">
        <f>+$C669*BM669</f>
        <v>0</v>
      </c>
      <c r="O669" s="5">
        <f>+$C669*BN669</f>
        <v>0</v>
      </c>
      <c r="P669" s="5">
        <v>0</v>
      </c>
      <c r="Q669" s="5">
        <f>+$P669*BC669</f>
        <v>0</v>
      </c>
      <c r="R669" s="5">
        <f>+$P669*BD669</f>
        <v>0</v>
      </c>
      <c r="S669" s="5">
        <f>+$P669*BE669</f>
        <v>0</v>
      </c>
      <c r="T669" s="5">
        <f>+$P669*BF669</f>
        <v>0</v>
      </c>
      <c r="U669" s="5">
        <f>+$P669*BG669</f>
        <v>0</v>
      </c>
      <c r="V669" s="5">
        <f>+$P669*BH669</f>
        <v>0</v>
      </c>
      <c r="W669" s="5">
        <f>+$P669*BI669</f>
        <v>0</v>
      </c>
      <c r="X669" s="5">
        <f>+$P669*BJ669</f>
        <v>0</v>
      </c>
      <c r="Y669" s="5">
        <f>+$P669*BK669</f>
        <v>0</v>
      </c>
      <c r="Z669" s="5">
        <f>+$P669*BL669</f>
        <v>0</v>
      </c>
      <c r="AA669" s="5">
        <f>+$P669*BM669</f>
        <v>0</v>
      </c>
      <c r="AB669" s="5">
        <f>+$P669*BN669</f>
        <v>0</v>
      </c>
      <c r="AC669" s="5">
        <v>0</v>
      </c>
      <c r="AD669" s="5">
        <f>+$AC669*BC669</f>
        <v>0</v>
      </c>
      <c r="AE669" s="5">
        <f>+$AC669*BD669</f>
        <v>0</v>
      </c>
      <c r="AF669" s="5">
        <f>+$AC669*BE669</f>
        <v>0</v>
      </c>
      <c r="AG669" s="5">
        <f>+$AC669*BF669</f>
        <v>0</v>
      </c>
      <c r="AH669" s="5">
        <f>+$AC669*BG669</f>
        <v>0</v>
      </c>
      <c r="AI669" s="5">
        <f>+$AC669*BH669</f>
        <v>0</v>
      </c>
      <c r="AJ669" s="5">
        <f>+$AC669*BI669</f>
        <v>0</v>
      </c>
      <c r="AK669" s="5">
        <f>+$AC669*BJ669</f>
        <v>0</v>
      </c>
      <c r="AL669" s="5">
        <f>+$AC669*BK669</f>
        <v>0</v>
      </c>
      <c r="AM669" s="5">
        <f>+$AC669*BL669</f>
        <v>0</v>
      </c>
      <c r="AN669" s="5">
        <f>+$AC669*BM669</f>
        <v>0</v>
      </c>
      <c r="AO669" s="5">
        <f>+$AC669*BN669</f>
        <v>0</v>
      </c>
      <c r="AP669" s="5">
        <f>+AC669+P669+C669</f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2">
        <v>8.9181565948742242E-2</v>
      </c>
      <c r="BD669" s="2">
        <v>0.10665277883445198</v>
      </c>
      <c r="BE669" s="2">
        <v>9.438849084854764E-2</v>
      </c>
      <c r="BF669" s="2">
        <v>7.149564986855049E-2</v>
      </c>
      <c r="BG669" s="2">
        <v>0.10368571810536763</v>
      </c>
      <c r="BH669" s="2">
        <v>8.4970330952544637E-2</v>
      </c>
      <c r="BI669" s="2">
        <v>8.4593878877262704E-2</v>
      </c>
      <c r="BJ669" s="2">
        <v>5.7447105462779965E-2</v>
      </c>
      <c r="BK669" s="2">
        <v>8.5153852345557474E-2</v>
      </c>
      <c r="BL669" s="2">
        <v>7.4158058913035174E-2</v>
      </c>
      <c r="BM669" s="2">
        <v>7.5718189192107169E-2</v>
      </c>
      <c r="BN669" s="2">
        <v>7.3955559365675619E-2</v>
      </c>
    </row>
    <row r="670" spans="1:66" x14ac:dyDescent="0.25">
      <c r="A670" s="8">
        <v>4534</v>
      </c>
      <c r="B670" s="8" t="s">
        <v>326</v>
      </c>
      <c r="C670" s="5">
        <v>500</v>
      </c>
      <c r="D670" s="5">
        <f>+$C670*BC670</f>
        <v>44.590782974371123</v>
      </c>
      <c r="E670" s="5">
        <f>+$C670*BD670</f>
        <v>53.32638941722599</v>
      </c>
      <c r="F670" s="5">
        <f>+$C670*BE670</f>
        <v>47.194245424273824</v>
      </c>
      <c r="G670" s="5">
        <f>+$C670*BF670</f>
        <v>35.747824934275243</v>
      </c>
      <c r="H670" s="5">
        <f>+$C670*BG670</f>
        <v>51.842859052683814</v>
      </c>
      <c r="I670" s="5">
        <f>+$C670*BH670</f>
        <v>42.485165476272321</v>
      </c>
      <c r="J670" s="5">
        <f>+$C670*BI670</f>
        <v>42.296939438631355</v>
      </c>
      <c r="K670" s="5">
        <f>+$C670*BJ670</f>
        <v>28.723552731389983</v>
      </c>
      <c r="L670" s="5">
        <f>+$C670*BK670</f>
        <v>42.576926172778734</v>
      </c>
      <c r="M670" s="5">
        <f>+$C670*BL670</f>
        <v>37.079029456517588</v>
      </c>
      <c r="N670" s="5">
        <f>+$C670*BM670</f>
        <v>37.859094596053588</v>
      </c>
      <c r="O670" s="5">
        <f>+$C670*BN670</f>
        <v>36.977779682837813</v>
      </c>
      <c r="P670" s="5">
        <v>0</v>
      </c>
      <c r="Q670" s="5">
        <f>+$P670*BC670</f>
        <v>0</v>
      </c>
      <c r="R670" s="5">
        <f>+$P670*BD670</f>
        <v>0</v>
      </c>
      <c r="S670" s="5">
        <f>+$P670*BE670</f>
        <v>0</v>
      </c>
      <c r="T670" s="5">
        <f>+$P670*BF670</f>
        <v>0</v>
      </c>
      <c r="U670" s="5">
        <f>+$P670*BG670</f>
        <v>0</v>
      </c>
      <c r="V670" s="5">
        <f>+$P670*BH670</f>
        <v>0</v>
      </c>
      <c r="W670" s="5">
        <f>+$P670*BI670</f>
        <v>0</v>
      </c>
      <c r="X670" s="5">
        <f>+$P670*BJ670</f>
        <v>0</v>
      </c>
      <c r="Y670" s="5">
        <f>+$P670*BK670</f>
        <v>0</v>
      </c>
      <c r="Z670" s="5">
        <f>+$P670*BL670</f>
        <v>0</v>
      </c>
      <c r="AA670" s="5">
        <f>+$P670*BM670</f>
        <v>0</v>
      </c>
      <c r="AB670" s="5">
        <f>+$P670*BN670</f>
        <v>0</v>
      </c>
      <c r="AC670" s="5">
        <v>0</v>
      </c>
      <c r="AD670" s="5">
        <f>+$AC670*BC670</f>
        <v>0</v>
      </c>
      <c r="AE670" s="5">
        <f>+$AC670*BD670</f>
        <v>0</v>
      </c>
      <c r="AF670" s="5">
        <f>+$AC670*BE670</f>
        <v>0</v>
      </c>
      <c r="AG670" s="5">
        <f>+$AC670*BF670</f>
        <v>0</v>
      </c>
      <c r="AH670" s="5">
        <f>+$AC670*BG670</f>
        <v>0</v>
      </c>
      <c r="AI670" s="5">
        <f>+$AC670*BH670</f>
        <v>0</v>
      </c>
      <c r="AJ670" s="5">
        <f>+$AC670*BI670</f>
        <v>0</v>
      </c>
      <c r="AK670" s="5">
        <f>+$AC670*BJ670</f>
        <v>0</v>
      </c>
      <c r="AL670" s="5">
        <f>+$AC670*BK670</f>
        <v>0</v>
      </c>
      <c r="AM670" s="5">
        <f>+$AC670*BL670</f>
        <v>0</v>
      </c>
      <c r="AN670" s="5">
        <f>+$AC670*BM670</f>
        <v>0</v>
      </c>
      <c r="AO670" s="5">
        <f>+$AC670*BN670</f>
        <v>0</v>
      </c>
      <c r="AP670" s="5">
        <f>+AC670+P670+C670</f>
        <v>500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2">
        <v>8.9181565948742242E-2</v>
      </c>
      <c r="BD670" s="2">
        <v>0.10665277883445198</v>
      </c>
      <c r="BE670" s="2">
        <v>9.438849084854764E-2</v>
      </c>
      <c r="BF670" s="2">
        <v>7.149564986855049E-2</v>
      </c>
      <c r="BG670" s="2">
        <v>0.10368571810536763</v>
      </c>
      <c r="BH670" s="2">
        <v>8.4970330952544637E-2</v>
      </c>
      <c r="BI670" s="2">
        <v>8.4593878877262704E-2</v>
      </c>
      <c r="BJ670" s="2">
        <v>5.7447105462779965E-2</v>
      </c>
      <c r="BK670" s="2">
        <v>8.5153852345557474E-2</v>
      </c>
      <c r="BL670" s="2">
        <v>7.4158058913035174E-2</v>
      </c>
      <c r="BM670" s="2">
        <v>7.5718189192107169E-2</v>
      </c>
      <c r="BN670" s="2">
        <v>7.3955559365675619E-2</v>
      </c>
    </row>
    <row r="671" spans="1:66" x14ac:dyDescent="0.25">
      <c r="A671" s="8">
        <v>4545</v>
      </c>
      <c r="B671" s="8" t="s">
        <v>325</v>
      </c>
      <c r="C671" s="5">
        <v>0</v>
      </c>
      <c r="D671" s="5">
        <f>+$C671*BC671</f>
        <v>0</v>
      </c>
      <c r="E671" s="5">
        <f>+$C671*BD671</f>
        <v>0</v>
      </c>
      <c r="F671" s="5">
        <f>+$C671*BE671</f>
        <v>0</v>
      </c>
      <c r="G671" s="5">
        <f>+$C671*BF671</f>
        <v>0</v>
      </c>
      <c r="H671" s="5">
        <f>+$C671*BG671</f>
        <v>0</v>
      </c>
      <c r="I671" s="5">
        <f>+$C671*BH671</f>
        <v>0</v>
      </c>
      <c r="J671" s="5">
        <f>+$C671*BI671</f>
        <v>0</v>
      </c>
      <c r="K671" s="5">
        <f>+$C671*BJ671</f>
        <v>0</v>
      </c>
      <c r="L671" s="5">
        <f>+$C671*BK671</f>
        <v>0</v>
      </c>
      <c r="M671" s="5">
        <f>+$C671*BL671</f>
        <v>0</v>
      </c>
      <c r="N671" s="5">
        <f>+$C671*BM671</f>
        <v>0</v>
      </c>
      <c r="O671" s="5">
        <f>+$C671*BN671</f>
        <v>0</v>
      </c>
      <c r="P671" s="5">
        <v>2500</v>
      </c>
      <c r="Q671" s="5">
        <f>+$P671*BC671</f>
        <v>222.9539148718556</v>
      </c>
      <c r="R671" s="5">
        <f>+$P671*BD671</f>
        <v>266.63194708612997</v>
      </c>
      <c r="S671" s="5">
        <f>+$P671*BE671</f>
        <v>235.97122712136911</v>
      </c>
      <c r="T671" s="5">
        <f>+$P671*BF671</f>
        <v>178.73912467137623</v>
      </c>
      <c r="U671" s="5">
        <f>+$P671*BG671</f>
        <v>259.21429526341905</v>
      </c>
      <c r="V671" s="5">
        <f>+$P671*BH671</f>
        <v>212.42582738136159</v>
      </c>
      <c r="W671" s="5">
        <f>+$P671*BI671</f>
        <v>211.48469719315676</v>
      </c>
      <c r="X671" s="5">
        <f>+$P671*BJ671</f>
        <v>143.6177636569499</v>
      </c>
      <c r="Y671" s="5">
        <f>+$P671*BK671</f>
        <v>212.88463086389368</v>
      </c>
      <c r="Z671" s="5">
        <f>+$P671*BL671</f>
        <v>185.39514728258794</v>
      </c>
      <c r="AA671" s="5">
        <f>+$P671*BM671</f>
        <v>189.29547298026793</v>
      </c>
      <c r="AB671" s="5">
        <f>+$P671*BN671</f>
        <v>184.88889841418904</v>
      </c>
      <c r="AC671" s="5">
        <v>0</v>
      </c>
      <c r="AD671" s="5">
        <f>+$AC671*BC671</f>
        <v>0</v>
      </c>
      <c r="AE671" s="5">
        <f>+$AC671*BD671</f>
        <v>0</v>
      </c>
      <c r="AF671" s="5">
        <f>+$AC671*BE671</f>
        <v>0</v>
      </c>
      <c r="AG671" s="5">
        <f>+$AC671*BF671</f>
        <v>0</v>
      </c>
      <c r="AH671" s="5">
        <f>+$AC671*BG671</f>
        <v>0</v>
      </c>
      <c r="AI671" s="5">
        <f>+$AC671*BH671</f>
        <v>0</v>
      </c>
      <c r="AJ671" s="5">
        <f>+$AC671*BI671</f>
        <v>0</v>
      </c>
      <c r="AK671" s="5">
        <f>+$AC671*BJ671</f>
        <v>0</v>
      </c>
      <c r="AL671" s="5">
        <f>+$AC671*BK671</f>
        <v>0</v>
      </c>
      <c r="AM671" s="5">
        <f>+$AC671*BL671</f>
        <v>0</v>
      </c>
      <c r="AN671" s="5">
        <f>+$AC671*BM671</f>
        <v>0</v>
      </c>
      <c r="AO671" s="5">
        <f>+$AC671*BN671</f>
        <v>0</v>
      </c>
      <c r="AP671" s="5">
        <f>+AC671+P671+C671</f>
        <v>2500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2">
        <v>8.9181565948742242E-2</v>
      </c>
      <c r="BD671" s="2">
        <v>0.10665277883445198</v>
      </c>
      <c r="BE671" s="2">
        <v>9.438849084854764E-2</v>
      </c>
      <c r="BF671" s="2">
        <v>7.149564986855049E-2</v>
      </c>
      <c r="BG671" s="2">
        <v>0.10368571810536763</v>
      </c>
      <c r="BH671" s="2">
        <v>8.4970330952544637E-2</v>
      </c>
      <c r="BI671" s="2">
        <v>8.4593878877262704E-2</v>
      </c>
      <c r="BJ671" s="2">
        <v>5.7447105462779965E-2</v>
      </c>
      <c r="BK671" s="2">
        <v>8.5153852345557474E-2</v>
      </c>
      <c r="BL671" s="2">
        <v>7.4158058913035174E-2</v>
      </c>
      <c r="BM671" s="2">
        <v>7.5718189192107169E-2</v>
      </c>
      <c r="BN671" s="2">
        <v>7.3955559365675619E-2</v>
      </c>
    </row>
    <row r="672" spans="1:66" x14ac:dyDescent="0.25">
      <c r="A672" s="8">
        <v>4553</v>
      </c>
      <c r="B672" s="8" t="s">
        <v>324</v>
      </c>
      <c r="C672" s="5">
        <v>0</v>
      </c>
      <c r="D672" s="5">
        <f>+$C672*BC672</f>
        <v>0</v>
      </c>
      <c r="E672" s="5">
        <f>+$C672*BD672</f>
        <v>0</v>
      </c>
      <c r="F672" s="5">
        <f>+$C672*BE672</f>
        <v>0</v>
      </c>
      <c r="G672" s="5">
        <f>+$C672*BF672</f>
        <v>0</v>
      </c>
      <c r="H672" s="5">
        <f>+$C672*BG672</f>
        <v>0</v>
      </c>
      <c r="I672" s="5">
        <f>+$C672*BH672</f>
        <v>0</v>
      </c>
      <c r="J672" s="5">
        <f>+$C672*BI672</f>
        <v>0</v>
      </c>
      <c r="K672" s="5">
        <f>+$C672*BJ672</f>
        <v>0</v>
      </c>
      <c r="L672" s="5">
        <f>+$C672*BK672</f>
        <v>0</v>
      </c>
      <c r="M672" s="5">
        <f>+$C672*BL672</f>
        <v>0</v>
      </c>
      <c r="N672" s="5">
        <f>+$C672*BM672</f>
        <v>0</v>
      </c>
      <c r="O672" s="5">
        <f>+$C672*BN672</f>
        <v>0</v>
      </c>
      <c r="P672" s="5">
        <v>0</v>
      </c>
      <c r="Q672" s="5">
        <f>+$P672*BC672</f>
        <v>0</v>
      </c>
      <c r="R672" s="5">
        <f>+$P672*BD672</f>
        <v>0</v>
      </c>
      <c r="S672" s="5">
        <f>+$P672*BE672</f>
        <v>0</v>
      </c>
      <c r="T672" s="5">
        <f>+$P672*BF672</f>
        <v>0</v>
      </c>
      <c r="U672" s="5">
        <f>+$P672*BG672</f>
        <v>0</v>
      </c>
      <c r="V672" s="5">
        <f>+$P672*BH672</f>
        <v>0</v>
      </c>
      <c r="W672" s="5">
        <f>+$P672*BI672</f>
        <v>0</v>
      </c>
      <c r="X672" s="5">
        <f>+$P672*BJ672</f>
        <v>0</v>
      </c>
      <c r="Y672" s="5">
        <f>+$P672*BK672</f>
        <v>0</v>
      </c>
      <c r="Z672" s="5">
        <f>+$P672*BL672</f>
        <v>0</v>
      </c>
      <c r="AA672" s="5">
        <f>+$P672*BM672</f>
        <v>0</v>
      </c>
      <c r="AB672" s="5">
        <f>+$P672*BN672</f>
        <v>0</v>
      </c>
      <c r="AC672" s="5">
        <v>0</v>
      </c>
      <c r="AD672" s="5">
        <f>+$AC672*BC672</f>
        <v>0</v>
      </c>
      <c r="AE672" s="5">
        <f>+$AC672*BD672</f>
        <v>0</v>
      </c>
      <c r="AF672" s="5">
        <f>+$AC672*BE672</f>
        <v>0</v>
      </c>
      <c r="AG672" s="5">
        <f>+$AC672*BF672</f>
        <v>0</v>
      </c>
      <c r="AH672" s="5">
        <f>+$AC672*BG672</f>
        <v>0</v>
      </c>
      <c r="AI672" s="5">
        <f>+$AC672*BH672</f>
        <v>0</v>
      </c>
      <c r="AJ672" s="5">
        <f>+$AC672*BI672</f>
        <v>0</v>
      </c>
      <c r="AK672" s="5">
        <f>+$AC672*BJ672</f>
        <v>0</v>
      </c>
      <c r="AL672" s="5">
        <f>+$AC672*BK672</f>
        <v>0</v>
      </c>
      <c r="AM672" s="5">
        <f>+$AC672*BL672</f>
        <v>0</v>
      </c>
      <c r="AN672" s="5">
        <f>+$AC672*BM672</f>
        <v>0</v>
      </c>
      <c r="AO672" s="5">
        <f>+$AC672*BN672</f>
        <v>0</v>
      </c>
      <c r="AP672" s="5">
        <f>+AC672+P672+C672</f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2">
        <v>8.9181565948742242E-2</v>
      </c>
      <c r="BD672" s="2">
        <v>0.10665277883445198</v>
      </c>
      <c r="BE672" s="2">
        <v>9.438849084854764E-2</v>
      </c>
      <c r="BF672" s="2">
        <v>7.149564986855049E-2</v>
      </c>
      <c r="BG672" s="2">
        <v>0.10368571810536763</v>
      </c>
      <c r="BH672" s="2">
        <v>8.4970330952544637E-2</v>
      </c>
      <c r="BI672" s="2">
        <v>8.4593878877262704E-2</v>
      </c>
      <c r="BJ672" s="2">
        <v>5.7447105462779965E-2</v>
      </c>
      <c r="BK672" s="2">
        <v>8.5153852345557474E-2</v>
      </c>
      <c r="BL672" s="2">
        <v>7.4158058913035174E-2</v>
      </c>
      <c r="BM672" s="2">
        <v>7.5718189192107169E-2</v>
      </c>
      <c r="BN672" s="2">
        <v>7.3955559365675619E-2</v>
      </c>
    </row>
    <row r="673" spans="1:66" x14ac:dyDescent="0.25">
      <c r="A673" s="8">
        <v>4573</v>
      </c>
      <c r="B673" s="8" t="s">
        <v>323</v>
      </c>
      <c r="C673" s="5">
        <v>0</v>
      </c>
      <c r="D673" s="5">
        <f>+$C673*BC673</f>
        <v>0</v>
      </c>
      <c r="E673" s="5">
        <f>+$C673*BD673</f>
        <v>0</v>
      </c>
      <c r="F673" s="5">
        <f>+$C673*BE673</f>
        <v>0</v>
      </c>
      <c r="G673" s="5">
        <f>+$C673*BF673</f>
        <v>0</v>
      </c>
      <c r="H673" s="5">
        <f>+$C673*BG673</f>
        <v>0</v>
      </c>
      <c r="I673" s="5">
        <f>+$C673*BH673</f>
        <v>0</v>
      </c>
      <c r="J673" s="5">
        <f>+$C673*BI673</f>
        <v>0</v>
      </c>
      <c r="K673" s="5">
        <f>+$C673*BJ673</f>
        <v>0</v>
      </c>
      <c r="L673" s="5">
        <f>+$C673*BK673</f>
        <v>0</v>
      </c>
      <c r="M673" s="5">
        <f>+$C673*BL673</f>
        <v>0</v>
      </c>
      <c r="N673" s="5">
        <f>+$C673*BM673</f>
        <v>0</v>
      </c>
      <c r="O673" s="5">
        <f>+$C673*BN673</f>
        <v>0</v>
      </c>
      <c r="P673" s="5">
        <v>0</v>
      </c>
      <c r="Q673" s="5">
        <f>+$P673*BC673</f>
        <v>0</v>
      </c>
      <c r="R673" s="5">
        <f>+$P673*BD673</f>
        <v>0</v>
      </c>
      <c r="S673" s="5">
        <f>+$P673*BE673</f>
        <v>0</v>
      </c>
      <c r="T673" s="5">
        <f>+$P673*BF673</f>
        <v>0</v>
      </c>
      <c r="U673" s="5">
        <f>+$P673*BG673</f>
        <v>0</v>
      </c>
      <c r="V673" s="5">
        <f>+$P673*BH673</f>
        <v>0</v>
      </c>
      <c r="W673" s="5">
        <f>+$P673*BI673</f>
        <v>0</v>
      </c>
      <c r="X673" s="5">
        <f>+$P673*BJ673</f>
        <v>0</v>
      </c>
      <c r="Y673" s="5">
        <f>+$P673*BK673</f>
        <v>0</v>
      </c>
      <c r="Z673" s="5">
        <f>+$P673*BL673</f>
        <v>0</v>
      </c>
      <c r="AA673" s="5">
        <f>+$P673*BM673</f>
        <v>0</v>
      </c>
      <c r="AB673" s="5">
        <f>+$P673*BN673</f>
        <v>0</v>
      </c>
      <c r="AC673" s="5">
        <v>0</v>
      </c>
      <c r="AD673" s="5">
        <f>+$AC673*BC673</f>
        <v>0</v>
      </c>
      <c r="AE673" s="5">
        <f>+$AC673*BD673</f>
        <v>0</v>
      </c>
      <c r="AF673" s="5">
        <f>+$AC673*BE673</f>
        <v>0</v>
      </c>
      <c r="AG673" s="5">
        <f>+$AC673*BF673</f>
        <v>0</v>
      </c>
      <c r="AH673" s="5">
        <f>+$AC673*BG673</f>
        <v>0</v>
      </c>
      <c r="AI673" s="5">
        <f>+$AC673*BH673</f>
        <v>0</v>
      </c>
      <c r="AJ673" s="5">
        <f>+$AC673*BI673</f>
        <v>0</v>
      </c>
      <c r="AK673" s="5">
        <f>+$AC673*BJ673</f>
        <v>0</v>
      </c>
      <c r="AL673" s="5">
        <f>+$AC673*BK673</f>
        <v>0</v>
      </c>
      <c r="AM673" s="5">
        <f>+$AC673*BL673</f>
        <v>0</v>
      </c>
      <c r="AN673" s="5">
        <f>+$AC673*BM673</f>
        <v>0</v>
      </c>
      <c r="AO673" s="5">
        <f>+$AC673*BN673</f>
        <v>0</v>
      </c>
      <c r="AP673" s="5">
        <f>+AC673+P673+C673</f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2">
        <v>8.9181565948742242E-2</v>
      </c>
      <c r="BD673" s="2">
        <v>0.10665277883445198</v>
      </c>
      <c r="BE673" s="2">
        <v>9.438849084854764E-2</v>
      </c>
      <c r="BF673" s="2">
        <v>7.149564986855049E-2</v>
      </c>
      <c r="BG673" s="2">
        <v>0.10368571810536763</v>
      </c>
      <c r="BH673" s="2">
        <v>8.4970330952544637E-2</v>
      </c>
      <c r="BI673" s="2">
        <v>8.4593878877262704E-2</v>
      </c>
      <c r="BJ673" s="2">
        <v>5.7447105462779965E-2</v>
      </c>
      <c r="BK673" s="2">
        <v>8.5153852345557474E-2</v>
      </c>
      <c r="BL673" s="2">
        <v>7.4158058913035174E-2</v>
      </c>
      <c r="BM673" s="2">
        <v>7.5718189192107169E-2</v>
      </c>
      <c r="BN673" s="2">
        <v>7.3955559365675619E-2</v>
      </c>
    </row>
    <row r="674" spans="1:66" x14ac:dyDescent="0.25">
      <c r="A674" s="8">
        <v>4574</v>
      </c>
      <c r="B674" s="8" t="s">
        <v>322</v>
      </c>
      <c r="C674" s="5">
        <v>0</v>
      </c>
      <c r="D674" s="5">
        <f>+$C674*BC674</f>
        <v>0</v>
      </c>
      <c r="E674" s="5">
        <f>+$C674*BD674</f>
        <v>0</v>
      </c>
      <c r="F674" s="5">
        <f>+$C674*BE674</f>
        <v>0</v>
      </c>
      <c r="G674" s="5">
        <f>+$C674*BF674</f>
        <v>0</v>
      </c>
      <c r="H674" s="5">
        <f>+$C674*BG674</f>
        <v>0</v>
      </c>
      <c r="I674" s="5">
        <f>+$C674*BH674</f>
        <v>0</v>
      </c>
      <c r="J674" s="5">
        <f>+$C674*BI674</f>
        <v>0</v>
      </c>
      <c r="K674" s="5">
        <f>+$C674*BJ674</f>
        <v>0</v>
      </c>
      <c r="L674" s="5">
        <f>+$C674*BK674</f>
        <v>0</v>
      </c>
      <c r="M674" s="5">
        <f>+$C674*BL674</f>
        <v>0</v>
      </c>
      <c r="N674" s="5">
        <f>+$C674*BM674</f>
        <v>0</v>
      </c>
      <c r="O674" s="5">
        <f>+$C674*BN674</f>
        <v>0</v>
      </c>
      <c r="P674" s="5">
        <v>0</v>
      </c>
      <c r="Q674" s="5">
        <f>+$P674*BC674</f>
        <v>0</v>
      </c>
      <c r="R674" s="5">
        <f>+$P674*BD674</f>
        <v>0</v>
      </c>
      <c r="S674" s="5">
        <f>+$P674*BE674</f>
        <v>0</v>
      </c>
      <c r="T674" s="5">
        <f>+$P674*BF674</f>
        <v>0</v>
      </c>
      <c r="U674" s="5">
        <f>+$P674*BG674</f>
        <v>0</v>
      </c>
      <c r="V674" s="5">
        <f>+$P674*BH674</f>
        <v>0</v>
      </c>
      <c r="W674" s="5">
        <f>+$P674*BI674</f>
        <v>0</v>
      </c>
      <c r="X674" s="5">
        <f>+$P674*BJ674</f>
        <v>0</v>
      </c>
      <c r="Y674" s="5">
        <f>+$P674*BK674</f>
        <v>0</v>
      </c>
      <c r="Z674" s="5">
        <f>+$P674*BL674</f>
        <v>0</v>
      </c>
      <c r="AA674" s="5">
        <f>+$P674*BM674</f>
        <v>0</v>
      </c>
      <c r="AB674" s="5">
        <f>+$P674*BN674</f>
        <v>0</v>
      </c>
      <c r="AC674" s="5">
        <v>0</v>
      </c>
      <c r="AD674" s="5">
        <f>+$AC674*BC674</f>
        <v>0</v>
      </c>
      <c r="AE674" s="5">
        <f>+$AC674*BD674</f>
        <v>0</v>
      </c>
      <c r="AF674" s="5">
        <f>+$AC674*BE674</f>
        <v>0</v>
      </c>
      <c r="AG674" s="5">
        <f>+$AC674*BF674</f>
        <v>0</v>
      </c>
      <c r="AH674" s="5">
        <f>+$AC674*BG674</f>
        <v>0</v>
      </c>
      <c r="AI674" s="5">
        <f>+$AC674*BH674</f>
        <v>0</v>
      </c>
      <c r="AJ674" s="5">
        <f>+$AC674*BI674</f>
        <v>0</v>
      </c>
      <c r="AK674" s="5">
        <f>+$AC674*BJ674</f>
        <v>0</v>
      </c>
      <c r="AL674" s="5">
        <f>+$AC674*BK674</f>
        <v>0</v>
      </c>
      <c r="AM674" s="5">
        <f>+$AC674*BL674</f>
        <v>0</v>
      </c>
      <c r="AN674" s="5">
        <f>+$AC674*BM674</f>
        <v>0</v>
      </c>
      <c r="AO674" s="5">
        <f>+$AC674*BN674</f>
        <v>0</v>
      </c>
      <c r="AP674" s="5">
        <f>+AC674+P674+C674</f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2">
        <v>8.9181565948742242E-2</v>
      </c>
      <c r="BD674" s="2">
        <v>0.10665277883445198</v>
      </c>
      <c r="BE674" s="2">
        <v>9.438849084854764E-2</v>
      </c>
      <c r="BF674" s="2">
        <v>7.149564986855049E-2</v>
      </c>
      <c r="BG674" s="2">
        <v>0.10368571810536763</v>
      </c>
      <c r="BH674" s="2">
        <v>8.4970330952544637E-2</v>
      </c>
      <c r="BI674" s="2">
        <v>8.4593878877262704E-2</v>
      </c>
      <c r="BJ674" s="2">
        <v>5.7447105462779965E-2</v>
      </c>
      <c r="BK674" s="2">
        <v>8.5153852345557474E-2</v>
      </c>
      <c r="BL674" s="2">
        <v>7.4158058913035174E-2</v>
      </c>
      <c r="BM674" s="2">
        <v>7.5718189192107169E-2</v>
      </c>
      <c r="BN674" s="2">
        <v>7.3955559365675619E-2</v>
      </c>
    </row>
    <row r="675" spans="1:66" x14ac:dyDescent="0.25">
      <c r="A675" s="8">
        <v>4618</v>
      </c>
      <c r="B675" s="8" t="s">
        <v>321</v>
      </c>
      <c r="C675" s="5">
        <v>0</v>
      </c>
      <c r="D675" s="5">
        <f>+$C675*BC675</f>
        <v>0</v>
      </c>
      <c r="E675" s="5">
        <f>+$C675*BD675</f>
        <v>0</v>
      </c>
      <c r="F675" s="5">
        <f>+$C675*BE675</f>
        <v>0</v>
      </c>
      <c r="G675" s="5">
        <f>+$C675*BF675</f>
        <v>0</v>
      </c>
      <c r="H675" s="5">
        <f>+$C675*BG675</f>
        <v>0</v>
      </c>
      <c r="I675" s="5">
        <f>+$C675*BH675</f>
        <v>0</v>
      </c>
      <c r="J675" s="5">
        <f>+$C675*BI675</f>
        <v>0</v>
      </c>
      <c r="K675" s="5">
        <f>+$C675*BJ675</f>
        <v>0</v>
      </c>
      <c r="L675" s="5">
        <f>+$C675*BK675</f>
        <v>0</v>
      </c>
      <c r="M675" s="5">
        <f>+$C675*BL675</f>
        <v>0</v>
      </c>
      <c r="N675" s="5">
        <f>+$C675*BM675</f>
        <v>0</v>
      </c>
      <c r="O675" s="5">
        <f>+$C675*BN675</f>
        <v>0</v>
      </c>
      <c r="P675" s="5">
        <v>0</v>
      </c>
      <c r="Q675" s="5">
        <f>+$P675*BC675</f>
        <v>0</v>
      </c>
      <c r="R675" s="5">
        <f>+$P675*BD675</f>
        <v>0</v>
      </c>
      <c r="S675" s="5">
        <f>+$P675*BE675</f>
        <v>0</v>
      </c>
      <c r="T675" s="5">
        <f>+$P675*BF675</f>
        <v>0</v>
      </c>
      <c r="U675" s="5">
        <f>+$P675*BG675</f>
        <v>0</v>
      </c>
      <c r="V675" s="5">
        <f>+$P675*BH675</f>
        <v>0</v>
      </c>
      <c r="W675" s="5">
        <f>+$P675*BI675</f>
        <v>0</v>
      </c>
      <c r="X675" s="5">
        <f>+$P675*BJ675</f>
        <v>0</v>
      </c>
      <c r="Y675" s="5">
        <f>+$P675*BK675</f>
        <v>0</v>
      </c>
      <c r="Z675" s="5">
        <f>+$P675*BL675</f>
        <v>0</v>
      </c>
      <c r="AA675" s="5">
        <f>+$P675*BM675</f>
        <v>0</v>
      </c>
      <c r="AB675" s="5">
        <f>+$P675*BN675</f>
        <v>0</v>
      </c>
      <c r="AC675" s="5">
        <v>0</v>
      </c>
      <c r="AD675" s="5">
        <f>+$AC675*BC675</f>
        <v>0</v>
      </c>
      <c r="AE675" s="5">
        <f>+$AC675*BD675</f>
        <v>0</v>
      </c>
      <c r="AF675" s="5">
        <f>+$AC675*BE675</f>
        <v>0</v>
      </c>
      <c r="AG675" s="5">
        <f>+$AC675*BF675</f>
        <v>0</v>
      </c>
      <c r="AH675" s="5">
        <f>+$AC675*BG675</f>
        <v>0</v>
      </c>
      <c r="AI675" s="5">
        <f>+$AC675*BH675</f>
        <v>0</v>
      </c>
      <c r="AJ675" s="5">
        <f>+$AC675*BI675</f>
        <v>0</v>
      </c>
      <c r="AK675" s="5">
        <f>+$AC675*BJ675</f>
        <v>0</v>
      </c>
      <c r="AL675" s="5">
        <f>+$AC675*BK675</f>
        <v>0</v>
      </c>
      <c r="AM675" s="5">
        <f>+$AC675*BL675</f>
        <v>0</v>
      </c>
      <c r="AN675" s="5">
        <f>+$AC675*BM675</f>
        <v>0</v>
      </c>
      <c r="AO675" s="5">
        <f>+$AC675*BN675</f>
        <v>0</v>
      </c>
      <c r="AP675" s="5">
        <f>+AC675+P675+C675</f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2">
        <v>8.9181565948742242E-2</v>
      </c>
      <c r="BD675" s="2">
        <v>0.10665277883445198</v>
      </c>
      <c r="BE675" s="2">
        <v>9.438849084854764E-2</v>
      </c>
      <c r="BF675" s="2">
        <v>7.149564986855049E-2</v>
      </c>
      <c r="BG675" s="2">
        <v>0.10368571810536763</v>
      </c>
      <c r="BH675" s="2">
        <v>8.4970330952544637E-2</v>
      </c>
      <c r="BI675" s="2">
        <v>8.4593878877262704E-2</v>
      </c>
      <c r="BJ675" s="2">
        <v>5.7447105462779965E-2</v>
      </c>
      <c r="BK675" s="2">
        <v>8.5153852345557474E-2</v>
      </c>
      <c r="BL675" s="2">
        <v>7.4158058913035174E-2</v>
      </c>
      <c r="BM675" s="2">
        <v>7.5718189192107169E-2</v>
      </c>
      <c r="BN675" s="2">
        <v>7.3955559365675619E-2</v>
      </c>
    </row>
    <row r="676" spans="1:66" x14ac:dyDescent="0.25">
      <c r="A676" s="8">
        <v>4638</v>
      </c>
      <c r="B676" s="8" t="s">
        <v>320</v>
      </c>
      <c r="C676" s="5">
        <v>0</v>
      </c>
      <c r="D676" s="5">
        <f>+$C676*BC676</f>
        <v>0</v>
      </c>
      <c r="E676" s="5">
        <f>+$C676*BD676</f>
        <v>0</v>
      </c>
      <c r="F676" s="5">
        <f>+$C676*BE676</f>
        <v>0</v>
      </c>
      <c r="G676" s="5">
        <f>+$C676*BF676</f>
        <v>0</v>
      </c>
      <c r="H676" s="5">
        <f>+$C676*BG676</f>
        <v>0</v>
      </c>
      <c r="I676" s="5">
        <f>+$C676*BH676</f>
        <v>0</v>
      </c>
      <c r="J676" s="5">
        <f>+$C676*BI676</f>
        <v>0</v>
      </c>
      <c r="K676" s="5">
        <f>+$C676*BJ676</f>
        <v>0</v>
      </c>
      <c r="L676" s="5">
        <f>+$C676*BK676</f>
        <v>0</v>
      </c>
      <c r="M676" s="5">
        <f>+$C676*BL676</f>
        <v>0</v>
      </c>
      <c r="N676" s="5">
        <f>+$C676*BM676</f>
        <v>0</v>
      </c>
      <c r="O676" s="5">
        <f>+$C676*BN676</f>
        <v>0</v>
      </c>
      <c r="P676" s="5">
        <v>0</v>
      </c>
      <c r="Q676" s="5">
        <f>+$P676*BC676</f>
        <v>0</v>
      </c>
      <c r="R676" s="5">
        <f>+$P676*BD676</f>
        <v>0</v>
      </c>
      <c r="S676" s="5">
        <f>+$P676*BE676</f>
        <v>0</v>
      </c>
      <c r="T676" s="5">
        <f>+$P676*BF676</f>
        <v>0</v>
      </c>
      <c r="U676" s="5">
        <f>+$P676*BG676</f>
        <v>0</v>
      </c>
      <c r="V676" s="5">
        <f>+$P676*BH676</f>
        <v>0</v>
      </c>
      <c r="W676" s="5">
        <f>+$P676*BI676</f>
        <v>0</v>
      </c>
      <c r="X676" s="5">
        <f>+$P676*BJ676</f>
        <v>0</v>
      </c>
      <c r="Y676" s="5">
        <f>+$P676*BK676</f>
        <v>0</v>
      </c>
      <c r="Z676" s="5">
        <f>+$P676*BL676</f>
        <v>0</v>
      </c>
      <c r="AA676" s="5">
        <f>+$P676*BM676</f>
        <v>0</v>
      </c>
      <c r="AB676" s="5">
        <f>+$P676*BN676</f>
        <v>0</v>
      </c>
      <c r="AC676" s="5">
        <v>0</v>
      </c>
      <c r="AD676" s="5">
        <f>+$AC676*BC676</f>
        <v>0</v>
      </c>
      <c r="AE676" s="5">
        <f>+$AC676*BD676</f>
        <v>0</v>
      </c>
      <c r="AF676" s="5">
        <f>+$AC676*BE676</f>
        <v>0</v>
      </c>
      <c r="AG676" s="5">
        <f>+$AC676*BF676</f>
        <v>0</v>
      </c>
      <c r="AH676" s="5">
        <f>+$AC676*BG676</f>
        <v>0</v>
      </c>
      <c r="AI676" s="5">
        <f>+$AC676*BH676</f>
        <v>0</v>
      </c>
      <c r="AJ676" s="5">
        <f>+$AC676*BI676</f>
        <v>0</v>
      </c>
      <c r="AK676" s="5">
        <f>+$AC676*BJ676</f>
        <v>0</v>
      </c>
      <c r="AL676" s="5">
        <f>+$AC676*BK676</f>
        <v>0</v>
      </c>
      <c r="AM676" s="5">
        <f>+$AC676*BL676</f>
        <v>0</v>
      </c>
      <c r="AN676" s="5">
        <f>+$AC676*BM676</f>
        <v>0</v>
      </c>
      <c r="AO676" s="5">
        <f>+$AC676*BN676</f>
        <v>0</v>
      </c>
      <c r="AP676" s="5">
        <f>+AC676+P676+C676</f>
        <v>0</v>
      </c>
      <c r="AQ676" s="1">
        <v>4.5037582619774312</v>
      </c>
      <c r="AR676" s="1">
        <v>5.3860719839186588</v>
      </c>
      <c r="AS676" s="1">
        <v>4.7667131763425035</v>
      </c>
      <c r="AT676" s="1">
        <v>3.6106018140116678</v>
      </c>
      <c r="AU676" s="1">
        <v>5.2362324500391697</v>
      </c>
      <c r="AV676" s="1">
        <v>4.2910866834344557</v>
      </c>
      <c r="AW676" s="1">
        <v>4.2720754771806426</v>
      </c>
      <c r="AX676" s="1">
        <v>2.9011362729758505</v>
      </c>
      <c r="AY676" s="1">
        <v>4.3003546973029971</v>
      </c>
      <c r="AZ676" s="1">
        <v>3.7450561331671888</v>
      </c>
      <c r="BA676" s="1">
        <v>3.8238442723906032</v>
      </c>
      <c r="BB676" s="1">
        <v>3.7348297035259836</v>
      </c>
      <c r="BC676" s="2">
        <v>8.9181565948742242E-2</v>
      </c>
      <c r="BD676" s="2">
        <v>0.10665277883445198</v>
      </c>
      <c r="BE676" s="2">
        <v>9.438849084854764E-2</v>
      </c>
      <c r="BF676" s="2">
        <v>7.149564986855049E-2</v>
      </c>
      <c r="BG676" s="2">
        <v>0.10368571810536763</v>
      </c>
      <c r="BH676" s="2">
        <v>8.4970330952544637E-2</v>
      </c>
      <c r="BI676" s="2">
        <v>8.4593878877262704E-2</v>
      </c>
      <c r="BJ676" s="2">
        <v>5.7447105462779965E-2</v>
      </c>
      <c r="BK676" s="2">
        <v>8.5153852345557474E-2</v>
      </c>
      <c r="BL676" s="2">
        <v>7.4158058913035174E-2</v>
      </c>
      <c r="BM676" s="2">
        <v>7.5718189192107169E-2</v>
      </c>
      <c r="BN676" s="2">
        <v>7.3955559365675619E-2</v>
      </c>
    </row>
    <row r="677" spans="1:66" x14ac:dyDescent="0.25">
      <c r="A677" s="8">
        <v>4649</v>
      </c>
      <c r="B677" s="8" t="s">
        <v>319</v>
      </c>
      <c r="C677" s="5">
        <v>0</v>
      </c>
      <c r="D677" s="5">
        <f>+$C677*BC677</f>
        <v>0</v>
      </c>
      <c r="E677" s="5">
        <f>+$C677*BD677</f>
        <v>0</v>
      </c>
      <c r="F677" s="5">
        <f>+$C677*BE677</f>
        <v>0</v>
      </c>
      <c r="G677" s="5">
        <f>+$C677*BF677</f>
        <v>0</v>
      </c>
      <c r="H677" s="5">
        <f>+$C677*BG677</f>
        <v>0</v>
      </c>
      <c r="I677" s="5">
        <f>+$C677*BH677</f>
        <v>0</v>
      </c>
      <c r="J677" s="5">
        <f>+$C677*BI677</f>
        <v>0</v>
      </c>
      <c r="K677" s="5">
        <f>+$C677*BJ677</f>
        <v>0</v>
      </c>
      <c r="L677" s="5">
        <f>+$C677*BK677</f>
        <v>0</v>
      </c>
      <c r="M677" s="5">
        <f>+$C677*BL677</f>
        <v>0</v>
      </c>
      <c r="N677" s="5">
        <f>+$C677*BM677</f>
        <v>0</v>
      </c>
      <c r="O677" s="5">
        <f>+$C677*BN677</f>
        <v>0</v>
      </c>
      <c r="P677" s="5">
        <v>0</v>
      </c>
      <c r="Q677" s="5">
        <f>+$P677*BC677</f>
        <v>0</v>
      </c>
      <c r="R677" s="5">
        <f>+$P677*BD677</f>
        <v>0</v>
      </c>
      <c r="S677" s="5">
        <f>+$P677*BE677</f>
        <v>0</v>
      </c>
      <c r="T677" s="5">
        <f>+$P677*BF677</f>
        <v>0</v>
      </c>
      <c r="U677" s="5">
        <f>+$P677*BG677</f>
        <v>0</v>
      </c>
      <c r="V677" s="5">
        <f>+$P677*BH677</f>
        <v>0</v>
      </c>
      <c r="W677" s="5">
        <f>+$P677*BI677</f>
        <v>0</v>
      </c>
      <c r="X677" s="5">
        <f>+$P677*BJ677</f>
        <v>0</v>
      </c>
      <c r="Y677" s="5">
        <f>+$P677*BK677</f>
        <v>0</v>
      </c>
      <c r="Z677" s="5">
        <f>+$P677*BL677</f>
        <v>0</v>
      </c>
      <c r="AA677" s="5">
        <f>+$P677*BM677</f>
        <v>0</v>
      </c>
      <c r="AB677" s="5">
        <f>+$P677*BN677</f>
        <v>0</v>
      </c>
      <c r="AC677" s="5">
        <v>0</v>
      </c>
      <c r="AD677" s="5">
        <f>+$AC677*BC677</f>
        <v>0</v>
      </c>
      <c r="AE677" s="5">
        <f>+$AC677*BD677</f>
        <v>0</v>
      </c>
      <c r="AF677" s="5">
        <f>+$AC677*BE677</f>
        <v>0</v>
      </c>
      <c r="AG677" s="5">
        <f>+$AC677*BF677</f>
        <v>0</v>
      </c>
      <c r="AH677" s="5">
        <f>+$AC677*BG677</f>
        <v>0</v>
      </c>
      <c r="AI677" s="5">
        <f>+$AC677*BH677</f>
        <v>0</v>
      </c>
      <c r="AJ677" s="5">
        <f>+$AC677*BI677</f>
        <v>0</v>
      </c>
      <c r="AK677" s="5">
        <f>+$AC677*BJ677</f>
        <v>0</v>
      </c>
      <c r="AL677" s="5">
        <f>+$AC677*BK677</f>
        <v>0</v>
      </c>
      <c r="AM677" s="5">
        <f>+$AC677*BL677</f>
        <v>0</v>
      </c>
      <c r="AN677" s="5">
        <f>+$AC677*BM677</f>
        <v>0</v>
      </c>
      <c r="AO677" s="5">
        <f>+$AC677*BN677</f>
        <v>0</v>
      </c>
      <c r="AP677" s="5">
        <f>+AC677+P677+C677</f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2">
        <v>8.9181565948742242E-2</v>
      </c>
      <c r="BD677" s="2">
        <v>0.10665277883445198</v>
      </c>
      <c r="BE677" s="2">
        <v>9.438849084854764E-2</v>
      </c>
      <c r="BF677" s="2">
        <v>7.149564986855049E-2</v>
      </c>
      <c r="BG677" s="2">
        <v>0.10368571810536763</v>
      </c>
      <c r="BH677" s="2">
        <v>8.4970330952544637E-2</v>
      </c>
      <c r="BI677" s="2">
        <v>8.4593878877262704E-2</v>
      </c>
      <c r="BJ677" s="2">
        <v>5.7447105462779965E-2</v>
      </c>
      <c r="BK677" s="2">
        <v>8.5153852345557474E-2</v>
      </c>
      <c r="BL677" s="2">
        <v>7.4158058913035174E-2</v>
      </c>
      <c r="BM677" s="2">
        <v>7.5718189192107169E-2</v>
      </c>
      <c r="BN677" s="2">
        <v>7.3955559365675619E-2</v>
      </c>
    </row>
    <row r="678" spans="1:66" x14ac:dyDescent="0.25">
      <c r="A678" s="8">
        <v>4658</v>
      </c>
      <c r="B678" s="8" t="s">
        <v>318</v>
      </c>
      <c r="C678" s="5">
        <v>0</v>
      </c>
      <c r="D678" s="5">
        <f>+$C678*BC678</f>
        <v>0</v>
      </c>
      <c r="E678" s="5">
        <f>+$C678*BD678</f>
        <v>0</v>
      </c>
      <c r="F678" s="5">
        <f>+$C678*BE678</f>
        <v>0</v>
      </c>
      <c r="G678" s="5">
        <f>+$C678*BF678</f>
        <v>0</v>
      </c>
      <c r="H678" s="5">
        <f>+$C678*BG678</f>
        <v>0</v>
      </c>
      <c r="I678" s="5">
        <f>+$C678*BH678</f>
        <v>0</v>
      </c>
      <c r="J678" s="5">
        <f>+$C678*BI678</f>
        <v>0</v>
      </c>
      <c r="K678" s="5">
        <f>+$C678*BJ678</f>
        <v>0</v>
      </c>
      <c r="L678" s="5">
        <f>+$C678*BK678</f>
        <v>0</v>
      </c>
      <c r="M678" s="5">
        <f>+$C678*BL678</f>
        <v>0</v>
      </c>
      <c r="N678" s="5">
        <f>+$C678*BM678</f>
        <v>0</v>
      </c>
      <c r="O678" s="5">
        <f>+$C678*BN678</f>
        <v>0</v>
      </c>
      <c r="P678" s="5">
        <v>0</v>
      </c>
      <c r="Q678" s="5">
        <f>+$P678*BC678</f>
        <v>0</v>
      </c>
      <c r="R678" s="5">
        <f>+$P678*BD678</f>
        <v>0</v>
      </c>
      <c r="S678" s="5">
        <f>+$P678*BE678</f>
        <v>0</v>
      </c>
      <c r="T678" s="5">
        <f>+$P678*BF678</f>
        <v>0</v>
      </c>
      <c r="U678" s="5">
        <f>+$P678*BG678</f>
        <v>0</v>
      </c>
      <c r="V678" s="5">
        <f>+$P678*BH678</f>
        <v>0</v>
      </c>
      <c r="W678" s="5">
        <f>+$P678*BI678</f>
        <v>0</v>
      </c>
      <c r="X678" s="5">
        <f>+$P678*BJ678</f>
        <v>0</v>
      </c>
      <c r="Y678" s="5">
        <f>+$P678*BK678</f>
        <v>0</v>
      </c>
      <c r="Z678" s="5">
        <f>+$P678*BL678</f>
        <v>0</v>
      </c>
      <c r="AA678" s="5">
        <f>+$P678*BM678</f>
        <v>0</v>
      </c>
      <c r="AB678" s="5">
        <f>+$P678*BN678</f>
        <v>0</v>
      </c>
      <c r="AC678" s="5">
        <v>0</v>
      </c>
      <c r="AD678" s="5">
        <f>+$AC678*BC678</f>
        <v>0</v>
      </c>
      <c r="AE678" s="5">
        <f>+$AC678*BD678</f>
        <v>0</v>
      </c>
      <c r="AF678" s="5">
        <f>+$AC678*BE678</f>
        <v>0</v>
      </c>
      <c r="AG678" s="5">
        <f>+$AC678*BF678</f>
        <v>0</v>
      </c>
      <c r="AH678" s="5">
        <f>+$AC678*BG678</f>
        <v>0</v>
      </c>
      <c r="AI678" s="5">
        <f>+$AC678*BH678</f>
        <v>0</v>
      </c>
      <c r="AJ678" s="5">
        <f>+$AC678*BI678</f>
        <v>0</v>
      </c>
      <c r="AK678" s="5">
        <f>+$AC678*BJ678</f>
        <v>0</v>
      </c>
      <c r="AL678" s="5">
        <f>+$AC678*BK678</f>
        <v>0</v>
      </c>
      <c r="AM678" s="5">
        <f>+$AC678*BL678</f>
        <v>0</v>
      </c>
      <c r="AN678" s="5">
        <f>+$AC678*BM678</f>
        <v>0</v>
      </c>
      <c r="AO678" s="5">
        <f>+$AC678*BN678</f>
        <v>0</v>
      </c>
      <c r="AP678" s="5">
        <f>+AC678+P678+C678</f>
        <v>0</v>
      </c>
      <c r="AQ678" s="1">
        <v>13.812440934141199</v>
      </c>
      <c r="AR678" s="1">
        <v>16.518382385879924</v>
      </c>
      <c r="AS678" s="1">
        <v>14.618889462623057</v>
      </c>
      <c r="AT678" s="1">
        <v>11.0732462516411</v>
      </c>
      <c r="AU678" s="1">
        <v>16.058844020159338</v>
      </c>
      <c r="AV678" s="1">
        <v>13.160204857930113</v>
      </c>
      <c r="AW678" s="1">
        <v>13.101899960510448</v>
      </c>
      <c r="AX678" s="1">
        <v>8.8974076940753601</v>
      </c>
      <c r="AY678" s="1">
        <v>13.188628651279942</v>
      </c>
      <c r="AZ678" s="1">
        <v>11.485600164450888</v>
      </c>
      <c r="BA678" s="1">
        <v>11.727233142073558</v>
      </c>
      <c r="BB678" s="1">
        <v>11.45423703455584</v>
      </c>
      <c r="BC678" s="2">
        <v>8.9181565948742242E-2</v>
      </c>
      <c r="BD678" s="2">
        <v>0.10665277883445198</v>
      </c>
      <c r="BE678" s="2">
        <v>9.438849084854764E-2</v>
      </c>
      <c r="BF678" s="2">
        <v>7.149564986855049E-2</v>
      </c>
      <c r="BG678" s="2">
        <v>0.10368571810536763</v>
      </c>
      <c r="BH678" s="2">
        <v>8.4970330952544637E-2</v>
      </c>
      <c r="BI678" s="2">
        <v>8.4593878877262704E-2</v>
      </c>
      <c r="BJ678" s="2">
        <v>5.7447105462779965E-2</v>
      </c>
      <c r="BK678" s="2">
        <v>8.5153852345557474E-2</v>
      </c>
      <c r="BL678" s="2">
        <v>7.4158058913035174E-2</v>
      </c>
      <c r="BM678" s="2">
        <v>7.5718189192107169E-2</v>
      </c>
      <c r="BN678" s="2">
        <v>7.3955559365675619E-2</v>
      </c>
    </row>
    <row r="679" spans="1:66" x14ac:dyDescent="0.25">
      <c r="A679" s="8">
        <v>4659</v>
      </c>
      <c r="B679" s="8" t="s">
        <v>317</v>
      </c>
      <c r="C679" s="5">
        <v>0</v>
      </c>
      <c r="D679" s="5">
        <f>+$C679*BC679</f>
        <v>0</v>
      </c>
      <c r="E679" s="5">
        <f>+$C679*BD679</f>
        <v>0</v>
      </c>
      <c r="F679" s="5">
        <f>+$C679*BE679</f>
        <v>0</v>
      </c>
      <c r="G679" s="5">
        <f>+$C679*BF679</f>
        <v>0</v>
      </c>
      <c r="H679" s="5">
        <f>+$C679*BG679</f>
        <v>0</v>
      </c>
      <c r="I679" s="5">
        <f>+$C679*BH679</f>
        <v>0</v>
      </c>
      <c r="J679" s="5">
        <f>+$C679*BI679</f>
        <v>0</v>
      </c>
      <c r="K679" s="5">
        <f>+$C679*BJ679</f>
        <v>0</v>
      </c>
      <c r="L679" s="5">
        <f>+$C679*BK679</f>
        <v>0</v>
      </c>
      <c r="M679" s="5">
        <f>+$C679*BL679</f>
        <v>0</v>
      </c>
      <c r="N679" s="5">
        <f>+$C679*BM679</f>
        <v>0</v>
      </c>
      <c r="O679" s="5">
        <f>+$C679*BN679</f>
        <v>0</v>
      </c>
      <c r="P679" s="5">
        <v>0</v>
      </c>
      <c r="Q679" s="5">
        <f>+$P679*BC679</f>
        <v>0</v>
      </c>
      <c r="R679" s="5">
        <f>+$P679*BD679</f>
        <v>0</v>
      </c>
      <c r="S679" s="5">
        <f>+$P679*BE679</f>
        <v>0</v>
      </c>
      <c r="T679" s="5">
        <f>+$P679*BF679</f>
        <v>0</v>
      </c>
      <c r="U679" s="5">
        <f>+$P679*BG679</f>
        <v>0</v>
      </c>
      <c r="V679" s="5">
        <f>+$P679*BH679</f>
        <v>0</v>
      </c>
      <c r="W679" s="5">
        <f>+$P679*BI679</f>
        <v>0</v>
      </c>
      <c r="X679" s="5">
        <f>+$P679*BJ679</f>
        <v>0</v>
      </c>
      <c r="Y679" s="5">
        <f>+$P679*BK679</f>
        <v>0</v>
      </c>
      <c r="Z679" s="5">
        <f>+$P679*BL679</f>
        <v>0</v>
      </c>
      <c r="AA679" s="5">
        <f>+$P679*BM679</f>
        <v>0</v>
      </c>
      <c r="AB679" s="5">
        <f>+$P679*BN679</f>
        <v>0</v>
      </c>
      <c r="AC679" s="5">
        <v>0</v>
      </c>
      <c r="AD679" s="5">
        <f>+$AC679*BC679</f>
        <v>0</v>
      </c>
      <c r="AE679" s="5">
        <f>+$AC679*BD679</f>
        <v>0</v>
      </c>
      <c r="AF679" s="5">
        <f>+$AC679*BE679</f>
        <v>0</v>
      </c>
      <c r="AG679" s="5">
        <f>+$AC679*BF679</f>
        <v>0</v>
      </c>
      <c r="AH679" s="5">
        <f>+$AC679*BG679</f>
        <v>0</v>
      </c>
      <c r="AI679" s="5">
        <f>+$AC679*BH679</f>
        <v>0</v>
      </c>
      <c r="AJ679" s="5">
        <f>+$AC679*BI679</f>
        <v>0</v>
      </c>
      <c r="AK679" s="5">
        <f>+$AC679*BJ679</f>
        <v>0</v>
      </c>
      <c r="AL679" s="5">
        <f>+$AC679*BK679</f>
        <v>0</v>
      </c>
      <c r="AM679" s="5">
        <f>+$AC679*BL679</f>
        <v>0</v>
      </c>
      <c r="AN679" s="5">
        <f>+$AC679*BM679</f>
        <v>0</v>
      </c>
      <c r="AO679" s="5">
        <f>+$AC679*BN679</f>
        <v>0</v>
      </c>
      <c r="AP679" s="5">
        <f>+AC679+P679+C679</f>
        <v>0</v>
      </c>
      <c r="AQ679" s="1">
        <v>15.996140757962102</v>
      </c>
      <c r="AR679" s="1">
        <v>19.129882328420315</v>
      </c>
      <c r="AS679" s="1">
        <v>16.930086049540598</v>
      </c>
      <c r="AT679" s="1">
        <v>12.823888734322429</v>
      </c>
      <c r="AU679" s="1">
        <v>18.59769251368737</v>
      </c>
      <c r="AV679" s="1">
        <v>15.240788381634122</v>
      </c>
      <c r="AW679" s="1">
        <v>15.173265678699103</v>
      </c>
      <c r="AX679" s="1">
        <v>10.304057518436991</v>
      </c>
      <c r="AY679" s="1">
        <v>15.273705879813264</v>
      </c>
      <c r="AZ679" s="1">
        <v>13.301434394995468</v>
      </c>
      <c r="BA679" s="1">
        <v>13.581268722631496</v>
      </c>
      <c r="BB679" s="1">
        <v>13.265112861183773</v>
      </c>
      <c r="BC679" s="2">
        <v>8.9181565948742242E-2</v>
      </c>
      <c r="BD679" s="2">
        <v>0.10665277883445198</v>
      </c>
      <c r="BE679" s="2">
        <v>9.438849084854764E-2</v>
      </c>
      <c r="BF679" s="2">
        <v>7.149564986855049E-2</v>
      </c>
      <c r="BG679" s="2">
        <v>0.10368571810536763</v>
      </c>
      <c r="BH679" s="2">
        <v>8.4970330952544637E-2</v>
      </c>
      <c r="BI679" s="2">
        <v>8.4593878877262704E-2</v>
      </c>
      <c r="BJ679" s="2">
        <v>5.7447105462779965E-2</v>
      </c>
      <c r="BK679" s="2">
        <v>8.5153852345557474E-2</v>
      </c>
      <c r="BL679" s="2">
        <v>7.4158058913035174E-2</v>
      </c>
      <c r="BM679" s="2">
        <v>7.5718189192107169E-2</v>
      </c>
      <c r="BN679" s="2">
        <v>7.3955559365675619E-2</v>
      </c>
    </row>
    <row r="680" spans="1:66" x14ac:dyDescent="0.25">
      <c r="A680" s="8">
        <v>4665</v>
      </c>
      <c r="B680" s="8" t="s">
        <v>316</v>
      </c>
      <c r="C680" s="5">
        <v>0</v>
      </c>
      <c r="D680" s="5">
        <f>+$C680*BC680</f>
        <v>0</v>
      </c>
      <c r="E680" s="5">
        <f>+$C680*BD680</f>
        <v>0</v>
      </c>
      <c r="F680" s="5">
        <f>+$C680*BE680</f>
        <v>0</v>
      </c>
      <c r="G680" s="5">
        <f>+$C680*BF680</f>
        <v>0</v>
      </c>
      <c r="H680" s="5">
        <f>+$C680*BG680</f>
        <v>0</v>
      </c>
      <c r="I680" s="5">
        <f>+$C680*BH680</f>
        <v>0</v>
      </c>
      <c r="J680" s="5">
        <f>+$C680*BI680</f>
        <v>0</v>
      </c>
      <c r="K680" s="5">
        <f>+$C680*BJ680</f>
        <v>0</v>
      </c>
      <c r="L680" s="5">
        <f>+$C680*BK680</f>
        <v>0</v>
      </c>
      <c r="M680" s="5">
        <f>+$C680*BL680</f>
        <v>0</v>
      </c>
      <c r="N680" s="5">
        <f>+$C680*BM680</f>
        <v>0</v>
      </c>
      <c r="O680" s="5">
        <f>+$C680*BN680</f>
        <v>0</v>
      </c>
      <c r="P680" s="5">
        <v>0</v>
      </c>
      <c r="Q680" s="5">
        <f>+$P680*BC680</f>
        <v>0</v>
      </c>
      <c r="R680" s="5">
        <f>+$P680*BD680</f>
        <v>0</v>
      </c>
      <c r="S680" s="5">
        <f>+$P680*BE680</f>
        <v>0</v>
      </c>
      <c r="T680" s="5">
        <f>+$P680*BF680</f>
        <v>0</v>
      </c>
      <c r="U680" s="5">
        <f>+$P680*BG680</f>
        <v>0</v>
      </c>
      <c r="V680" s="5">
        <f>+$P680*BH680</f>
        <v>0</v>
      </c>
      <c r="W680" s="5">
        <f>+$P680*BI680</f>
        <v>0</v>
      </c>
      <c r="X680" s="5">
        <f>+$P680*BJ680</f>
        <v>0</v>
      </c>
      <c r="Y680" s="5">
        <f>+$P680*BK680</f>
        <v>0</v>
      </c>
      <c r="Z680" s="5">
        <f>+$P680*BL680</f>
        <v>0</v>
      </c>
      <c r="AA680" s="5">
        <f>+$P680*BM680</f>
        <v>0</v>
      </c>
      <c r="AB680" s="5">
        <f>+$P680*BN680</f>
        <v>0</v>
      </c>
      <c r="AC680" s="5">
        <v>0</v>
      </c>
      <c r="AD680" s="5">
        <f>+$AC680*BC680</f>
        <v>0</v>
      </c>
      <c r="AE680" s="5">
        <f>+$AC680*BD680</f>
        <v>0</v>
      </c>
      <c r="AF680" s="5">
        <f>+$AC680*BE680</f>
        <v>0</v>
      </c>
      <c r="AG680" s="5">
        <f>+$AC680*BF680</f>
        <v>0</v>
      </c>
      <c r="AH680" s="5">
        <f>+$AC680*BG680</f>
        <v>0</v>
      </c>
      <c r="AI680" s="5">
        <f>+$AC680*BH680</f>
        <v>0</v>
      </c>
      <c r="AJ680" s="5">
        <f>+$AC680*BI680</f>
        <v>0</v>
      </c>
      <c r="AK680" s="5">
        <f>+$AC680*BJ680</f>
        <v>0</v>
      </c>
      <c r="AL680" s="5">
        <f>+$AC680*BK680</f>
        <v>0</v>
      </c>
      <c r="AM680" s="5">
        <f>+$AC680*BL680</f>
        <v>0</v>
      </c>
      <c r="AN680" s="5">
        <f>+$AC680*BM680</f>
        <v>0</v>
      </c>
      <c r="AO680" s="5">
        <f>+$AC680*BN680</f>
        <v>0</v>
      </c>
      <c r="AP680" s="5">
        <f>+AC680+P680+C680</f>
        <v>0</v>
      </c>
      <c r="AQ680" s="1">
        <v>72.594775679501623</v>
      </c>
      <c r="AR680" s="1">
        <v>86.816535151811095</v>
      </c>
      <c r="AS680" s="1">
        <v>76.833269824117124</v>
      </c>
      <c r="AT680" s="1">
        <v>58.198245445148657</v>
      </c>
      <c r="AU680" s="1">
        <v>84.401315080668411</v>
      </c>
      <c r="AV680" s="1">
        <v>69.166784069011825</v>
      </c>
      <c r="AW680" s="1">
        <v>68.860347938759503</v>
      </c>
      <c r="AX680" s="1">
        <v>46.762575764862987</v>
      </c>
      <c r="AY680" s="1">
        <v>69.316172501659594</v>
      </c>
      <c r="AZ680" s="1">
        <v>60.365475693858684</v>
      </c>
      <c r="BA680" s="1">
        <v>61.635438902456357</v>
      </c>
      <c r="BB680" s="1">
        <v>60.200638834812985</v>
      </c>
      <c r="BC680" s="2">
        <v>8.9181565948742242E-2</v>
      </c>
      <c r="BD680" s="2">
        <v>0.10665277883445198</v>
      </c>
      <c r="BE680" s="2">
        <v>9.438849084854764E-2</v>
      </c>
      <c r="BF680" s="2">
        <v>7.149564986855049E-2</v>
      </c>
      <c r="BG680" s="2">
        <v>0.10368571810536763</v>
      </c>
      <c r="BH680" s="2">
        <v>8.4970330952544637E-2</v>
      </c>
      <c r="BI680" s="2">
        <v>8.4593878877262704E-2</v>
      </c>
      <c r="BJ680" s="2">
        <v>5.7447105462779965E-2</v>
      </c>
      <c r="BK680" s="2">
        <v>8.5153852345557474E-2</v>
      </c>
      <c r="BL680" s="2">
        <v>7.4158058913035174E-2</v>
      </c>
      <c r="BM680" s="2">
        <v>7.5718189192107169E-2</v>
      </c>
      <c r="BN680" s="2">
        <v>7.3955559365675619E-2</v>
      </c>
    </row>
    <row r="681" spans="1:66" x14ac:dyDescent="0.25">
      <c r="A681" s="8">
        <v>4708</v>
      </c>
      <c r="B681" s="8" t="s">
        <v>315</v>
      </c>
      <c r="C681" s="5">
        <v>0</v>
      </c>
      <c r="D681" s="5">
        <f>+$C681*BC681</f>
        <v>0</v>
      </c>
      <c r="E681" s="5">
        <f>+$C681*BD681</f>
        <v>0</v>
      </c>
      <c r="F681" s="5">
        <f>+$C681*BE681</f>
        <v>0</v>
      </c>
      <c r="G681" s="5">
        <f>+$C681*BF681</f>
        <v>0</v>
      </c>
      <c r="H681" s="5">
        <f>+$C681*BG681</f>
        <v>0</v>
      </c>
      <c r="I681" s="5">
        <f>+$C681*BH681</f>
        <v>0</v>
      </c>
      <c r="J681" s="5">
        <f>+$C681*BI681</f>
        <v>0</v>
      </c>
      <c r="K681" s="5">
        <f>+$C681*BJ681</f>
        <v>0</v>
      </c>
      <c r="L681" s="5">
        <f>+$C681*BK681</f>
        <v>0</v>
      </c>
      <c r="M681" s="5">
        <f>+$C681*BL681</f>
        <v>0</v>
      </c>
      <c r="N681" s="5">
        <f>+$C681*BM681</f>
        <v>0</v>
      </c>
      <c r="O681" s="5">
        <f>+$C681*BN681</f>
        <v>0</v>
      </c>
      <c r="P681" s="5">
        <v>0</v>
      </c>
      <c r="Q681" s="5">
        <f>+$P681*BC681</f>
        <v>0</v>
      </c>
      <c r="R681" s="5">
        <f>+$P681*BD681</f>
        <v>0</v>
      </c>
      <c r="S681" s="5">
        <f>+$P681*BE681</f>
        <v>0</v>
      </c>
      <c r="T681" s="5">
        <f>+$P681*BF681</f>
        <v>0</v>
      </c>
      <c r="U681" s="5">
        <f>+$P681*BG681</f>
        <v>0</v>
      </c>
      <c r="V681" s="5">
        <f>+$P681*BH681</f>
        <v>0</v>
      </c>
      <c r="W681" s="5">
        <f>+$P681*BI681</f>
        <v>0</v>
      </c>
      <c r="X681" s="5">
        <f>+$P681*BJ681</f>
        <v>0</v>
      </c>
      <c r="Y681" s="5">
        <f>+$P681*BK681</f>
        <v>0</v>
      </c>
      <c r="Z681" s="5">
        <f>+$P681*BL681</f>
        <v>0</v>
      </c>
      <c r="AA681" s="5">
        <f>+$P681*BM681</f>
        <v>0</v>
      </c>
      <c r="AB681" s="5">
        <f>+$P681*BN681</f>
        <v>0</v>
      </c>
      <c r="AC681" s="5">
        <v>0</v>
      </c>
      <c r="AD681" s="5">
        <f>+$AC681*BC681</f>
        <v>0</v>
      </c>
      <c r="AE681" s="5">
        <f>+$AC681*BD681</f>
        <v>0</v>
      </c>
      <c r="AF681" s="5">
        <f>+$AC681*BE681</f>
        <v>0</v>
      </c>
      <c r="AG681" s="5">
        <f>+$AC681*BF681</f>
        <v>0</v>
      </c>
      <c r="AH681" s="5">
        <f>+$AC681*BG681</f>
        <v>0</v>
      </c>
      <c r="AI681" s="5">
        <f>+$AC681*BH681</f>
        <v>0</v>
      </c>
      <c r="AJ681" s="5">
        <f>+$AC681*BI681</f>
        <v>0</v>
      </c>
      <c r="AK681" s="5">
        <f>+$AC681*BJ681</f>
        <v>0</v>
      </c>
      <c r="AL681" s="5">
        <f>+$AC681*BK681</f>
        <v>0</v>
      </c>
      <c r="AM681" s="5">
        <f>+$AC681*BL681</f>
        <v>0</v>
      </c>
      <c r="AN681" s="5">
        <f>+$AC681*BM681</f>
        <v>0</v>
      </c>
      <c r="AO681" s="5">
        <f>+$AC681*BN681</f>
        <v>0</v>
      </c>
      <c r="AP681" s="5">
        <f>+AC681+P681+C681</f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2">
        <v>8.9181565948742242E-2</v>
      </c>
      <c r="BD681" s="2">
        <v>0.10665277883445198</v>
      </c>
      <c r="BE681" s="2">
        <v>9.438849084854764E-2</v>
      </c>
      <c r="BF681" s="2">
        <v>7.149564986855049E-2</v>
      </c>
      <c r="BG681" s="2">
        <v>0.10368571810536763</v>
      </c>
      <c r="BH681" s="2">
        <v>8.4970330952544637E-2</v>
      </c>
      <c r="BI681" s="2">
        <v>8.4593878877262704E-2</v>
      </c>
      <c r="BJ681" s="2">
        <v>5.7447105462779965E-2</v>
      </c>
      <c r="BK681" s="2">
        <v>8.5153852345557474E-2</v>
      </c>
      <c r="BL681" s="2">
        <v>7.4158058913035174E-2</v>
      </c>
      <c r="BM681" s="2">
        <v>7.5718189192107169E-2</v>
      </c>
      <c r="BN681" s="2">
        <v>7.3955559365675619E-2</v>
      </c>
    </row>
    <row r="682" spans="1:66" x14ac:dyDescent="0.25">
      <c r="A682" s="8">
        <v>4772</v>
      </c>
      <c r="B682" s="8" t="s">
        <v>314</v>
      </c>
      <c r="C682" s="5">
        <v>0</v>
      </c>
      <c r="D682" s="5">
        <f>+$C682*BC682</f>
        <v>0</v>
      </c>
      <c r="E682" s="5">
        <f>+$C682*BD682</f>
        <v>0</v>
      </c>
      <c r="F682" s="5">
        <f>+$C682*BE682</f>
        <v>0</v>
      </c>
      <c r="G682" s="5">
        <f>+$C682*BF682</f>
        <v>0</v>
      </c>
      <c r="H682" s="5">
        <f>+$C682*BG682</f>
        <v>0</v>
      </c>
      <c r="I682" s="5">
        <f>+$C682*BH682</f>
        <v>0</v>
      </c>
      <c r="J682" s="5">
        <f>+$C682*BI682</f>
        <v>0</v>
      </c>
      <c r="K682" s="5">
        <f>+$C682*BJ682</f>
        <v>0</v>
      </c>
      <c r="L682" s="5">
        <f>+$C682*BK682</f>
        <v>0</v>
      </c>
      <c r="M682" s="5">
        <f>+$C682*BL682</f>
        <v>0</v>
      </c>
      <c r="N682" s="5">
        <f>+$C682*BM682</f>
        <v>0</v>
      </c>
      <c r="O682" s="5">
        <f>+$C682*BN682</f>
        <v>0</v>
      </c>
      <c r="P682" s="5">
        <v>0</v>
      </c>
      <c r="Q682" s="5">
        <f>+$P682*BC682</f>
        <v>0</v>
      </c>
      <c r="R682" s="5">
        <f>+$P682*BD682</f>
        <v>0</v>
      </c>
      <c r="S682" s="5">
        <f>+$P682*BE682</f>
        <v>0</v>
      </c>
      <c r="T682" s="5">
        <f>+$P682*BF682</f>
        <v>0</v>
      </c>
      <c r="U682" s="5">
        <f>+$P682*BG682</f>
        <v>0</v>
      </c>
      <c r="V682" s="5">
        <f>+$P682*BH682</f>
        <v>0</v>
      </c>
      <c r="W682" s="5">
        <f>+$P682*BI682</f>
        <v>0</v>
      </c>
      <c r="X682" s="5">
        <f>+$P682*BJ682</f>
        <v>0</v>
      </c>
      <c r="Y682" s="5">
        <f>+$P682*BK682</f>
        <v>0</v>
      </c>
      <c r="Z682" s="5">
        <f>+$P682*BL682</f>
        <v>0</v>
      </c>
      <c r="AA682" s="5">
        <f>+$P682*BM682</f>
        <v>0</v>
      </c>
      <c r="AB682" s="5">
        <f>+$P682*BN682</f>
        <v>0</v>
      </c>
      <c r="AC682" s="5">
        <v>0</v>
      </c>
      <c r="AD682" s="5">
        <f>+$AC682*BC682</f>
        <v>0</v>
      </c>
      <c r="AE682" s="5">
        <f>+$AC682*BD682</f>
        <v>0</v>
      </c>
      <c r="AF682" s="5">
        <f>+$AC682*BE682</f>
        <v>0</v>
      </c>
      <c r="AG682" s="5">
        <f>+$AC682*BF682</f>
        <v>0</v>
      </c>
      <c r="AH682" s="5">
        <f>+$AC682*BG682</f>
        <v>0</v>
      </c>
      <c r="AI682" s="5">
        <f>+$AC682*BH682</f>
        <v>0</v>
      </c>
      <c r="AJ682" s="5">
        <f>+$AC682*BI682</f>
        <v>0</v>
      </c>
      <c r="AK682" s="5">
        <f>+$AC682*BJ682</f>
        <v>0</v>
      </c>
      <c r="AL682" s="5">
        <f>+$AC682*BK682</f>
        <v>0</v>
      </c>
      <c r="AM682" s="5">
        <f>+$AC682*BL682</f>
        <v>0</v>
      </c>
      <c r="AN682" s="5">
        <f>+$AC682*BM682</f>
        <v>0</v>
      </c>
      <c r="AO682" s="5">
        <f>+$AC682*BN682</f>
        <v>0</v>
      </c>
      <c r="AP682" s="5">
        <f>+AC682+P682+C682</f>
        <v>0</v>
      </c>
      <c r="AQ682" s="1">
        <v>10.30047086707973</v>
      </c>
      <c r="AR682" s="1">
        <v>12.318395955379206</v>
      </c>
      <c r="AS682" s="1">
        <v>10.901870693007254</v>
      </c>
      <c r="AT682" s="1">
        <v>8.2577475598175827</v>
      </c>
      <c r="AU682" s="1">
        <v>11.975700441169963</v>
      </c>
      <c r="AV682" s="1">
        <v>9.8140732250189071</v>
      </c>
      <c r="AW682" s="1">
        <v>9.770593010323843</v>
      </c>
      <c r="AX682" s="1">
        <v>6.6351406809510864</v>
      </c>
      <c r="AY682" s="1">
        <v>9.8352699459118895</v>
      </c>
      <c r="AZ682" s="1">
        <v>8.565255804455564</v>
      </c>
      <c r="BA682" s="1">
        <v>8.7454508516883784</v>
      </c>
      <c r="BB682" s="1">
        <v>8.5418671067355358</v>
      </c>
      <c r="BC682" s="2">
        <v>8.9181565948742242E-2</v>
      </c>
      <c r="BD682" s="2">
        <v>0.10665277883445198</v>
      </c>
      <c r="BE682" s="2">
        <v>9.438849084854764E-2</v>
      </c>
      <c r="BF682" s="2">
        <v>7.149564986855049E-2</v>
      </c>
      <c r="BG682" s="2">
        <v>0.10368571810536763</v>
      </c>
      <c r="BH682" s="2">
        <v>8.4970330952544637E-2</v>
      </c>
      <c r="BI682" s="2">
        <v>8.4593878877262704E-2</v>
      </c>
      <c r="BJ682" s="2">
        <v>5.7447105462779965E-2</v>
      </c>
      <c r="BK682" s="2">
        <v>8.5153852345557474E-2</v>
      </c>
      <c r="BL682" s="2">
        <v>7.4158058913035174E-2</v>
      </c>
      <c r="BM682" s="2">
        <v>7.5718189192107169E-2</v>
      </c>
      <c r="BN682" s="2">
        <v>7.3955559365675619E-2</v>
      </c>
    </row>
    <row r="683" spans="1:66" x14ac:dyDescent="0.25">
      <c r="A683" s="8">
        <v>4790</v>
      </c>
      <c r="B683" s="8" t="s">
        <v>313</v>
      </c>
      <c r="C683" s="5">
        <v>0</v>
      </c>
      <c r="D683" s="5">
        <f>+$C683*BC683</f>
        <v>0</v>
      </c>
      <c r="E683" s="5">
        <f>+$C683*BD683</f>
        <v>0</v>
      </c>
      <c r="F683" s="5">
        <f>+$C683*BE683</f>
        <v>0</v>
      </c>
      <c r="G683" s="5">
        <f>+$C683*BF683</f>
        <v>0</v>
      </c>
      <c r="H683" s="5">
        <f>+$C683*BG683</f>
        <v>0</v>
      </c>
      <c r="I683" s="5">
        <f>+$C683*BH683</f>
        <v>0</v>
      </c>
      <c r="J683" s="5">
        <f>+$C683*BI683</f>
        <v>0</v>
      </c>
      <c r="K683" s="5">
        <f>+$C683*BJ683</f>
        <v>0</v>
      </c>
      <c r="L683" s="5">
        <f>+$C683*BK683</f>
        <v>0</v>
      </c>
      <c r="M683" s="5">
        <f>+$C683*BL683</f>
        <v>0</v>
      </c>
      <c r="N683" s="5">
        <f>+$C683*BM683</f>
        <v>0</v>
      </c>
      <c r="O683" s="5">
        <f>+$C683*BN683</f>
        <v>0</v>
      </c>
      <c r="P683" s="5">
        <v>0</v>
      </c>
      <c r="Q683" s="5">
        <f>+$P683*BC683</f>
        <v>0</v>
      </c>
      <c r="R683" s="5">
        <f>+$P683*BD683</f>
        <v>0</v>
      </c>
      <c r="S683" s="5">
        <f>+$P683*BE683</f>
        <v>0</v>
      </c>
      <c r="T683" s="5">
        <f>+$P683*BF683</f>
        <v>0</v>
      </c>
      <c r="U683" s="5">
        <f>+$P683*BG683</f>
        <v>0</v>
      </c>
      <c r="V683" s="5">
        <f>+$P683*BH683</f>
        <v>0</v>
      </c>
      <c r="W683" s="5">
        <f>+$P683*BI683</f>
        <v>0</v>
      </c>
      <c r="X683" s="5">
        <f>+$P683*BJ683</f>
        <v>0</v>
      </c>
      <c r="Y683" s="5">
        <f>+$P683*BK683</f>
        <v>0</v>
      </c>
      <c r="Z683" s="5">
        <f>+$P683*BL683</f>
        <v>0</v>
      </c>
      <c r="AA683" s="5">
        <f>+$P683*BM683</f>
        <v>0</v>
      </c>
      <c r="AB683" s="5">
        <f>+$P683*BN683</f>
        <v>0</v>
      </c>
      <c r="AC683" s="5">
        <v>0</v>
      </c>
      <c r="AD683" s="5">
        <f>+$AC683*BC683</f>
        <v>0</v>
      </c>
      <c r="AE683" s="5">
        <f>+$AC683*BD683</f>
        <v>0</v>
      </c>
      <c r="AF683" s="5">
        <f>+$AC683*BE683</f>
        <v>0</v>
      </c>
      <c r="AG683" s="5">
        <f>+$AC683*BF683</f>
        <v>0</v>
      </c>
      <c r="AH683" s="5">
        <f>+$AC683*BG683</f>
        <v>0</v>
      </c>
      <c r="AI683" s="5">
        <f>+$AC683*BH683</f>
        <v>0</v>
      </c>
      <c r="AJ683" s="5">
        <f>+$AC683*BI683</f>
        <v>0</v>
      </c>
      <c r="AK683" s="5">
        <f>+$AC683*BJ683</f>
        <v>0</v>
      </c>
      <c r="AL683" s="5">
        <f>+$AC683*BK683</f>
        <v>0</v>
      </c>
      <c r="AM683" s="5">
        <f>+$AC683*BL683</f>
        <v>0</v>
      </c>
      <c r="AN683" s="5">
        <f>+$AC683*BM683</f>
        <v>0</v>
      </c>
      <c r="AO683" s="5">
        <f>+$AC683*BN683</f>
        <v>0</v>
      </c>
      <c r="AP683" s="5">
        <f>+AC683+P683+C683</f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2">
        <v>8.9181565948742242E-2</v>
      </c>
      <c r="BD683" s="2">
        <v>0.10665277883445198</v>
      </c>
      <c r="BE683" s="2">
        <v>9.438849084854764E-2</v>
      </c>
      <c r="BF683" s="2">
        <v>7.149564986855049E-2</v>
      </c>
      <c r="BG683" s="2">
        <v>0.10368571810536763</v>
      </c>
      <c r="BH683" s="2">
        <v>8.4970330952544637E-2</v>
      </c>
      <c r="BI683" s="2">
        <v>8.4593878877262704E-2</v>
      </c>
      <c r="BJ683" s="2">
        <v>5.7447105462779965E-2</v>
      </c>
      <c r="BK683" s="2">
        <v>8.5153852345557474E-2</v>
      </c>
      <c r="BL683" s="2">
        <v>7.4158058913035174E-2</v>
      </c>
      <c r="BM683" s="2">
        <v>7.5718189192107169E-2</v>
      </c>
      <c r="BN683" s="2">
        <v>7.3955559365675619E-2</v>
      </c>
    </row>
    <row r="684" spans="1:66" x14ac:dyDescent="0.25">
      <c r="A684" s="8">
        <v>4805</v>
      </c>
      <c r="B684" s="8" t="s">
        <v>312</v>
      </c>
      <c r="C684" s="5">
        <v>0</v>
      </c>
      <c r="D684" s="5">
        <f>+$C684*BC684</f>
        <v>0</v>
      </c>
      <c r="E684" s="5">
        <f>+$C684*BD684</f>
        <v>0</v>
      </c>
      <c r="F684" s="5">
        <f>+$C684*BE684</f>
        <v>0</v>
      </c>
      <c r="G684" s="5">
        <f>+$C684*BF684</f>
        <v>0</v>
      </c>
      <c r="H684" s="5">
        <f>+$C684*BG684</f>
        <v>0</v>
      </c>
      <c r="I684" s="5">
        <f>+$C684*BH684</f>
        <v>0</v>
      </c>
      <c r="J684" s="5">
        <f>+$C684*BI684</f>
        <v>0</v>
      </c>
      <c r="K684" s="5">
        <f>+$C684*BJ684</f>
        <v>0</v>
      </c>
      <c r="L684" s="5">
        <f>+$C684*BK684</f>
        <v>0</v>
      </c>
      <c r="M684" s="5">
        <f>+$C684*BL684</f>
        <v>0</v>
      </c>
      <c r="N684" s="5">
        <f>+$C684*BM684</f>
        <v>0</v>
      </c>
      <c r="O684" s="5">
        <f>+$C684*BN684</f>
        <v>0</v>
      </c>
      <c r="P684" s="5">
        <v>1000</v>
      </c>
      <c r="Q684" s="5">
        <f>+$P684*BC684</f>
        <v>89.181565948742247</v>
      </c>
      <c r="R684" s="5">
        <f>+$P684*BD684</f>
        <v>106.65277883445198</v>
      </c>
      <c r="S684" s="5">
        <f>+$P684*BE684</f>
        <v>94.388490848547647</v>
      </c>
      <c r="T684" s="5">
        <f>+$P684*BF684</f>
        <v>71.495649868550487</v>
      </c>
      <c r="U684" s="5">
        <f>+$P684*BG684</f>
        <v>103.68571810536763</v>
      </c>
      <c r="V684" s="5">
        <f>+$P684*BH684</f>
        <v>84.970330952544643</v>
      </c>
      <c r="W684" s="5">
        <f>+$P684*BI684</f>
        <v>84.593878877262711</v>
      </c>
      <c r="X684" s="5">
        <f>+$P684*BJ684</f>
        <v>57.447105462779966</v>
      </c>
      <c r="Y684" s="5">
        <f>+$P684*BK684</f>
        <v>85.153852345557468</v>
      </c>
      <c r="Z684" s="5">
        <f>+$P684*BL684</f>
        <v>74.158058913035177</v>
      </c>
      <c r="AA684" s="5">
        <f>+$P684*BM684</f>
        <v>75.718189192107175</v>
      </c>
      <c r="AB684" s="5">
        <f>+$P684*BN684</f>
        <v>73.955559365675626</v>
      </c>
      <c r="AC684" s="5">
        <v>0</v>
      </c>
      <c r="AD684" s="5">
        <f>+$AC684*BC684</f>
        <v>0</v>
      </c>
      <c r="AE684" s="5">
        <f>+$AC684*BD684</f>
        <v>0</v>
      </c>
      <c r="AF684" s="5">
        <f>+$AC684*BE684</f>
        <v>0</v>
      </c>
      <c r="AG684" s="5">
        <f>+$AC684*BF684</f>
        <v>0</v>
      </c>
      <c r="AH684" s="5">
        <f>+$AC684*BG684</f>
        <v>0</v>
      </c>
      <c r="AI684" s="5">
        <f>+$AC684*BH684</f>
        <v>0</v>
      </c>
      <c r="AJ684" s="5">
        <f>+$AC684*BI684</f>
        <v>0</v>
      </c>
      <c r="AK684" s="5">
        <f>+$AC684*BJ684</f>
        <v>0</v>
      </c>
      <c r="AL684" s="5">
        <f>+$AC684*BK684</f>
        <v>0</v>
      </c>
      <c r="AM684" s="5">
        <f>+$AC684*BL684</f>
        <v>0</v>
      </c>
      <c r="AN684" s="5">
        <f>+$AC684*BM684</f>
        <v>0</v>
      </c>
      <c r="AO684" s="5">
        <f>+$AC684*BN684</f>
        <v>0</v>
      </c>
      <c r="AP684" s="5">
        <f>+AC684+P684+C684</f>
        <v>1000</v>
      </c>
      <c r="AQ684" s="1">
        <v>70.631800231403872</v>
      </c>
      <c r="AR684" s="1">
        <v>84.469000836885982</v>
      </c>
      <c r="AS684" s="1">
        <v>74.755684752049746</v>
      </c>
      <c r="AT684" s="1">
        <v>56.624554695891995</v>
      </c>
      <c r="AU684" s="1">
        <v>82.119088739451172</v>
      </c>
      <c r="AV684" s="1">
        <v>67.296502114415361</v>
      </c>
      <c r="AW684" s="1">
        <v>66.998352070792066</v>
      </c>
      <c r="AX684" s="1">
        <v>45.498107526521736</v>
      </c>
      <c r="AY684" s="1">
        <v>67.441851057681532</v>
      </c>
      <c r="AZ684" s="1">
        <v>58.733182659123869</v>
      </c>
      <c r="BA684" s="1">
        <v>59.968805840148889</v>
      </c>
      <c r="BB684" s="1">
        <v>58.572803017615101</v>
      </c>
      <c r="BC684" s="2">
        <v>8.9181565948742242E-2</v>
      </c>
      <c r="BD684" s="2">
        <v>0.10665277883445198</v>
      </c>
      <c r="BE684" s="2">
        <v>9.438849084854764E-2</v>
      </c>
      <c r="BF684" s="2">
        <v>7.149564986855049E-2</v>
      </c>
      <c r="BG684" s="2">
        <v>0.10368571810536763</v>
      </c>
      <c r="BH684" s="2">
        <v>8.4970330952544637E-2</v>
      </c>
      <c r="BI684" s="2">
        <v>8.4593878877262704E-2</v>
      </c>
      <c r="BJ684" s="2">
        <v>5.7447105462779965E-2</v>
      </c>
      <c r="BK684" s="2">
        <v>8.5153852345557474E-2</v>
      </c>
      <c r="BL684" s="2">
        <v>7.4158058913035174E-2</v>
      </c>
      <c r="BM684" s="2">
        <v>7.5718189192107169E-2</v>
      </c>
      <c r="BN684" s="2">
        <v>7.3955559365675619E-2</v>
      </c>
    </row>
    <row r="685" spans="1:66" x14ac:dyDescent="0.25">
      <c r="A685" s="8">
        <v>4806</v>
      </c>
      <c r="B685" s="8" t="s">
        <v>311</v>
      </c>
      <c r="C685" s="5">
        <v>0</v>
      </c>
      <c r="D685" s="5">
        <f>+$C685*BC685</f>
        <v>0</v>
      </c>
      <c r="E685" s="5">
        <f>+$C685*BD685</f>
        <v>0</v>
      </c>
      <c r="F685" s="5">
        <f>+$C685*BE685</f>
        <v>0</v>
      </c>
      <c r="G685" s="5">
        <f>+$C685*BF685</f>
        <v>0</v>
      </c>
      <c r="H685" s="5">
        <f>+$C685*BG685</f>
        <v>0</v>
      </c>
      <c r="I685" s="5">
        <f>+$C685*BH685</f>
        <v>0</v>
      </c>
      <c r="J685" s="5">
        <f>+$C685*BI685</f>
        <v>0</v>
      </c>
      <c r="K685" s="5">
        <f>+$C685*BJ685</f>
        <v>0</v>
      </c>
      <c r="L685" s="5">
        <f>+$C685*BK685</f>
        <v>0</v>
      </c>
      <c r="M685" s="5">
        <f>+$C685*BL685</f>
        <v>0</v>
      </c>
      <c r="N685" s="5">
        <f>+$C685*BM685</f>
        <v>0</v>
      </c>
      <c r="O685" s="5">
        <f>+$C685*BN685</f>
        <v>0</v>
      </c>
      <c r="P685" s="5">
        <v>0</v>
      </c>
      <c r="Q685" s="5">
        <f>+$P685*BC685</f>
        <v>0</v>
      </c>
      <c r="R685" s="5">
        <f>+$P685*BD685</f>
        <v>0</v>
      </c>
      <c r="S685" s="5">
        <f>+$P685*BE685</f>
        <v>0</v>
      </c>
      <c r="T685" s="5">
        <f>+$P685*BF685</f>
        <v>0</v>
      </c>
      <c r="U685" s="5">
        <f>+$P685*BG685</f>
        <v>0</v>
      </c>
      <c r="V685" s="5">
        <f>+$P685*BH685</f>
        <v>0</v>
      </c>
      <c r="W685" s="5">
        <f>+$P685*BI685</f>
        <v>0</v>
      </c>
      <c r="X685" s="5">
        <f>+$P685*BJ685</f>
        <v>0</v>
      </c>
      <c r="Y685" s="5">
        <f>+$P685*BK685</f>
        <v>0</v>
      </c>
      <c r="Z685" s="5">
        <f>+$P685*BL685</f>
        <v>0</v>
      </c>
      <c r="AA685" s="5">
        <f>+$P685*BM685</f>
        <v>0</v>
      </c>
      <c r="AB685" s="5">
        <f>+$P685*BN685</f>
        <v>0</v>
      </c>
      <c r="AC685" s="5">
        <v>0</v>
      </c>
      <c r="AD685" s="5">
        <f>+$AC685*BC685</f>
        <v>0</v>
      </c>
      <c r="AE685" s="5">
        <f>+$AC685*BD685</f>
        <v>0</v>
      </c>
      <c r="AF685" s="5">
        <f>+$AC685*BE685</f>
        <v>0</v>
      </c>
      <c r="AG685" s="5">
        <f>+$AC685*BF685</f>
        <v>0</v>
      </c>
      <c r="AH685" s="5">
        <f>+$AC685*BG685</f>
        <v>0</v>
      </c>
      <c r="AI685" s="5">
        <f>+$AC685*BH685</f>
        <v>0</v>
      </c>
      <c r="AJ685" s="5">
        <f>+$AC685*BI685</f>
        <v>0</v>
      </c>
      <c r="AK685" s="5">
        <f>+$AC685*BJ685</f>
        <v>0</v>
      </c>
      <c r="AL685" s="5">
        <f>+$AC685*BK685</f>
        <v>0</v>
      </c>
      <c r="AM685" s="5">
        <f>+$AC685*BL685</f>
        <v>0</v>
      </c>
      <c r="AN685" s="5">
        <f>+$AC685*BM685</f>
        <v>0</v>
      </c>
      <c r="AO685" s="5">
        <f>+$AC685*BN685</f>
        <v>0</v>
      </c>
      <c r="AP685" s="5">
        <f>+AC685+P685+C685</f>
        <v>0</v>
      </c>
      <c r="AQ685" s="1">
        <v>238.18906932757713</v>
      </c>
      <c r="AR685" s="1">
        <v>284.85176125275598</v>
      </c>
      <c r="AS685" s="1">
        <v>252.09589617849909</v>
      </c>
      <c r="AT685" s="1">
        <v>190.95294102537034</v>
      </c>
      <c r="AU685" s="1">
        <v>276.92723754451339</v>
      </c>
      <c r="AV685" s="1">
        <v>226.9415639289777</v>
      </c>
      <c r="AW685" s="1">
        <v>225.93612330339622</v>
      </c>
      <c r="AX685" s="1">
        <v>153.43162502447302</v>
      </c>
      <c r="AY685" s="1">
        <v>227.43171892164236</v>
      </c>
      <c r="AZ685" s="1">
        <v>198.06379096087852</v>
      </c>
      <c r="BA685" s="1">
        <v>202.2306383945232</v>
      </c>
      <c r="BB685" s="1">
        <v>197.52294848730554</v>
      </c>
      <c r="BC685" s="2">
        <v>8.9181565948742242E-2</v>
      </c>
      <c r="BD685" s="2">
        <v>0.10665277883445198</v>
      </c>
      <c r="BE685" s="2">
        <v>9.438849084854764E-2</v>
      </c>
      <c r="BF685" s="2">
        <v>7.149564986855049E-2</v>
      </c>
      <c r="BG685" s="2">
        <v>0.10368571810536763</v>
      </c>
      <c r="BH685" s="2">
        <v>8.4970330952544637E-2</v>
      </c>
      <c r="BI685" s="2">
        <v>8.4593878877262704E-2</v>
      </c>
      <c r="BJ685" s="2">
        <v>5.7447105462779965E-2</v>
      </c>
      <c r="BK685" s="2">
        <v>8.5153852345557474E-2</v>
      </c>
      <c r="BL685" s="2">
        <v>7.4158058913035174E-2</v>
      </c>
      <c r="BM685" s="2">
        <v>7.5718189192107169E-2</v>
      </c>
      <c r="BN685" s="2">
        <v>7.3955559365675619E-2</v>
      </c>
    </row>
    <row r="686" spans="1:66" x14ac:dyDescent="0.25">
      <c r="A686" s="8">
        <v>4814</v>
      </c>
      <c r="B686" s="8" t="s">
        <v>310</v>
      </c>
      <c r="C686" s="5">
        <v>0</v>
      </c>
      <c r="D686" s="5">
        <f>+$C686*BC686</f>
        <v>0</v>
      </c>
      <c r="E686" s="5">
        <f>+$C686*BD686</f>
        <v>0</v>
      </c>
      <c r="F686" s="5">
        <f>+$C686*BE686</f>
        <v>0</v>
      </c>
      <c r="G686" s="5">
        <f>+$C686*BF686</f>
        <v>0</v>
      </c>
      <c r="H686" s="5">
        <f>+$C686*BG686</f>
        <v>0</v>
      </c>
      <c r="I686" s="5">
        <f>+$C686*BH686</f>
        <v>0</v>
      </c>
      <c r="J686" s="5">
        <f>+$C686*BI686</f>
        <v>0</v>
      </c>
      <c r="K686" s="5">
        <f>+$C686*BJ686</f>
        <v>0</v>
      </c>
      <c r="L686" s="5">
        <f>+$C686*BK686</f>
        <v>0</v>
      </c>
      <c r="M686" s="5">
        <f>+$C686*BL686</f>
        <v>0</v>
      </c>
      <c r="N686" s="5">
        <f>+$C686*BM686</f>
        <v>0</v>
      </c>
      <c r="O686" s="5">
        <f>+$C686*BN686</f>
        <v>0</v>
      </c>
      <c r="P686" s="5">
        <v>4000</v>
      </c>
      <c r="Q686" s="5">
        <f>+$P686*BC686</f>
        <v>356.72626379496899</v>
      </c>
      <c r="R686" s="5">
        <f>+$P686*BD686</f>
        <v>426.61111533780792</v>
      </c>
      <c r="S686" s="5">
        <f>+$P686*BE686</f>
        <v>377.55396339419059</v>
      </c>
      <c r="T686" s="5">
        <f>+$P686*BF686</f>
        <v>285.98259947420195</v>
      </c>
      <c r="U686" s="5">
        <f>+$P686*BG686</f>
        <v>414.74287242147051</v>
      </c>
      <c r="V686" s="5">
        <f>+$P686*BH686</f>
        <v>339.88132381017857</v>
      </c>
      <c r="W686" s="5">
        <f>+$P686*BI686</f>
        <v>338.37551550905084</v>
      </c>
      <c r="X686" s="5">
        <f>+$P686*BJ686</f>
        <v>229.78842185111986</v>
      </c>
      <c r="Y686" s="5">
        <f>+$P686*BK686</f>
        <v>340.61540938222987</v>
      </c>
      <c r="Z686" s="5">
        <f>+$P686*BL686</f>
        <v>296.63223565214071</v>
      </c>
      <c r="AA686" s="5">
        <f>+$P686*BM686</f>
        <v>302.8727567684287</v>
      </c>
      <c r="AB686" s="5">
        <f>+$P686*BN686</f>
        <v>295.8222374627025</v>
      </c>
      <c r="AC686" s="5">
        <v>0</v>
      </c>
      <c r="AD686" s="5">
        <f>+$AC686*BC686</f>
        <v>0</v>
      </c>
      <c r="AE686" s="5">
        <f>+$AC686*BD686</f>
        <v>0</v>
      </c>
      <c r="AF686" s="5">
        <f>+$AC686*BE686</f>
        <v>0</v>
      </c>
      <c r="AG686" s="5">
        <f>+$AC686*BF686</f>
        <v>0</v>
      </c>
      <c r="AH686" s="5">
        <f>+$AC686*BG686</f>
        <v>0</v>
      </c>
      <c r="AI686" s="5">
        <f>+$AC686*BH686</f>
        <v>0</v>
      </c>
      <c r="AJ686" s="5">
        <f>+$AC686*BI686</f>
        <v>0</v>
      </c>
      <c r="AK686" s="5">
        <f>+$AC686*BJ686</f>
        <v>0</v>
      </c>
      <c r="AL686" s="5">
        <f>+$AC686*BK686</f>
        <v>0</v>
      </c>
      <c r="AM686" s="5">
        <f>+$AC686*BL686</f>
        <v>0</v>
      </c>
      <c r="AN686" s="5">
        <f>+$AC686*BM686</f>
        <v>0</v>
      </c>
      <c r="AO686" s="5">
        <f>+$AC686*BN686</f>
        <v>0</v>
      </c>
      <c r="AP686" s="5">
        <f>+AC686+P686+C686</f>
        <v>4000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2">
        <v>8.9181565948742242E-2</v>
      </c>
      <c r="BD686" s="2">
        <v>0.10665277883445198</v>
      </c>
      <c r="BE686" s="2">
        <v>9.438849084854764E-2</v>
      </c>
      <c r="BF686" s="2">
        <v>7.149564986855049E-2</v>
      </c>
      <c r="BG686" s="2">
        <v>0.10368571810536763</v>
      </c>
      <c r="BH686" s="2">
        <v>8.4970330952544637E-2</v>
      </c>
      <c r="BI686" s="2">
        <v>8.4593878877262704E-2</v>
      </c>
      <c r="BJ686" s="2">
        <v>5.7447105462779965E-2</v>
      </c>
      <c r="BK686" s="2">
        <v>8.5153852345557474E-2</v>
      </c>
      <c r="BL686" s="2">
        <v>7.4158058913035174E-2</v>
      </c>
      <c r="BM686" s="2">
        <v>7.5718189192107169E-2</v>
      </c>
      <c r="BN686" s="2">
        <v>7.3955559365675619E-2</v>
      </c>
    </row>
    <row r="687" spans="1:66" x14ac:dyDescent="0.25">
      <c r="A687" s="8">
        <v>4845</v>
      </c>
      <c r="B687" s="8" t="s">
        <v>309</v>
      </c>
      <c r="C687" s="5">
        <v>0</v>
      </c>
      <c r="D687" s="5">
        <f>+$C687*BC687</f>
        <v>0</v>
      </c>
      <c r="E687" s="5">
        <f>+$C687*BD687</f>
        <v>0</v>
      </c>
      <c r="F687" s="5">
        <f>+$C687*BE687</f>
        <v>0</v>
      </c>
      <c r="G687" s="5">
        <f>+$C687*BF687</f>
        <v>0</v>
      </c>
      <c r="H687" s="5">
        <f>+$C687*BG687</f>
        <v>0</v>
      </c>
      <c r="I687" s="5">
        <f>+$C687*BH687</f>
        <v>0</v>
      </c>
      <c r="J687" s="5">
        <f>+$C687*BI687</f>
        <v>0</v>
      </c>
      <c r="K687" s="5">
        <f>+$C687*BJ687</f>
        <v>0</v>
      </c>
      <c r="L687" s="5">
        <f>+$C687*BK687</f>
        <v>0</v>
      </c>
      <c r="M687" s="5">
        <f>+$C687*BL687</f>
        <v>0</v>
      </c>
      <c r="N687" s="5">
        <f>+$C687*BM687</f>
        <v>0</v>
      </c>
      <c r="O687" s="5">
        <f>+$C687*BN687</f>
        <v>0</v>
      </c>
      <c r="P687" s="5">
        <v>1500</v>
      </c>
      <c r="Q687" s="5">
        <f>+$P687*BC687</f>
        <v>133.77234892311336</v>
      </c>
      <c r="R687" s="5">
        <f>+$P687*BD687</f>
        <v>159.97916825167798</v>
      </c>
      <c r="S687" s="5">
        <f>+$P687*BE687</f>
        <v>141.58273627282145</v>
      </c>
      <c r="T687" s="5">
        <f>+$P687*BF687</f>
        <v>107.24347480282573</v>
      </c>
      <c r="U687" s="5">
        <f>+$P687*BG687</f>
        <v>155.52857715805143</v>
      </c>
      <c r="V687" s="5">
        <f>+$P687*BH687</f>
        <v>127.45549642881696</v>
      </c>
      <c r="W687" s="5">
        <f>+$P687*BI687</f>
        <v>126.89081831589405</v>
      </c>
      <c r="X687" s="5">
        <f>+$P687*BJ687</f>
        <v>86.170658194169945</v>
      </c>
      <c r="Y687" s="5">
        <f>+$P687*BK687</f>
        <v>127.73077851833621</v>
      </c>
      <c r="Z687" s="5">
        <f>+$P687*BL687</f>
        <v>111.23708836955277</v>
      </c>
      <c r="AA687" s="5">
        <f>+$P687*BM687</f>
        <v>113.57728378816076</v>
      </c>
      <c r="AB687" s="5">
        <f>+$P687*BN687</f>
        <v>110.93333904851343</v>
      </c>
      <c r="AC687" s="5">
        <v>0</v>
      </c>
      <c r="AD687" s="5">
        <f>+$AC687*BC687</f>
        <v>0</v>
      </c>
      <c r="AE687" s="5">
        <f>+$AC687*BD687</f>
        <v>0</v>
      </c>
      <c r="AF687" s="5">
        <f>+$AC687*BE687</f>
        <v>0</v>
      </c>
      <c r="AG687" s="5">
        <f>+$AC687*BF687</f>
        <v>0</v>
      </c>
      <c r="AH687" s="5">
        <f>+$AC687*BG687</f>
        <v>0</v>
      </c>
      <c r="AI687" s="5">
        <f>+$AC687*BH687</f>
        <v>0</v>
      </c>
      <c r="AJ687" s="5">
        <f>+$AC687*BI687</f>
        <v>0</v>
      </c>
      <c r="AK687" s="5">
        <f>+$AC687*BJ687</f>
        <v>0</v>
      </c>
      <c r="AL687" s="5">
        <f>+$AC687*BK687</f>
        <v>0</v>
      </c>
      <c r="AM687" s="5">
        <f>+$AC687*BL687</f>
        <v>0</v>
      </c>
      <c r="AN687" s="5">
        <f>+$AC687*BM687</f>
        <v>0</v>
      </c>
      <c r="AO687" s="5">
        <f>+$AC687*BN687</f>
        <v>0</v>
      </c>
      <c r="AP687" s="5">
        <f>+AC687+P687+C687</f>
        <v>1500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2">
        <v>8.9181565948742242E-2</v>
      </c>
      <c r="BD687" s="2">
        <v>0.10665277883445198</v>
      </c>
      <c r="BE687" s="2">
        <v>9.438849084854764E-2</v>
      </c>
      <c r="BF687" s="2">
        <v>7.149564986855049E-2</v>
      </c>
      <c r="BG687" s="2">
        <v>0.10368571810536763</v>
      </c>
      <c r="BH687" s="2">
        <v>8.4970330952544637E-2</v>
      </c>
      <c r="BI687" s="2">
        <v>8.4593878877262704E-2</v>
      </c>
      <c r="BJ687" s="2">
        <v>5.7447105462779965E-2</v>
      </c>
      <c r="BK687" s="2">
        <v>8.5153852345557474E-2</v>
      </c>
      <c r="BL687" s="2">
        <v>7.4158058913035174E-2</v>
      </c>
      <c r="BM687" s="2">
        <v>7.5718189192107169E-2</v>
      </c>
      <c r="BN687" s="2">
        <v>7.3955559365675619E-2</v>
      </c>
    </row>
    <row r="688" spans="1:66" x14ac:dyDescent="0.25">
      <c r="A688" s="8">
        <v>4874</v>
      </c>
      <c r="B688" s="8" t="s">
        <v>308</v>
      </c>
      <c r="C688" s="5">
        <v>0</v>
      </c>
      <c r="D688" s="5">
        <f>+$C688*BC688</f>
        <v>0</v>
      </c>
      <c r="E688" s="5">
        <f>+$C688*BD688</f>
        <v>0</v>
      </c>
      <c r="F688" s="5">
        <f>+$C688*BE688</f>
        <v>0</v>
      </c>
      <c r="G688" s="5">
        <f>+$C688*BF688</f>
        <v>0</v>
      </c>
      <c r="H688" s="5">
        <f>+$C688*BG688</f>
        <v>0</v>
      </c>
      <c r="I688" s="5">
        <f>+$C688*BH688</f>
        <v>0</v>
      </c>
      <c r="J688" s="5">
        <f>+$C688*BI688</f>
        <v>0</v>
      </c>
      <c r="K688" s="5">
        <f>+$C688*BJ688</f>
        <v>0</v>
      </c>
      <c r="L688" s="5">
        <f>+$C688*BK688</f>
        <v>0</v>
      </c>
      <c r="M688" s="5">
        <f>+$C688*BL688</f>
        <v>0</v>
      </c>
      <c r="N688" s="5">
        <f>+$C688*BM688</f>
        <v>0</v>
      </c>
      <c r="O688" s="5">
        <f>+$C688*BN688</f>
        <v>0</v>
      </c>
      <c r="P688" s="5">
        <v>4000</v>
      </c>
      <c r="Q688" s="5">
        <f>+$P688*BC688</f>
        <v>356.72626379496899</v>
      </c>
      <c r="R688" s="5">
        <f>+$P688*BD688</f>
        <v>426.61111533780792</v>
      </c>
      <c r="S688" s="5">
        <f>+$P688*BE688</f>
        <v>377.55396339419059</v>
      </c>
      <c r="T688" s="5">
        <f>+$P688*BF688</f>
        <v>285.98259947420195</v>
      </c>
      <c r="U688" s="5">
        <f>+$P688*BG688</f>
        <v>414.74287242147051</v>
      </c>
      <c r="V688" s="5">
        <f>+$P688*BH688</f>
        <v>339.88132381017857</v>
      </c>
      <c r="W688" s="5">
        <f>+$P688*BI688</f>
        <v>338.37551550905084</v>
      </c>
      <c r="X688" s="5">
        <f>+$P688*BJ688</f>
        <v>229.78842185111986</v>
      </c>
      <c r="Y688" s="5">
        <f>+$P688*BK688</f>
        <v>340.61540938222987</v>
      </c>
      <c r="Z688" s="5">
        <f>+$P688*BL688</f>
        <v>296.63223565214071</v>
      </c>
      <c r="AA688" s="5">
        <f>+$P688*BM688</f>
        <v>302.8727567684287</v>
      </c>
      <c r="AB688" s="5">
        <f>+$P688*BN688</f>
        <v>295.8222374627025</v>
      </c>
      <c r="AC688" s="5">
        <v>0</v>
      </c>
      <c r="AD688" s="5">
        <f>+$AC688*BC688</f>
        <v>0</v>
      </c>
      <c r="AE688" s="5">
        <f>+$AC688*BD688</f>
        <v>0</v>
      </c>
      <c r="AF688" s="5">
        <f>+$AC688*BE688</f>
        <v>0</v>
      </c>
      <c r="AG688" s="5">
        <f>+$AC688*BF688</f>
        <v>0</v>
      </c>
      <c r="AH688" s="5">
        <f>+$AC688*BG688</f>
        <v>0</v>
      </c>
      <c r="AI688" s="5">
        <f>+$AC688*BH688</f>
        <v>0</v>
      </c>
      <c r="AJ688" s="5">
        <f>+$AC688*BI688</f>
        <v>0</v>
      </c>
      <c r="AK688" s="5">
        <f>+$AC688*BJ688</f>
        <v>0</v>
      </c>
      <c r="AL688" s="5">
        <f>+$AC688*BK688</f>
        <v>0</v>
      </c>
      <c r="AM688" s="5">
        <f>+$AC688*BL688</f>
        <v>0</v>
      </c>
      <c r="AN688" s="5">
        <f>+$AC688*BM688</f>
        <v>0</v>
      </c>
      <c r="AO688" s="5">
        <f>+$AC688*BN688</f>
        <v>0</v>
      </c>
      <c r="AP688" s="5">
        <f>+AC688+P688+C688</f>
        <v>4000</v>
      </c>
      <c r="AQ688" s="1">
        <v>39.337988739990202</v>
      </c>
      <c r="AR688" s="1">
        <v>47.044540743876773</v>
      </c>
      <c r="AS688" s="1">
        <v>41.634763313294364</v>
      </c>
      <c r="AT688" s="1">
        <v>31.536731157017623</v>
      </c>
      <c r="AU688" s="1">
        <v>45.735770256277661</v>
      </c>
      <c r="AV688" s="1">
        <v>37.48041298316744</v>
      </c>
      <c r="AW688" s="1">
        <v>37.314359972760577</v>
      </c>
      <c r="AX688" s="1">
        <v>25.339918219632246</v>
      </c>
      <c r="AY688" s="1">
        <v>37.5613642696254</v>
      </c>
      <c r="AZ688" s="1">
        <v>32.711119786539818</v>
      </c>
      <c r="BA688" s="1">
        <v>33.399293252638472</v>
      </c>
      <c r="BB688" s="1">
        <v>32.621797236199519</v>
      </c>
      <c r="BC688" s="2">
        <v>8.9181565948742242E-2</v>
      </c>
      <c r="BD688" s="2">
        <v>0.10665277883445198</v>
      </c>
      <c r="BE688" s="2">
        <v>9.438849084854764E-2</v>
      </c>
      <c r="BF688" s="2">
        <v>7.149564986855049E-2</v>
      </c>
      <c r="BG688" s="2">
        <v>0.10368571810536763</v>
      </c>
      <c r="BH688" s="2">
        <v>8.4970330952544637E-2</v>
      </c>
      <c r="BI688" s="2">
        <v>8.4593878877262704E-2</v>
      </c>
      <c r="BJ688" s="2">
        <v>5.7447105462779965E-2</v>
      </c>
      <c r="BK688" s="2">
        <v>8.5153852345557474E-2</v>
      </c>
      <c r="BL688" s="2">
        <v>7.4158058913035174E-2</v>
      </c>
      <c r="BM688" s="2">
        <v>7.5718189192107169E-2</v>
      </c>
      <c r="BN688" s="2">
        <v>7.3955559365675619E-2</v>
      </c>
    </row>
    <row r="689" spans="1:66" x14ac:dyDescent="0.25">
      <c r="A689" s="8">
        <v>4906</v>
      </c>
      <c r="B689" s="8" t="s">
        <v>307</v>
      </c>
      <c r="C689" s="5">
        <v>0</v>
      </c>
      <c r="D689" s="5">
        <f>+$C689*BC689</f>
        <v>0</v>
      </c>
      <c r="E689" s="5">
        <f>+$C689*BD689</f>
        <v>0</v>
      </c>
      <c r="F689" s="5">
        <f>+$C689*BE689</f>
        <v>0</v>
      </c>
      <c r="G689" s="5">
        <f>+$C689*BF689</f>
        <v>0</v>
      </c>
      <c r="H689" s="5">
        <f>+$C689*BG689</f>
        <v>0</v>
      </c>
      <c r="I689" s="5">
        <f>+$C689*BH689</f>
        <v>0</v>
      </c>
      <c r="J689" s="5">
        <f>+$C689*BI689</f>
        <v>0</v>
      </c>
      <c r="K689" s="5">
        <f>+$C689*BJ689</f>
        <v>0</v>
      </c>
      <c r="L689" s="5">
        <f>+$C689*BK689</f>
        <v>0</v>
      </c>
      <c r="M689" s="5">
        <f>+$C689*BL689</f>
        <v>0</v>
      </c>
      <c r="N689" s="5">
        <f>+$C689*BM689</f>
        <v>0</v>
      </c>
      <c r="O689" s="5">
        <f>+$C689*BN689</f>
        <v>0</v>
      </c>
      <c r="P689" s="5">
        <v>0</v>
      </c>
      <c r="Q689" s="5">
        <f>+$P689*BC689</f>
        <v>0</v>
      </c>
      <c r="R689" s="5">
        <f>+$P689*BD689</f>
        <v>0</v>
      </c>
      <c r="S689" s="5">
        <f>+$P689*BE689</f>
        <v>0</v>
      </c>
      <c r="T689" s="5">
        <f>+$P689*BF689</f>
        <v>0</v>
      </c>
      <c r="U689" s="5">
        <f>+$P689*BG689</f>
        <v>0</v>
      </c>
      <c r="V689" s="5">
        <f>+$P689*BH689</f>
        <v>0</v>
      </c>
      <c r="W689" s="5">
        <f>+$P689*BI689</f>
        <v>0</v>
      </c>
      <c r="X689" s="5">
        <f>+$P689*BJ689</f>
        <v>0</v>
      </c>
      <c r="Y689" s="5">
        <f>+$P689*BK689</f>
        <v>0</v>
      </c>
      <c r="Z689" s="5">
        <f>+$P689*BL689</f>
        <v>0</v>
      </c>
      <c r="AA689" s="5">
        <f>+$P689*BM689</f>
        <v>0</v>
      </c>
      <c r="AB689" s="5">
        <f>+$P689*BN689</f>
        <v>0</v>
      </c>
      <c r="AC689" s="5">
        <v>0</v>
      </c>
      <c r="AD689" s="5">
        <f>+$AC689*BC689</f>
        <v>0</v>
      </c>
      <c r="AE689" s="5">
        <f>+$AC689*BD689</f>
        <v>0</v>
      </c>
      <c r="AF689" s="5">
        <f>+$AC689*BE689</f>
        <v>0</v>
      </c>
      <c r="AG689" s="5">
        <f>+$AC689*BF689</f>
        <v>0</v>
      </c>
      <c r="AH689" s="5">
        <f>+$AC689*BG689</f>
        <v>0</v>
      </c>
      <c r="AI689" s="5">
        <f>+$AC689*BH689</f>
        <v>0</v>
      </c>
      <c r="AJ689" s="5">
        <f>+$AC689*BI689</f>
        <v>0</v>
      </c>
      <c r="AK689" s="5">
        <f>+$AC689*BJ689</f>
        <v>0</v>
      </c>
      <c r="AL689" s="5">
        <f>+$AC689*BK689</f>
        <v>0</v>
      </c>
      <c r="AM689" s="5">
        <f>+$AC689*BL689</f>
        <v>0</v>
      </c>
      <c r="AN689" s="5">
        <f>+$AC689*BM689</f>
        <v>0</v>
      </c>
      <c r="AO689" s="5">
        <f>+$AC689*BN689</f>
        <v>0</v>
      </c>
      <c r="AP689" s="5">
        <f>+AC689+P689+C689</f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2">
        <v>8.9181565948742242E-2</v>
      </c>
      <c r="BD689" s="2">
        <v>0.10665277883445198</v>
      </c>
      <c r="BE689" s="2">
        <v>9.438849084854764E-2</v>
      </c>
      <c r="BF689" s="2">
        <v>7.149564986855049E-2</v>
      </c>
      <c r="BG689" s="2">
        <v>0.10368571810536763</v>
      </c>
      <c r="BH689" s="2">
        <v>8.4970330952544637E-2</v>
      </c>
      <c r="BI689" s="2">
        <v>8.4593878877262704E-2</v>
      </c>
      <c r="BJ689" s="2">
        <v>5.7447105462779965E-2</v>
      </c>
      <c r="BK689" s="2">
        <v>8.5153852345557474E-2</v>
      </c>
      <c r="BL689" s="2">
        <v>7.4158058913035174E-2</v>
      </c>
      <c r="BM689" s="2">
        <v>7.5718189192107169E-2</v>
      </c>
      <c r="BN689" s="2">
        <v>7.3955559365675619E-2</v>
      </c>
    </row>
    <row r="690" spans="1:66" x14ac:dyDescent="0.25">
      <c r="A690" s="8">
        <v>4912</v>
      </c>
      <c r="B690" s="8" t="s">
        <v>306</v>
      </c>
      <c r="C690" s="5">
        <v>0</v>
      </c>
      <c r="D690" s="5">
        <f>+$C690*BC690</f>
        <v>0</v>
      </c>
      <c r="E690" s="5">
        <f>+$C690*BD690</f>
        <v>0</v>
      </c>
      <c r="F690" s="5">
        <f>+$C690*BE690</f>
        <v>0</v>
      </c>
      <c r="G690" s="5">
        <f>+$C690*BF690</f>
        <v>0</v>
      </c>
      <c r="H690" s="5">
        <f>+$C690*BG690</f>
        <v>0</v>
      </c>
      <c r="I690" s="5">
        <f>+$C690*BH690</f>
        <v>0</v>
      </c>
      <c r="J690" s="5">
        <f>+$C690*BI690</f>
        <v>0</v>
      </c>
      <c r="K690" s="5">
        <f>+$C690*BJ690</f>
        <v>0</v>
      </c>
      <c r="L690" s="5">
        <f>+$C690*BK690</f>
        <v>0</v>
      </c>
      <c r="M690" s="5">
        <f>+$C690*BL690</f>
        <v>0</v>
      </c>
      <c r="N690" s="5">
        <f>+$C690*BM690</f>
        <v>0</v>
      </c>
      <c r="O690" s="5">
        <f>+$C690*BN690</f>
        <v>0</v>
      </c>
      <c r="P690" s="5">
        <v>0</v>
      </c>
      <c r="Q690" s="5">
        <f>+$P690*BC690</f>
        <v>0</v>
      </c>
      <c r="R690" s="5">
        <f>+$P690*BD690</f>
        <v>0</v>
      </c>
      <c r="S690" s="5">
        <f>+$P690*BE690</f>
        <v>0</v>
      </c>
      <c r="T690" s="5">
        <f>+$P690*BF690</f>
        <v>0</v>
      </c>
      <c r="U690" s="5">
        <f>+$P690*BG690</f>
        <v>0</v>
      </c>
      <c r="V690" s="5">
        <f>+$P690*BH690</f>
        <v>0</v>
      </c>
      <c r="W690" s="5">
        <f>+$P690*BI690</f>
        <v>0</v>
      </c>
      <c r="X690" s="5">
        <f>+$P690*BJ690</f>
        <v>0</v>
      </c>
      <c r="Y690" s="5">
        <f>+$P690*BK690</f>
        <v>0</v>
      </c>
      <c r="Z690" s="5">
        <f>+$P690*BL690</f>
        <v>0</v>
      </c>
      <c r="AA690" s="5">
        <f>+$P690*BM690</f>
        <v>0</v>
      </c>
      <c r="AB690" s="5">
        <f>+$P690*BN690</f>
        <v>0</v>
      </c>
      <c r="AC690" s="5">
        <v>0</v>
      </c>
      <c r="AD690" s="5">
        <f>+$AC690*BC690</f>
        <v>0</v>
      </c>
      <c r="AE690" s="5">
        <f>+$AC690*BD690</f>
        <v>0</v>
      </c>
      <c r="AF690" s="5">
        <f>+$AC690*BE690</f>
        <v>0</v>
      </c>
      <c r="AG690" s="5">
        <f>+$AC690*BF690</f>
        <v>0</v>
      </c>
      <c r="AH690" s="5">
        <f>+$AC690*BG690</f>
        <v>0</v>
      </c>
      <c r="AI690" s="5">
        <f>+$AC690*BH690</f>
        <v>0</v>
      </c>
      <c r="AJ690" s="5">
        <f>+$AC690*BI690</f>
        <v>0</v>
      </c>
      <c r="AK690" s="5">
        <f>+$AC690*BJ690</f>
        <v>0</v>
      </c>
      <c r="AL690" s="5">
        <f>+$AC690*BK690</f>
        <v>0</v>
      </c>
      <c r="AM690" s="5">
        <f>+$AC690*BL690</f>
        <v>0</v>
      </c>
      <c r="AN690" s="5">
        <f>+$AC690*BM690</f>
        <v>0</v>
      </c>
      <c r="AO690" s="5">
        <f>+$AC690*BN690</f>
        <v>0</v>
      </c>
      <c r="AP690" s="5">
        <f>+AC690+P690+C690</f>
        <v>0</v>
      </c>
      <c r="AQ690" s="1">
        <v>0.36296897341138096</v>
      </c>
      <c r="AR690" s="1">
        <v>0.4340768098562196</v>
      </c>
      <c r="AS690" s="1">
        <v>0.38416115775358894</v>
      </c>
      <c r="AT690" s="1">
        <v>0.29098729496500053</v>
      </c>
      <c r="AU690" s="1">
        <v>0.42200087268884628</v>
      </c>
      <c r="AV690" s="1">
        <v>0.34582924697685669</v>
      </c>
      <c r="AW690" s="1">
        <v>0.34429708703045925</v>
      </c>
      <c r="AX690" s="1">
        <v>0.23380971923351448</v>
      </c>
      <c r="AY690" s="1">
        <v>0.34657617904641896</v>
      </c>
      <c r="AZ690" s="1">
        <v>0.30182329977605316</v>
      </c>
      <c r="BA690" s="1">
        <v>0.30817303001187618</v>
      </c>
      <c r="BB690" s="1">
        <v>0.30099912661829981</v>
      </c>
      <c r="BC690" s="2">
        <v>8.9181565948742242E-2</v>
      </c>
      <c r="BD690" s="2">
        <v>0.10665277883445198</v>
      </c>
      <c r="BE690" s="2">
        <v>9.438849084854764E-2</v>
      </c>
      <c r="BF690" s="2">
        <v>7.149564986855049E-2</v>
      </c>
      <c r="BG690" s="2">
        <v>0.10368571810536763</v>
      </c>
      <c r="BH690" s="2">
        <v>8.4970330952544637E-2</v>
      </c>
      <c r="BI690" s="2">
        <v>8.4593878877262704E-2</v>
      </c>
      <c r="BJ690" s="2">
        <v>5.7447105462779965E-2</v>
      </c>
      <c r="BK690" s="2">
        <v>8.5153852345557474E-2</v>
      </c>
      <c r="BL690" s="2">
        <v>7.4158058913035174E-2</v>
      </c>
      <c r="BM690" s="2">
        <v>7.5718189192107169E-2</v>
      </c>
      <c r="BN690" s="2">
        <v>7.3955559365675619E-2</v>
      </c>
    </row>
    <row r="691" spans="1:66" x14ac:dyDescent="0.25">
      <c r="A691" s="8">
        <v>4919</v>
      </c>
      <c r="B691" s="8" t="s">
        <v>305</v>
      </c>
      <c r="C691" s="5">
        <v>0</v>
      </c>
      <c r="D691" s="5">
        <f>+$C691*BC691</f>
        <v>0</v>
      </c>
      <c r="E691" s="5">
        <f>+$C691*BD691</f>
        <v>0</v>
      </c>
      <c r="F691" s="5">
        <f>+$C691*BE691</f>
        <v>0</v>
      </c>
      <c r="G691" s="5">
        <f>+$C691*BF691</f>
        <v>0</v>
      </c>
      <c r="H691" s="5">
        <f>+$C691*BG691</f>
        <v>0</v>
      </c>
      <c r="I691" s="5">
        <f>+$C691*BH691</f>
        <v>0</v>
      </c>
      <c r="J691" s="5">
        <f>+$C691*BI691</f>
        <v>0</v>
      </c>
      <c r="K691" s="5">
        <f>+$C691*BJ691</f>
        <v>0</v>
      </c>
      <c r="L691" s="5">
        <f>+$C691*BK691</f>
        <v>0</v>
      </c>
      <c r="M691" s="5">
        <f>+$C691*BL691</f>
        <v>0</v>
      </c>
      <c r="N691" s="5">
        <f>+$C691*BM691</f>
        <v>0</v>
      </c>
      <c r="O691" s="5">
        <f>+$C691*BN691</f>
        <v>0</v>
      </c>
      <c r="P691" s="5">
        <v>500</v>
      </c>
      <c r="Q691" s="5">
        <f>+$P691*BC691</f>
        <v>44.590782974371123</v>
      </c>
      <c r="R691" s="5">
        <f>+$P691*BD691</f>
        <v>53.32638941722599</v>
      </c>
      <c r="S691" s="5">
        <f>+$P691*BE691</f>
        <v>47.194245424273824</v>
      </c>
      <c r="T691" s="5">
        <f>+$P691*BF691</f>
        <v>35.747824934275243</v>
      </c>
      <c r="U691" s="5">
        <f>+$P691*BG691</f>
        <v>51.842859052683814</v>
      </c>
      <c r="V691" s="5">
        <f>+$P691*BH691</f>
        <v>42.485165476272321</v>
      </c>
      <c r="W691" s="5">
        <f>+$P691*BI691</f>
        <v>42.296939438631355</v>
      </c>
      <c r="X691" s="5">
        <f>+$P691*BJ691</f>
        <v>28.723552731389983</v>
      </c>
      <c r="Y691" s="5">
        <f>+$P691*BK691</f>
        <v>42.576926172778734</v>
      </c>
      <c r="Z691" s="5">
        <f>+$P691*BL691</f>
        <v>37.079029456517588</v>
      </c>
      <c r="AA691" s="5">
        <f>+$P691*BM691</f>
        <v>37.859094596053588</v>
      </c>
      <c r="AB691" s="5">
        <f>+$P691*BN691</f>
        <v>36.977779682837813</v>
      </c>
      <c r="AC691" s="5">
        <v>0</v>
      </c>
      <c r="AD691" s="5">
        <f>+$AC691*BC691</f>
        <v>0</v>
      </c>
      <c r="AE691" s="5">
        <f>+$AC691*BD691</f>
        <v>0</v>
      </c>
      <c r="AF691" s="5">
        <f>+$AC691*BE691</f>
        <v>0</v>
      </c>
      <c r="AG691" s="5">
        <f>+$AC691*BF691</f>
        <v>0</v>
      </c>
      <c r="AH691" s="5">
        <f>+$AC691*BG691</f>
        <v>0</v>
      </c>
      <c r="AI691" s="5">
        <f>+$AC691*BH691</f>
        <v>0</v>
      </c>
      <c r="AJ691" s="5">
        <f>+$AC691*BI691</f>
        <v>0</v>
      </c>
      <c r="AK691" s="5">
        <f>+$AC691*BJ691</f>
        <v>0</v>
      </c>
      <c r="AL691" s="5">
        <f>+$AC691*BK691</f>
        <v>0</v>
      </c>
      <c r="AM691" s="5">
        <f>+$AC691*BL691</f>
        <v>0</v>
      </c>
      <c r="AN691" s="5">
        <f>+$AC691*BM691</f>
        <v>0</v>
      </c>
      <c r="AO691" s="5">
        <f>+$AC691*BN691</f>
        <v>0</v>
      </c>
      <c r="AP691" s="5">
        <f>+AC691+P691+C691</f>
        <v>500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2">
        <v>8.9181565948742242E-2</v>
      </c>
      <c r="BD691" s="2">
        <v>0.10665277883445198</v>
      </c>
      <c r="BE691" s="2">
        <v>9.438849084854764E-2</v>
      </c>
      <c r="BF691" s="2">
        <v>7.149564986855049E-2</v>
      </c>
      <c r="BG691" s="2">
        <v>0.10368571810536763</v>
      </c>
      <c r="BH691" s="2">
        <v>8.4970330952544637E-2</v>
      </c>
      <c r="BI691" s="2">
        <v>8.4593878877262704E-2</v>
      </c>
      <c r="BJ691" s="2">
        <v>5.7447105462779965E-2</v>
      </c>
      <c r="BK691" s="2">
        <v>8.5153852345557474E-2</v>
      </c>
      <c r="BL691" s="2">
        <v>7.4158058913035174E-2</v>
      </c>
      <c r="BM691" s="2">
        <v>7.5718189192107169E-2</v>
      </c>
      <c r="BN691" s="2">
        <v>7.3955559365675619E-2</v>
      </c>
    </row>
    <row r="692" spans="1:66" x14ac:dyDescent="0.25">
      <c r="A692" s="8">
        <v>4921</v>
      </c>
      <c r="B692" s="8" t="s">
        <v>304</v>
      </c>
      <c r="C692" s="5">
        <v>0</v>
      </c>
      <c r="D692" s="5">
        <f>+$C692*BC692</f>
        <v>0</v>
      </c>
      <c r="E692" s="5">
        <f>+$C692*BD692</f>
        <v>0</v>
      </c>
      <c r="F692" s="5">
        <f>+$C692*BE692</f>
        <v>0</v>
      </c>
      <c r="G692" s="5">
        <f>+$C692*BF692</f>
        <v>0</v>
      </c>
      <c r="H692" s="5">
        <f>+$C692*BG692</f>
        <v>0</v>
      </c>
      <c r="I692" s="5">
        <f>+$C692*BH692</f>
        <v>0</v>
      </c>
      <c r="J692" s="5">
        <f>+$C692*BI692</f>
        <v>0</v>
      </c>
      <c r="K692" s="5">
        <f>+$C692*BJ692</f>
        <v>0</v>
      </c>
      <c r="L692" s="5">
        <f>+$C692*BK692</f>
        <v>0</v>
      </c>
      <c r="M692" s="5">
        <f>+$C692*BL692</f>
        <v>0</v>
      </c>
      <c r="N692" s="5">
        <f>+$C692*BM692</f>
        <v>0</v>
      </c>
      <c r="O692" s="5">
        <f>+$C692*BN692</f>
        <v>0</v>
      </c>
      <c r="P692" s="5">
        <v>0</v>
      </c>
      <c r="Q692" s="5">
        <f>+$P692*BC692</f>
        <v>0</v>
      </c>
      <c r="R692" s="5">
        <f>+$P692*BD692</f>
        <v>0</v>
      </c>
      <c r="S692" s="5">
        <f>+$P692*BE692</f>
        <v>0</v>
      </c>
      <c r="T692" s="5">
        <f>+$P692*BF692</f>
        <v>0</v>
      </c>
      <c r="U692" s="5">
        <f>+$P692*BG692</f>
        <v>0</v>
      </c>
      <c r="V692" s="5">
        <f>+$P692*BH692</f>
        <v>0</v>
      </c>
      <c r="W692" s="5">
        <f>+$P692*BI692</f>
        <v>0</v>
      </c>
      <c r="X692" s="5">
        <f>+$P692*BJ692</f>
        <v>0</v>
      </c>
      <c r="Y692" s="5">
        <f>+$P692*BK692</f>
        <v>0</v>
      </c>
      <c r="Z692" s="5">
        <f>+$P692*BL692</f>
        <v>0</v>
      </c>
      <c r="AA692" s="5">
        <f>+$P692*BM692</f>
        <v>0</v>
      </c>
      <c r="AB692" s="5">
        <f>+$P692*BN692</f>
        <v>0</v>
      </c>
      <c r="AC692" s="5">
        <v>0</v>
      </c>
      <c r="AD692" s="5">
        <f>+$AC692*BC692</f>
        <v>0</v>
      </c>
      <c r="AE692" s="5">
        <f>+$AC692*BD692</f>
        <v>0</v>
      </c>
      <c r="AF692" s="5">
        <f>+$AC692*BE692</f>
        <v>0</v>
      </c>
      <c r="AG692" s="5">
        <f>+$AC692*BF692</f>
        <v>0</v>
      </c>
      <c r="AH692" s="5">
        <f>+$AC692*BG692</f>
        <v>0</v>
      </c>
      <c r="AI692" s="5">
        <f>+$AC692*BH692</f>
        <v>0</v>
      </c>
      <c r="AJ692" s="5">
        <f>+$AC692*BI692</f>
        <v>0</v>
      </c>
      <c r="AK692" s="5">
        <f>+$AC692*BJ692</f>
        <v>0</v>
      </c>
      <c r="AL692" s="5">
        <f>+$AC692*BK692</f>
        <v>0</v>
      </c>
      <c r="AM692" s="5">
        <f>+$AC692*BL692</f>
        <v>0</v>
      </c>
      <c r="AN692" s="5">
        <f>+$AC692*BM692</f>
        <v>0</v>
      </c>
      <c r="AO692" s="5">
        <f>+$AC692*BN692</f>
        <v>0</v>
      </c>
      <c r="AP692" s="5">
        <f>+AC692+P692+C692</f>
        <v>0</v>
      </c>
      <c r="AQ692" s="1">
        <v>29.65064113880808</v>
      </c>
      <c r="AR692" s="1">
        <v>35.459382642984423</v>
      </c>
      <c r="AS692" s="1">
        <v>31.38181349487088</v>
      </c>
      <c r="AT692" s="1">
        <v>23.770516190046326</v>
      </c>
      <c r="AU692" s="1">
        <v>34.472909127082104</v>
      </c>
      <c r="AV692" s="1">
        <v>28.250510783447279</v>
      </c>
      <c r="AW692" s="1">
        <v>28.12534987971792</v>
      </c>
      <c r="AX692" s="1">
        <v>19.099726388737771</v>
      </c>
      <c r="AY692" s="1">
        <v>28.311527058589224</v>
      </c>
      <c r="AZ692" s="1">
        <v>24.655700637111373</v>
      </c>
      <c r="BA692" s="1">
        <v>25.174404951645833</v>
      </c>
      <c r="BB692" s="1">
        <v>24.588374600103002</v>
      </c>
      <c r="BC692" s="2">
        <v>8.9181565948742242E-2</v>
      </c>
      <c r="BD692" s="2">
        <v>0.10665277883445198</v>
      </c>
      <c r="BE692" s="2">
        <v>9.438849084854764E-2</v>
      </c>
      <c r="BF692" s="2">
        <v>7.149564986855049E-2</v>
      </c>
      <c r="BG692" s="2">
        <v>0.10368571810536763</v>
      </c>
      <c r="BH692" s="2">
        <v>8.4970330952544637E-2</v>
      </c>
      <c r="BI692" s="2">
        <v>8.4593878877262704E-2</v>
      </c>
      <c r="BJ692" s="2">
        <v>5.7447105462779965E-2</v>
      </c>
      <c r="BK692" s="2">
        <v>8.5153852345557474E-2</v>
      </c>
      <c r="BL692" s="2">
        <v>7.4158058913035174E-2</v>
      </c>
      <c r="BM692" s="2">
        <v>7.5718189192107169E-2</v>
      </c>
      <c r="BN692" s="2">
        <v>7.3955559365675619E-2</v>
      </c>
    </row>
    <row r="693" spans="1:66" x14ac:dyDescent="0.25">
      <c r="A693" s="8">
        <v>4928</v>
      </c>
      <c r="B693" s="8" t="s">
        <v>303</v>
      </c>
      <c r="C693" s="5">
        <v>0</v>
      </c>
      <c r="D693" s="5">
        <f>+$C693*BC693</f>
        <v>0</v>
      </c>
      <c r="E693" s="5">
        <f>+$C693*BD693</f>
        <v>0</v>
      </c>
      <c r="F693" s="5">
        <f>+$C693*BE693</f>
        <v>0</v>
      </c>
      <c r="G693" s="5">
        <f>+$C693*BF693</f>
        <v>0</v>
      </c>
      <c r="H693" s="5">
        <f>+$C693*BG693</f>
        <v>0</v>
      </c>
      <c r="I693" s="5">
        <f>+$C693*BH693</f>
        <v>0</v>
      </c>
      <c r="J693" s="5">
        <f>+$C693*BI693</f>
        <v>0</v>
      </c>
      <c r="K693" s="5">
        <f>+$C693*BJ693</f>
        <v>0</v>
      </c>
      <c r="L693" s="5">
        <f>+$C693*BK693</f>
        <v>0</v>
      </c>
      <c r="M693" s="5">
        <f>+$C693*BL693</f>
        <v>0</v>
      </c>
      <c r="N693" s="5">
        <f>+$C693*BM693</f>
        <v>0</v>
      </c>
      <c r="O693" s="5">
        <f>+$C693*BN693</f>
        <v>0</v>
      </c>
      <c r="P693" s="5">
        <v>0</v>
      </c>
      <c r="Q693" s="5">
        <f>+$P693*BC693</f>
        <v>0</v>
      </c>
      <c r="R693" s="5">
        <f>+$P693*BD693</f>
        <v>0</v>
      </c>
      <c r="S693" s="5">
        <f>+$P693*BE693</f>
        <v>0</v>
      </c>
      <c r="T693" s="5">
        <f>+$P693*BF693</f>
        <v>0</v>
      </c>
      <c r="U693" s="5">
        <f>+$P693*BG693</f>
        <v>0</v>
      </c>
      <c r="V693" s="5">
        <f>+$P693*BH693</f>
        <v>0</v>
      </c>
      <c r="W693" s="5">
        <f>+$P693*BI693</f>
        <v>0</v>
      </c>
      <c r="X693" s="5">
        <f>+$P693*BJ693</f>
        <v>0</v>
      </c>
      <c r="Y693" s="5">
        <f>+$P693*BK693</f>
        <v>0</v>
      </c>
      <c r="Z693" s="5">
        <f>+$P693*BL693</f>
        <v>0</v>
      </c>
      <c r="AA693" s="5">
        <f>+$P693*BM693</f>
        <v>0</v>
      </c>
      <c r="AB693" s="5">
        <f>+$P693*BN693</f>
        <v>0</v>
      </c>
      <c r="AC693" s="5">
        <v>0</v>
      </c>
      <c r="AD693" s="5">
        <f>+$AC693*BC693</f>
        <v>0</v>
      </c>
      <c r="AE693" s="5">
        <f>+$AC693*BD693</f>
        <v>0</v>
      </c>
      <c r="AF693" s="5">
        <f>+$AC693*BE693</f>
        <v>0</v>
      </c>
      <c r="AG693" s="5">
        <f>+$AC693*BF693</f>
        <v>0</v>
      </c>
      <c r="AH693" s="5">
        <f>+$AC693*BG693</f>
        <v>0</v>
      </c>
      <c r="AI693" s="5">
        <f>+$AC693*BH693</f>
        <v>0</v>
      </c>
      <c r="AJ693" s="5">
        <f>+$AC693*BI693</f>
        <v>0</v>
      </c>
      <c r="AK693" s="5">
        <f>+$AC693*BJ693</f>
        <v>0</v>
      </c>
      <c r="AL693" s="5">
        <f>+$AC693*BK693</f>
        <v>0</v>
      </c>
      <c r="AM693" s="5">
        <f>+$AC693*BL693</f>
        <v>0</v>
      </c>
      <c r="AN693" s="5">
        <f>+$AC693*BM693</f>
        <v>0</v>
      </c>
      <c r="AO693" s="5">
        <f>+$AC693*BN693</f>
        <v>0</v>
      </c>
      <c r="AP693" s="5">
        <f>+AC693+P693+C693</f>
        <v>0</v>
      </c>
      <c r="AQ693" s="1">
        <v>16.480753387327567</v>
      </c>
      <c r="AR693" s="1">
        <v>19.709433528606727</v>
      </c>
      <c r="AS693" s="1">
        <v>17.442993108811606</v>
      </c>
      <c r="AT693" s="1">
        <v>13.212396095708131</v>
      </c>
      <c r="AU693" s="1">
        <v>19.161120705871937</v>
      </c>
      <c r="AV693" s="1">
        <v>15.702517160030251</v>
      </c>
      <c r="AW693" s="1">
        <v>15.632948816518148</v>
      </c>
      <c r="AX693" s="1">
        <v>10.616225089521738</v>
      </c>
      <c r="AY693" s="1">
        <v>15.736431913459022</v>
      </c>
      <c r="AZ693" s="1">
        <v>13.7044092871289</v>
      </c>
      <c r="BA693" s="1">
        <v>13.992721362701406</v>
      </c>
      <c r="BB693" s="1">
        <v>13.666987370776855</v>
      </c>
      <c r="BC693" s="2">
        <v>8.9181565948742242E-2</v>
      </c>
      <c r="BD693" s="2">
        <v>0.10665277883445198</v>
      </c>
      <c r="BE693" s="2">
        <v>9.438849084854764E-2</v>
      </c>
      <c r="BF693" s="2">
        <v>7.149564986855049E-2</v>
      </c>
      <c r="BG693" s="2">
        <v>0.10368571810536763</v>
      </c>
      <c r="BH693" s="2">
        <v>8.4970330952544637E-2</v>
      </c>
      <c r="BI693" s="2">
        <v>8.4593878877262704E-2</v>
      </c>
      <c r="BJ693" s="2">
        <v>5.7447105462779965E-2</v>
      </c>
      <c r="BK693" s="2">
        <v>8.5153852345557474E-2</v>
      </c>
      <c r="BL693" s="2">
        <v>7.4158058913035174E-2</v>
      </c>
      <c r="BM693" s="2">
        <v>7.5718189192107169E-2</v>
      </c>
      <c r="BN693" s="2">
        <v>7.3955559365675619E-2</v>
      </c>
    </row>
    <row r="694" spans="1:66" x14ac:dyDescent="0.25">
      <c r="A694" s="8">
        <v>4933</v>
      </c>
      <c r="B694" s="8" t="s">
        <v>302</v>
      </c>
      <c r="C694" s="5">
        <v>0</v>
      </c>
      <c r="D694" s="5">
        <f>+$C694*BC694</f>
        <v>0</v>
      </c>
      <c r="E694" s="5">
        <f>+$C694*BD694</f>
        <v>0</v>
      </c>
      <c r="F694" s="5">
        <f>+$C694*BE694</f>
        <v>0</v>
      </c>
      <c r="G694" s="5">
        <f>+$C694*BF694</f>
        <v>0</v>
      </c>
      <c r="H694" s="5">
        <f>+$C694*BG694</f>
        <v>0</v>
      </c>
      <c r="I694" s="5">
        <f>+$C694*BH694</f>
        <v>0</v>
      </c>
      <c r="J694" s="5">
        <f>+$C694*BI694</f>
        <v>0</v>
      </c>
      <c r="K694" s="5">
        <f>+$C694*BJ694</f>
        <v>0</v>
      </c>
      <c r="L694" s="5">
        <f>+$C694*BK694</f>
        <v>0</v>
      </c>
      <c r="M694" s="5">
        <f>+$C694*BL694</f>
        <v>0</v>
      </c>
      <c r="N694" s="5">
        <f>+$C694*BM694</f>
        <v>0</v>
      </c>
      <c r="O694" s="5">
        <f>+$C694*BN694</f>
        <v>0</v>
      </c>
      <c r="P694" s="5">
        <v>0</v>
      </c>
      <c r="Q694" s="5">
        <f>+$P694*BC694</f>
        <v>0</v>
      </c>
      <c r="R694" s="5">
        <f>+$P694*BD694</f>
        <v>0</v>
      </c>
      <c r="S694" s="5">
        <f>+$P694*BE694</f>
        <v>0</v>
      </c>
      <c r="T694" s="5">
        <f>+$P694*BF694</f>
        <v>0</v>
      </c>
      <c r="U694" s="5">
        <f>+$P694*BG694</f>
        <v>0</v>
      </c>
      <c r="V694" s="5">
        <f>+$P694*BH694</f>
        <v>0</v>
      </c>
      <c r="W694" s="5">
        <f>+$P694*BI694</f>
        <v>0</v>
      </c>
      <c r="X694" s="5">
        <f>+$P694*BJ694</f>
        <v>0</v>
      </c>
      <c r="Y694" s="5">
        <f>+$P694*BK694</f>
        <v>0</v>
      </c>
      <c r="Z694" s="5">
        <f>+$P694*BL694</f>
        <v>0</v>
      </c>
      <c r="AA694" s="5">
        <f>+$P694*BM694</f>
        <v>0</v>
      </c>
      <c r="AB694" s="5">
        <f>+$P694*BN694</f>
        <v>0</v>
      </c>
      <c r="AC694" s="5">
        <v>0</v>
      </c>
      <c r="AD694" s="5">
        <f>+$AC694*BC694</f>
        <v>0</v>
      </c>
      <c r="AE694" s="5">
        <f>+$AC694*BD694</f>
        <v>0</v>
      </c>
      <c r="AF694" s="5">
        <f>+$AC694*BE694</f>
        <v>0</v>
      </c>
      <c r="AG694" s="5">
        <f>+$AC694*BF694</f>
        <v>0</v>
      </c>
      <c r="AH694" s="5">
        <f>+$AC694*BG694</f>
        <v>0</v>
      </c>
      <c r="AI694" s="5">
        <f>+$AC694*BH694</f>
        <v>0</v>
      </c>
      <c r="AJ694" s="5">
        <f>+$AC694*BI694</f>
        <v>0</v>
      </c>
      <c r="AK694" s="5">
        <f>+$AC694*BJ694</f>
        <v>0</v>
      </c>
      <c r="AL694" s="5">
        <f>+$AC694*BK694</f>
        <v>0</v>
      </c>
      <c r="AM694" s="5">
        <f>+$AC694*BL694</f>
        <v>0</v>
      </c>
      <c r="AN694" s="5">
        <f>+$AC694*BM694</f>
        <v>0</v>
      </c>
      <c r="AO694" s="5">
        <f>+$AC694*BN694</f>
        <v>0</v>
      </c>
      <c r="AP694" s="5">
        <f>+AC694+P694+C694</f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2">
        <v>8.9181565948742242E-2</v>
      </c>
      <c r="BD694" s="2">
        <v>0.10665277883445198</v>
      </c>
      <c r="BE694" s="2">
        <v>9.438849084854764E-2</v>
      </c>
      <c r="BF694" s="2">
        <v>7.149564986855049E-2</v>
      </c>
      <c r="BG694" s="2">
        <v>0.10368571810536763</v>
      </c>
      <c r="BH694" s="2">
        <v>8.4970330952544637E-2</v>
      </c>
      <c r="BI694" s="2">
        <v>8.4593878877262704E-2</v>
      </c>
      <c r="BJ694" s="2">
        <v>5.7447105462779965E-2</v>
      </c>
      <c r="BK694" s="2">
        <v>8.5153852345557474E-2</v>
      </c>
      <c r="BL694" s="2">
        <v>7.4158058913035174E-2</v>
      </c>
      <c r="BM694" s="2">
        <v>7.5718189192107169E-2</v>
      </c>
      <c r="BN694" s="2">
        <v>7.3955559365675619E-2</v>
      </c>
    </row>
    <row r="695" spans="1:66" x14ac:dyDescent="0.25">
      <c r="A695" s="8">
        <v>4940</v>
      </c>
      <c r="B695" s="8" t="s">
        <v>301</v>
      </c>
      <c r="C695" s="5">
        <v>0</v>
      </c>
      <c r="D695" s="5">
        <f>+$C695*BC695</f>
        <v>0</v>
      </c>
      <c r="E695" s="5">
        <f>+$C695*BD695</f>
        <v>0</v>
      </c>
      <c r="F695" s="5">
        <f>+$C695*BE695</f>
        <v>0</v>
      </c>
      <c r="G695" s="5">
        <f>+$C695*BF695</f>
        <v>0</v>
      </c>
      <c r="H695" s="5">
        <f>+$C695*BG695</f>
        <v>0</v>
      </c>
      <c r="I695" s="5">
        <f>+$C695*BH695</f>
        <v>0</v>
      </c>
      <c r="J695" s="5">
        <f>+$C695*BI695</f>
        <v>0</v>
      </c>
      <c r="K695" s="5">
        <f>+$C695*BJ695</f>
        <v>0</v>
      </c>
      <c r="L695" s="5">
        <f>+$C695*BK695</f>
        <v>0</v>
      </c>
      <c r="M695" s="5">
        <f>+$C695*BL695</f>
        <v>0</v>
      </c>
      <c r="N695" s="5">
        <f>+$C695*BM695</f>
        <v>0</v>
      </c>
      <c r="O695" s="5">
        <f>+$C695*BN695</f>
        <v>0</v>
      </c>
      <c r="P695" s="5">
        <v>0</v>
      </c>
      <c r="Q695" s="5">
        <f>+$P695*BC695</f>
        <v>0</v>
      </c>
      <c r="R695" s="5">
        <f>+$P695*BD695</f>
        <v>0</v>
      </c>
      <c r="S695" s="5">
        <f>+$P695*BE695</f>
        <v>0</v>
      </c>
      <c r="T695" s="5">
        <f>+$P695*BF695</f>
        <v>0</v>
      </c>
      <c r="U695" s="5">
        <f>+$P695*BG695</f>
        <v>0</v>
      </c>
      <c r="V695" s="5">
        <f>+$P695*BH695</f>
        <v>0</v>
      </c>
      <c r="W695" s="5">
        <f>+$P695*BI695</f>
        <v>0</v>
      </c>
      <c r="X695" s="5">
        <f>+$P695*BJ695</f>
        <v>0</v>
      </c>
      <c r="Y695" s="5">
        <f>+$P695*BK695</f>
        <v>0</v>
      </c>
      <c r="Z695" s="5">
        <f>+$P695*BL695</f>
        <v>0</v>
      </c>
      <c r="AA695" s="5">
        <f>+$P695*BM695</f>
        <v>0</v>
      </c>
      <c r="AB695" s="5">
        <f>+$P695*BN695</f>
        <v>0</v>
      </c>
      <c r="AC695" s="5">
        <v>0</v>
      </c>
      <c r="AD695" s="5">
        <f>+$AC695*BC695</f>
        <v>0</v>
      </c>
      <c r="AE695" s="5">
        <f>+$AC695*BD695</f>
        <v>0</v>
      </c>
      <c r="AF695" s="5">
        <f>+$AC695*BE695</f>
        <v>0</v>
      </c>
      <c r="AG695" s="5">
        <f>+$AC695*BF695</f>
        <v>0</v>
      </c>
      <c r="AH695" s="5">
        <f>+$AC695*BG695</f>
        <v>0</v>
      </c>
      <c r="AI695" s="5">
        <f>+$AC695*BH695</f>
        <v>0</v>
      </c>
      <c r="AJ695" s="5">
        <f>+$AC695*BI695</f>
        <v>0</v>
      </c>
      <c r="AK695" s="5">
        <f>+$AC695*BJ695</f>
        <v>0</v>
      </c>
      <c r="AL695" s="5">
        <f>+$AC695*BK695</f>
        <v>0</v>
      </c>
      <c r="AM695" s="5">
        <f>+$AC695*BL695</f>
        <v>0</v>
      </c>
      <c r="AN695" s="5">
        <f>+$AC695*BM695</f>
        <v>0</v>
      </c>
      <c r="AO695" s="5">
        <f>+$AC695*BN695</f>
        <v>0</v>
      </c>
      <c r="AP695" s="5">
        <f>+AC695+P695+C695</f>
        <v>0</v>
      </c>
      <c r="AQ695" s="1">
        <v>151.07357271716938</v>
      </c>
      <c r="AR695" s="1">
        <v>180.66980734556168</v>
      </c>
      <c r="AS695" s="1">
        <v>159.89410349743972</v>
      </c>
      <c r="AT695" s="1">
        <v>121.11363087732455</v>
      </c>
      <c r="AU695" s="1">
        <v>175.64360647049278</v>
      </c>
      <c r="AV695" s="1">
        <v>143.93974063361063</v>
      </c>
      <c r="AW695" s="1">
        <v>143.30203081808304</v>
      </c>
      <c r="AX695" s="1">
        <v>97.315396653949279</v>
      </c>
      <c r="AY695" s="1">
        <v>144.25062587337439</v>
      </c>
      <c r="AZ695" s="1">
        <v>125.6237517986816</v>
      </c>
      <c r="BA695" s="1">
        <v>128.26661249142956</v>
      </c>
      <c r="BB695" s="1">
        <v>125.28071756545451</v>
      </c>
      <c r="BC695" s="2">
        <v>8.9181565948742242E-2</v>
      </c>
      <c r="BD695" s="2">
        <v>0.10665277883445198</v>
      </c>
      <c r="BE695" s="2">
        <v>9.438849084854764E-2</v>
      </c>
      <c r="BF695" s="2">
        <v>7.149564986855049E-2</v>
      </c>
      <c r="BG695" s="2">
        <v>0.10368571810536763</v>
      </c>
      <c r="BH695" s="2">
        <v>8.4970330952544637E-2</v>
      </c>
      <c r="BI695" s="2">
        <v>8.4593878877262704E-2</v>
      </c>
      <c r="BJ695" s="2">
        <v>5.7447105462779965E-2</v>
      </c>
      <c r="BK695" s="2">
        <v>8.5153852345557474E-2</v>
      </c>
      <c r="BL695" s="2">
        <v>7.4158058913035174E-2</v>
      </c>
      <c r="BM695" s="2">
        <v>7.5718189192107169E-2</v>
      </c>
      <c r="BN695" s="2">
        <v>7.3955559365675619E-2</v>
      </c>
    </row>
    <row r="696" spans="1:66" x14ac:dyDescent="0.25">
      <c r="A696" s="8">
        <v>4947</v>
      </c>
      <c r="B696" s="8" t="s">
        <v>300</v>
      </c>
      <c r="C696" s="5">
        <v>0</v>
      </c>
      <c r="D696" s="5">
        <f>+$C696*BC696</f>
        <v>0</v>
      </c>
      <c r="E696" s="5">
        <f>+$C696*BD696</f>
        <v>0</v>
      </c>
      <c r="F696" s="5">
        <f>+$C696*BE696</f>
        <v>0</v>
      </c>
      <c r="G696" s="5">
        <f>+$C696*BF696</f>
        <v>0</v>
      </c>
      <c r="H696" s="5">
        <f>+$C696*BG696</f>
        <v>0</v>
      </c>
      <c r="I696" s="5">
        <f>+$C696*BH696</f>
        <v>0</v>
      </c>
      <c r="J696" s="5">
        <f>+$C696*BI696</f>
        <v>0</v>
      </c>
      <c r="K696" s="5">
        <f>+$C696*BJ696</f>
        <v>0</v>
      </c>
      <c r="L696" s="5">
        <f>+$C696*BK696</f>
        <v>0</v>
      </c>
      <c r="M696" s="5">
        <f>+$C696*BL696</f>
        <v>0</v>
      </c>
      <c r="N696" s="5">
        <f>+$C696*BM696</f>
        <v>0</v>
      </c>
      <c r="O696" s="5">
        <f>+$C696*BN696</f>
        <v>0</v>
      </c>
      <c r="P696" s="5">
        <v>0</v>
      </c>
      <c r="Q696" s="5">
        <f>+$P696*BC696</f>
        <v>0</v>
      </c>
      <c r="R696" s="5">
        <f>+$P696*BD696</f>
        <v>0</v>
      </c>
      <c r="S696" s="5">
        <f>+$P696*BE696</f>
        <v>0</v>
      </c>
      <c r="T696" s="5">
        <f>+$P696*BF696</f>
        <v>0</v>
      </c>
      <c r="U696" s="5">
        <f>+$P696*BG696</f>
        <v>0</v>
      </c>
      <c r="V696" s="5">
        <f>+$P696*BH696</f>
        <v>0</v>
      </c>
      <c r="W696" s="5">
        <f>+$P696*BI696</f>
        <v>0</v>
      </c>
      <c r="X696" s="5">
        <f>+$P696*BJ696</f>
        <v>0</v>
      </c>
      <c r="Y696" s="5">
        <f>+$P696*BK696</f>
        <v>0</v>
      </c>
      <c r="Z696" s="5">
        <f>+$P696*BL696</f>
        <v>0</v>
      </c>
      <c r="AA696" s="5">
        <f>+$P696*BM696</f>
        <v>0</v>
      </c>
      <c r="AB696" s="5">
        <f>+$P696*BN696</f>
        <v>0</v>
      </c>
      <c r="AC696" s="5">
        <v>0</v>
      </c>
      <c r="AD696" s="5">
        <f>+$AC696*BC696</f>
        <v>0</v>
      </c>
      <c r="AE696" s="5">
        <f>+$AC696*BD696</f>
        <v>0</v>
      </c>
      <c r="AF696" s="5">
        <f>+$AC696*BE696</f>
        <v>0</v>
      </c>
      <c r="AG696" s="5">
        <f>+$AC696*BF696</f>
        <v>0</v>
      </c>
      <c r="AH696" s="5">
        <f>+$AC696*BG696</f>
        <v>0</v>
      </c>
      <c r="AI696" s="5">
        <f>+$AC696*BH696</f>
        <v>0</v>
      </c>
      <c r="AJ696" s="5">
        <f>+$AC696*BI696</f>
        <v>0</v>
      </c>
      <c r="AK696" s="5">
        <f>+$AC696*BJ696</f>
        <v>0</v>
      </c>
      <c r="AL696" s="5">
        <f>+$AC696*BK696</f>
        <v>0</v>
      </c>
      <c r="AM696" s="5">
        <f>+$AC696*BL696</f>
        <v>0</v>
      </c>
      <c r="AN696" s="5">
        <f>+$AC696*BM696</f>
        <v>0</v>
      </c>
      <c r="AO696" s="5">
        <f>+$AC696*BN696</f>
        <v>0</v>
      </c>
      <c r="AP696" s="5">
        <f>+AC696+P696+C696</f>
        <v>0</v>
      </c>
      <c r="AQ696" s="1">
        <v>3.6257657452120653</v>
      </c>
      <c r="AR696" s="1">
        <v>4.3360753762934801</v>
      </c>
      <c r="AS696" s="1">
        <v>3.8374584839385535</v>
      </c>
      <c r="AT696" s="1">
        <v>2.9067271410557893</v>
      </c>
      <c r="AU696" s="1">
        <v>4.2154465552918268</v>
      </c>
      <c r="AV696" s="1">
        <v>3.4545537752066551</v>
      </c>
      <c r="AW696" s="1">
        <v>3.4392487396339928</v>
      </c>
      <c r="AX696" s="1">
        <v>2.3355695196947828</v>
      </c>
      <c r="AY696" s="1">
        <v>3.462015020960985</v>
      </c>
      <c r="AZ696" s="1">
        <v>3.0149700431683586</v>
      </c>
      <c r="BA696" s="1">
        <v>3.0783986997943096</v>
      </c>
      <c r="BB696" s="1">
        <v>3.0067372215709085</v>
      </c>
      <c r="BC696" s="2">
        <v>8.9181565948742242E-2</v>
      </c>
      <c r="BD696" s="2">
        <v>0.10665277883445198</v>
      </c>
      <c r="BE696" s="2">
        <v>9.438849084854764E-2</v>
      </c>
      <c r="BF696" s="2">
        <v>7.149564986855049E-2</v>
      </c>
      <c r="BG696" s="2">
        <v>0.10368571810536763</v>
      </c>
      <c r="BH696" s="2">
        <v>8.4970330952544637E-2</v>
      </c>
      <c r="BI696" s="2">
        <v>8.4593878877262704E-2</v>
      </c>
      <c r="BJ696" s="2">
        <v>5.7447105462779965E-2</v>
      </c>
      <c r="BK696" s="2">
        <v>8.5153852345557474E-2</v>
      </c>
      <c r="BL696" s="2">
        <v>7.4158058913035174E-2</v>
      </c>
      <c r="BM696" s="2">
        <v>7.5718189192107169E-2</v>
      </c>
      <c r="BN696" s="2">
        <v>7.3955559365675619E-2</v>
      </c>
    </row>
    <row r="697" spans="1:66" x14ac:dyDescent="0.25">
      <c r="A697" s="8">
        <v>4959</v>
      </c>
      <c r="B697" s="8" t="s">
        <v>299</v>
      </c>
      <c r="C697" s="5">
        <v>0</v>
      </c>
      <c r="D697" s="5">
        <f>+$C697*BC697</f>
        <v>0</v>
      </c>
      <c r="E697" s="5">
        <f>+$C697*BD697</f>
        <v>0</v>
      </c>
      <c r="F697" s="5">
        <f>+$C697*BE697</f>
        <v>0</v>
      </c>
      <c r="G697" s="5">
        <f>+$C697*BF697</f>
        <v>0</v>
      </c>
      <c r="H697" s="5">
        <f>+$C697*BG697</f>
        <v>0</v>
      </c>
      <c r="I697" s="5">
        <f>+$C697*BH697</f>
        <v>0</v>
      </c>
      <c r="J697" s="5">
        <f>+$C697*BI697</f>
        <v>0</v>
      </c>
      <c r="K697" s="5">
        <f>+$C697*BJ697</f>
        <v>0</v>
      </c>
      <c r="L697" s="5">
        <f>+$C697*BK697</f>
        <v>0</v>
      </c>
      <c r="M697" s="5">
        <f>+$C697*BL697</f>
        <v>0</v>
      </c>
      <c r="N697" s="5">
        <f>+$C697*BM697</f>
        <v>0</v>
      </c>
      <c r="O697" s="5">
        <f>+$C697*BN697</f>
        <v>0</v>
      </c>
      <c r="P697" s="5">
        <v>0</v>
      </c>
      <c r="Q697" s="5">
        <f>+$P697*BC697</f>
        <v>0</v>
      </c>
      <c r="R697" s="5">
        <f>+$P697*BD697</f>
        <v>0</v>
      </c>
      <c r="S697" s="5">
        <f>+$P697*BE697</f>
        <v>0</v>
      </c>
      <c r="T697" s="5">
        <f>+$P697*BF697</f>
        <v>0</v>
      </c>
      <c r="U697" s="5">
        <f>+$P697*BG697</f>
        <v>0</v>
      </c>
      <c r="V697" s="5">
        <f>+$P697*BH697</f>
        <v>0</v>
      </c>
      <c r="W697" s="5">
        <f>+$P697*BI697</f>
        <v>0</v>
      </c>
      <c r="X697" s="5">
        <f>+$P697*BJ697</f>
        <v>0</v>
      </c>
      <c r="Y697" s="5">
        <f>+$P697*BK697</f>
        <v>0</v>
      </c>
      <c r="Z697" s="5">
        <f>+$P697*BL697</f>
        <v>0</v>
      </c>
      <c r="AA697" s="5">
        <f>+$P697*BM697</f>
        <v>0</v>
      </c>
      <c r="AB697" s="5">
        <f>+$P697*BN697</f>
        <v>0</v>
      </c>
      <c r="AC697" s="5">
        <v>0</v>
      </c>
      <c r="AD697" s="5">
        <f>+$AC697*BC697</f>
        <v>0</v>
      </c>
      <c r="AE697" s="5">
        <f>+$AC697*BD697</f>
        <v>0</v>
      </c>
      <c r="AF697" s="5">
        <f>+$AC697*BE697</f>
        <v>0</v>
      </c>
      <c r="AG697" s="5">
        <f>+$AC697*BF697</f>
        <v>0</v>
      </c>
      <c r="AH697" s="5">
        <f>+$AC697*BG697</f>
        <v>0</v>
      </c>
      <c r="AI697" s="5">
        <f>+$AC697*BH697</f>
        <v>0</v>
      </c>
      <c r="AJ697" s="5">
        <f>+$AC697*BI697</f>
        <v>0</v>
      </c>
      <c r="AK697" s="5">
        <f>+$AC697*BJ697</f>
        <v>0</v>
      </c>
      <c r="AL697" s="5">
        <f>+$AC697*BK697</f>
        <v>0</v>
      </c>
      <c r="AM697" s="5">
        <f>+$AC697*BL697</f>
        <v>0</v>
      </c>
      <c r="AN697" s="5">
        <f>+$AC697*BM697</f>
        <v>0</v>
      </c>
      <c r="AO697" s="5">
        <f>+$AC697*BN697</f>
        <v>0</v>
      </c>
      <c r="AP697" s="5">
        <f>+AC697+P697+C697</f>
        <v>0</v>
      </c>
      <c r="AQ697" s="1">
        <v>19.987818468261857</v>
      </c>
      <c r="AR697" s="1">
        <v>23.903554056271552</v>
      </c>
      <c r="AS697" s="1">
        <v>21.154820511430742</v>
      </c>
      <c r="AT697" s="1">
        <v>16.023962526788882</v>
      </c>
      <c r="AU697" s="1">
        <v>23.238561570365523</v>
      </c>
      <c r="AV697" s="1">
        <v>19.04397542473907</v>
      </c>
      <c r="AW697" s="1">
        <v>18.959603103366504</v>
      </c>
      <c r="AX697" s="1">
        <v>12.875332511845562</v>
      </c>
      <c r="AY697" s="1">
        <v>19.085107156948069</v>
      </c>
      <c r="AZ697" s="1">
        <v>16.620674953884009</v>
      </c>
      <c r="BA697" s="1">
        <v>16.970339152681021</v>
      </c>
      <c r="BB697" s="1">
        <v>16.575289742832052</v>
      </c>
      <c r="BC697" s="2">
        <v>8.9181565948742242E-2</v>
      </c>
      <c r="BD697" s="2">
        <v>0.10665277883445198</v>
      </c>
      <c r="BE697" s="2">
        <v>9.438849084854764E-2</v>
      </c>
      <c r="BF697" s="2">
        <v>7.149564986855049E-2</v>
      </c>
      <c r="BG697" s="2">
        <v>0.10368571810536763</v>
      </c>
      <c r="BH697" s="2">
        <v>8.4970330952544637E-2</v>
      </c>
      <c r="BI697" s="2">
        <v>8.4593878877262704E-2</v>
      </c>
      <c r="BJ697" s="2">
        <v>5.7447105462779965E-2</v>
      </c>
      <c r="BK697" s="2">
        <v>8.5153852345557474E-2</v>
      </c>
      <c r="BL697" s="2">
        <v>7.4158058913035174E-2</v>
      </c>
      <c r="BM697" s="2">
        <v>7.5718189192107169E-2</v>
      </c>
      <c r="BN697" s="2">
        <v>7.3955559365675619E-2</v>
      </c>
    </row>
    <row r="698" spans="1:66" x14ac:dyDescent="0.25">
      <c r="A698" s="8">
        <v>4960</v>
      </c>
      <c r="B698" s="8" t="s">
        <v>298</v>
      </c>
      <c r="C698" s="5">
        <v>0</v>
      </c>
      <c r="D698" s="5">
        <f>+$C698*BC698</f>
        <v>0</v>
      </c>
      <c r="E698" s="5">
        <f>+$C698*BD698</f>
        <v>0</v>
      </c>
      <c r="F698" s="5">
        <f>+$C698*BE698</f>
        <v>0</v>
      </c>
      <c r="G698" s="5">
        <f>+$C698*BF698</f>
        <v>0</v>
      </c>
      <c r="H698" s="5">
        <f>+$C698*BG698</f>
        <v>0</v>
      </c>
      <c r="I698" s="5">
        <f>+$C698*BH698</f>
        <v>0</v>
      </c>
      <c r="J698" s="5">
        <f>+$C698*BI698</f>
        <v>0</v>
      </c>
      <c r="K698" s="5">
        <f>+$C698*BJ698</f>
        <v>0</v>
      </c>
      <c r="L698" s="5">
        <f>+$C698*BK698</f>
        <v>0</v>
      </c>
      <c r="M698" s="5">
        <f>+$C698*BL698</f>
        <v>0</v>
      </c>
      <c r="N698" s="5">
        <f>+$C698*BM698</f>
        <v>0</v>
      </c>
      <c r="O698" s="5">
        <f>+$C698*BN698</f>
        <v>0</v>
      </c>
      <c r="P698" s="5">
        <v>0</v>
      </c>
      <c r="Q698" s="5">
        <f>+$P698*BC698</f>
        <v>0</v>
      </c>
      <c r="R698" s="5">
        <f>+$P698*BD698</f>
        <v>0</v>
      </c>
      <c r="S698" s="5">
        <f>+$P698*BE698</f>
        <v>0</v>
      </c>
      <c r="T698" s="5">
        <f>+$P698*BF698</f>
        <v>0</v>
      </c>
      <c r="U698" s="5">
        <f>+$P698*BG698</f>
        <v>0</v>
      </c>
      <c r="V698" s="5">
        <f>+$P698*BH698</f>
        <v>0</v>
      </c>
      <c r="W698" s="5">
        <f>+$P698*BI698</f>
        <v>0</v>
      </c>
      <c r="X698" s="5">
        <f>+$P698*BJ698</f>
        <v>0</v>
      </c>
      <c r="Y698" s="5">
        <f>+$P698*BK698</f>
        <v>0</v>
      </c>
      <c r="Z698" s="5">
        <f>+$P698*BL698</f>
        <v>0</v>
      </c>
      <c r="AA698" s="5">
        <f>+$P698*BM698</f>
        <v>0</v>
      </c>
      <c r="AB698" s="5">
        <f>+$P698*BN698</f>
        <v>0</v>
      </c>
      <c r="AC698" s="5">
        <v>0</v>
      </c>
      <c r="AD698" s="5">
        <f>+$AC698*BC698</f>
        <v>0</v>
      </c>
      <c r="AE698" s="5">
        <f>+$AC698*BD698</f>
        <v>0</v>
      </c>
      <c r="AF698" s="5">
        <f>+$AC698*BE698</f>
        <v>0</v>
      </c>
      <c r="AG698" s="5">
        <f>+$AC698*BF698</f>
        <v>0</v>
      </c>
      <c r="AH698" s="5">
        <f>+$AC698*BG698</f>
        <v>0</v>
      </c>
      <c r="AI698" s="5">
        <f>+$AC698*BH698</f>
        <v>0</v>
      </c>
      <c r="AJ698" s="5">
        <f>+$AC698*BI698</f>
        <v>0</v>
      </c>
      <c r="AK698" s="5">
        <f>+$AC698*BJ698</f>
        <v>0</v>
      </c>
      <c r="AL698" s="5">
        <f>+$AC698*BK698</f>
        <v>0</v>
      </c>
      <c r="AM698" s="5">
        <f>+$AC698*BL698</f>
        <v>0</v>
      </c>
      <c r="AN698" s="5">
        <f>+$AC698*BM698</f>
        <v>0</v>
      </c>
      <c r="AO698" s="5">
        <f>+$AC698*BN698</f>
        <v>0</v>
      </c>
      <c r="AP698" s="5">
        <f>+AC698+P698+C698</f>
        <v>0</v>
      </c>
      <c r="AQ698" s="1">
        <v>143.42179435876727</v>
      </c>
      <c r="AR698" s="1">
        <v>171.5189989215657</v>
      </c>
      <c r="AS698" s="1">
        <v>151.79557098263433</v>
      </c>
      <c r="AT698" s="1">
        <v>114.9793041186029</v>
      </c>
      <c r="AU698" s="1">
        <v>166.74737185705223</v>
      </c>
      <c r="AV698" s="1">
        <v>136.64928623788228</v>
      </c>
      <c r="AW698" s="1">
        <v>136.0438760104139</v>
      </c>
      <c r="AX698" s="1">
        <v>92.386435005242745</v>
      </c>
      <c r="AY698" s="1">
        <v>136.94442534212553</v>
      </c>
      <c r="AZ698" s="1">
        <v>119.26099034394318</v>
      </c>
      <c r="BA698" s="1">
        <v>121.76999185874675</v>
      </c>
      <c r="BB698" s="1">
        <v>118.93533057187953</v>
      </c>
      <c r="BC698" s="2">
        <v>8.9181565948742242E-2</v>
      </c>
      <c r="BD698" s="2">
        <v>0.10665277883445198</v>
      </c>
      <c r="BE698" s="2">
        <v>9.438849084854764E-2</v>
      </c>
      <c r="BF698" s="2">
        <v>7.149564986855049E-2</v>
      </c>
      <c r="BG698" s="2">
        <v>0.10368571810536763</v>
      </c>
      <c r="BH698" s="2">
        <v>8.4970330952544637E-2</v>
      </c>
      <c r="BI698" s="2">
        <v>8.4593878877262704E-2</v>
      </c>
      <c r="BJ698" s="2">
        <v>5.7447105462779965E-2</v>
      </c>
      <c r="BK698" s="2">
        <v>8.5153852345557474E-2</v>
      </c>
      <c r="BL698" s="2">
        <v>7.4158058913035174E-2</v>
      </c>
      <c r="BM698" s="2">
        <v>7.5718189192107169E-2</v>
      </c>
      <c r="BN698" s="2">
        <v>7.3955559365675619E-2</v>
      </c>
    </row>
    <row r="699" spans="1:66" x14ac:dyDescent="0.25">
      <c r="A699" s="8">
        <v>4964</v>
      </c>
      <c r="B699" s="8" t="s">
        <v>297</v>
      </c>
      <c r="C699" s="5">
        <v>0</v>
      </c>
      <c r="D699" s="5">
        <f>+$C699*BC699</f>
        <v>0</v>
      </c>
      <c r="E699" s="5">
        <f>+$C699*BD699</f>
        <v>0</v>
      </c>
      <c r="F699" s="5">
        <f>+$C699*BE699</f>
        <v>0</v>
      </c>
      <c r="G699" s="5">
        <f>+$C699*BF699</f>
        <v>0</v>
      </c>
      <c r="H699" s="5">
        <f>+$C699*BG699</f>
        <v>0</v>
      </c>
      <c r="I699" s="5">
        <f>+$C699*BH699</f>
        <v>0</v>
      </c>
      <c r="J699" s="5">
        <f>+$C699*BI699</f>
        <v>0</v>
      </c>
      <c r="K699" s="5">
        <f>+$C699*BJ699</f>
        <v>0</v>
      </c>
      <c r="L699" s="5">
        <f>+$C699*BK699</f>
        <v>0</v>
      </c>
      <c r="M699" s="5">
        <f>+$C699*BL699</f>
        <v>0</v>
      </c>
      <c r="N699" s="5">
        <f>+$C699*BM699</f>
        <v>0</v>
      </c>
      <c r="O699" s="5">
        <f>+$C699*BN699</f>
        <v>0</v>
      </c>
      <c r="P699" s="5">
        <v>0</v>
      </c>
      <c r="Q699" s="5">
        <f>+$P699*BC699</f>
        <v>0</v>
      </c>
      <c r="R699" s="5">
        <f>+$P699*BD699</f>
        <v>0</v>
      </c>
      <c r="S699" s="5">
        <f>+$P699*BE699</f>
        <v>0</v>
      </c>
      <c r="T699" s="5">
        <f>+$P699*BF699</f>
        <v>0</v>
      </c>
      <c r="U699" s="5">
        <f>+$P699*BG699</f>
        <v>0</v>
      </c>
      <c r="V699" s="5">
        <f>+$P699*BH699</f>
        <v>0</v>
      </c>
      <c r="W699" s="5">
        <f>+$P699*BI699</f>
        <v>0</v>
      </c>
      <c r="X699" s="5">
        <f>+$P699*BJ699</f>
        <v>0</v>
      </c>
      <c r="Y699" s="5">
        <f>+$P699*BK699</f>
        <v>0</v>
      </c>
      <c r="Z699" s="5">
        <f>+$P699*BL699</f>
        <v>0</v>
      </c>
      <c r="AA699" s="5">
        <f>+$P699*BM699</f>
        <v>0</v>
      </c>
      <c r="AB699" s="5">
        <f>+$P699*BN699</f>
        <v>0</v>
      </c>
      <c r="AC699" s="5">
        <v>0</v>
      </c>
      <c r="AD699" s="5">
        <f>+$AC699*BC699</f>
        <v>0</v>
      </c>
      <c r="AE699" s="5">
        <f>+$AC699*BD699</f>
        <v>0</v>
      </c>
      <c r="AF699" s="5">
        <f>+$AC699*BE699</f>
        <v>0</v>
      </c>
      <c r="AG699" s="5">
        <f>+$AC699*BF699</f>
        <v>0</v>
      </c>
      <c r="AH699" s="5">
        <f>+$AC699*BG699</f>
        <v>0</v>
      </c>
      <c r="AI699" s="5">
        <f>+$AC699*BH699</f>
        <v>0</v>
      </c>
      <c r="AJ699" s="5">
        <f>+$AC699*BI699</f>
        <v>0</v>
      </c>
      <c r="AK699" s="5">
        <f>+$AC699*BJ699</f>
        <v>0</v>
      </c>
      <c r="AL699" s="5">
        <f>+$AC699*BK699</f>
        <v>0</v>
      </c>
      <c r="AM699" s="5">
        <f>+$AC699*BL699</f>
        <v>0</v>
      </c>
      <c r="AN699" s="5">
        <f>+$AC699*BM699</f>
        <v>0</v>
      </c>
      <c r="AO699" s="5">
        <f>+$AC699*BN699</f>
        <v>0</v>
      </c>
      <c r="AP699" s="5">
        <f>+AC699+P699+C699</f>
        <v>0</v>
      </c>
      <c r="AQ699" s="1">
        <v>0.70631800231403863</v>
      </c>
      <c r="AR699" s="1">
        <v>0.84469000836885977</v>
      </c>
      <c r="AS699" s="1">
        <v>0.74755684752049734</v>
      </c>
      <c r="AT699" s="1">
        <v>0.56624554695891993</v>
      </c>
      <c r="AU699" s="1">
        <v>0.82119088739451174</v>
      </c>
      <c r="AV699" s="1">
        <v>0.67296502114415357</v>
      </c>
      <c r="AW699" s="1">
        <v>0.66998352070792067</v>
      </c>
      <c r="AX699" s="1">
        <v>0.45498107526521736</v>
      </c>
      <c r="AY699" s="1">
        <v>0.67441851057681523</v>
      </c>
      <c r="AZ699" s="1">
        <v>0.58733182659123861</v>
      </c>
      <c r="BA699" s="1">
        <v>0.59968805840148887</v>
      </c>
      <c r="BB699" s="1">
        <v>0.58572803017615094</v>
      </c>
      <c r="BC699" s="2">
        <v>8.9181565948742242E-2</v>
      </c>
      <c r="BD699" s="2">
        <v>0.10665277883445198</v>
      </c>
      <c r="BE699" s="2">
        <v>9.438849084854764E-2</v>
      </c>
      <c r="BF699" s="2">
        <v>7.149564986855049E-2</v>
      </c>
      <c r="BG699" s="2">
        <v>0.10368571810536763</v>
      </c>
      <c r="BH699" s="2">
        <v>8.4970330952544637E-2</v>
      </c>
      <c r="BI699" s="2">
        <v>8.4593878877262704E-2</v>
      </c>
      <c r="BJ699" s="2">
        <v>5.7447105462779965E-2</v>
      </c>
      <c r="BK699" s="2">
        <v>8.5153852345557474E-2</v>
      </c>
      <c r="BL699" s="2">
        <v>7.4158058913035174E-2</v>
      </c>
      <c r="BM699" s="2">
        <v>7.5718189192107169E-2</v>
      </c>
      <c r="BN699" s="2">
        <v>7.3955559365675619E-2</v>
      </c>
    </row>
    <row r="700" spans="1:66" x14ac:dyDescent="0.25">
      <c r="A700" s="8">
        <v>4982</v>
      </c>
      <c r="B700" s="8" t="s">
        <v>296</v>
      </c>
      <c r="C700" s="5">
        <v>0</v>
      </c>
      <c r="D700" s="5">
        <f>+$C700*BC700</f>
        <v>0</v>
      </c>
      <c r="E700" s="5">
        <f>+$C700*BD700</f>
        <v>0</v>
      </c>
      <c r="F700" s="5">
        <f>+$C700*BE700</f>
        <v>0</v>
      </c>
      <c r="G700" s="5">
        <f>+$C700*BF700</f>
        <v>0</v>
      </c>
      <c r="H700" s="5">
        <f>+$C700*BG700</f>
        <v>0</v>
      </c>
      <c r="I700" s="5">
        <f>+$C700*BH700</f>
        <v>0</v>
      </c>
      <c r="J700" s="5">
        <f>+$C700*BI700</f>
        <v>0</v>
      </c>
      <c r="K700" s="5">
        <f>+$C700*BJ700</f>
        <v>0</v>
      </c>
      <c r="L700" s="5">
        <f>+$C700*BK700</f>
        <v>0</v>
      </c>
      <c r="M700" s="5">
        <f>+$C700*BL700</f>
        <v>0</v>
      </c>
      <c r="N700" s="5">
        <f>+$C700*BM700</f>
        <v>0</v>
      </c>
      <c r="O700" s="5">
        <f>+$C700*BN700</f>
        <v>0</v>
      </c>
      <c r="P700" s="5">
        <v>0</v>
      </c>
      <c r="Q700" s="5">
        <f>+$P700*BC700</f>
        <v>0</v>
      </c>
      <c r="R700" s="5">
        <f>+$P700*BD700</f>
        <v>0</v>
      </c>
      <c r="S700" s="5">
        <f>+$P700*BE700</f>
        <v>0</v>
      </c>
      <c r="T700" s="5">
        <f>+$P700*BF700</f>
        <v>0</v>
      </c>
      <c r="U700" s="5">
        <f>+$P700*BG700</f>
        <v>0</v>
      </c>
      <c r="V700" s="5">
        <f>+$P700*BH700</f>
        <v>0</v>
      </c>
      <c r="W700" s="5">
        <f>+$P700*BI700</f>
        <v>0</v>
      </c>
      <c r="X700" s="5">
        <f>+$P700*BJ700</f>
        <v>0</v>
      </c>
      <c r="Y700" s="5">
        <f>+$P700*BK700</f>
        <v>0</v>
      </c>
      <c r="Z700" s="5">
        <f>+$P700*BL700</f>
        <v>0</v>
      </c>
      <c r="AA700" s="5">
        <f>+$P700*BM700</f>
        <v>0</v>
      </c>
      <c r="AB700" s="5">
        <f>+$P700*BN700</f>
        <v>0</v>
      </c>
      <c r="AC700" s="5">
        <v>0</v>
      </c>
      <c r="AD700" s="5">
        <f>+$AC700*BC700</f>
        <v>0</v>
      </c>
      <c r="AE700" s="5">
        <f>+$AC700*BD700</f>
        <v>0</v>
      </c>
      <c r="AF700" s="5">
        <f>+$AC700*BE700</f>
        <v>0</v>
      </c>
      <c r="AG700" s="5">
        <f>+$AC700*BF700</f>
        <v>0</v>
      </c>
      <c r="AH700" s="5">
        <f>+$AC700*BG700</f>
        <v>0</v>
      </c>
      <c r="AI700" s="5">
        <f>+$AC700*BH700</f>
        <v>0</v>
      </c>
      <c r="AJ700" s="5">
        <f>+$AC700*BI700</f>
        <v>0</v>
      </c>
      <c r="AK700" s="5">
        <f>+$AC700*BJ700</f>
        <v>0</v>
      </c>
      <c r="AL700" s="5">
        <f>+$AC700*BK700</f>
        <v>0</v>
      </c>
      <c r="AM700" s="5">
        <f>+$AC700*BL700</f>
        <v>0</v>
      </c>
      <c r="AN700" s="5">
        <f>+$AC700*BM700</f>
        <v>0</v>
      </c>
      <c r="AO700" s="5">
        <f>+$AC700*BN700</f>
        <v>0</v>
      </c>
      <c r="AP700" s="5">
        <f>+AC700+P700+C700</f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2">
        <v>8.9181565948742242E-2</v>
      </c>
      <c r="BD700" s="2">
        <v>0.10665277883445198</v>
      </c>
      <c r="BE700" s="2">
        <v>9.438849084854764E-2</v>
      </c>
      <c r="BF700" s="2">
        <v>7.149564986855049E-2</v>
      </c>
      <c r="BG700" s="2">
        <v>0.10368571810536763</v>
      </c>
      <c r="BH700" s="2">
        <v>8.4970330952544637E-2</v>
      </c>
      <c r="BI700" s="2">
        <v>8.4593878877262704E-2</v>
      </c>
      <c r="BJ700" s="2">
        <v>5.7447105462779965E-2</v>
      </c>
      <c r="BK700" s="2">
        <v>8.5153852345557474E-2</v>
      </c>
      <c r="BL700" s="2">
        <v>7.4158058913035174E-2</v>
      </c>
      <c r="BM700" s="2">
        <v>7.5718189192107169E-2</v>
      </c>
      <c r="BN700" s="2">
        <v>7.3955559365675619E-2</v>
      </c>
    </row>
    <row r="701" spans="1:66" x14ac:dyDescent="0.25">
      <c r="A701" s="8">
        <v>4986</v>
      </c>
      <c r="B701" s="8" t="s">
        <v>295</v>
      </c>
      <c r="C701" s="5">
        <v>0</v>
      </c>
      <c r="D701" s="5">
        <f>+$C701*BC701</f>
        <v>0</v>
      </c>
      <c r="E701" s="5">
        <f>+$C701*BD701</f>
        <v>0</v>
      </c>
      <c r="F701" s="5">
        <f>+$C701*BE701</f>
        <v>0</v>
      </c>
      <c r="G701" s="5">
        <f>+$C701*BF701</f>
        <v>0</v>
      </c>
      <c r="H701" s="5">
        <f>+$C701*BG701</f>
        <v>0</v>
      </c>
      <c r="I701" s="5">
        <f>+$C701*BH701</f>
        <v>0</v>
      </c>
      <c r="J701" s="5">
        <f>+$C701*BI701</f>
        <v>0</v>
      </c>
      <c r="K701" s="5">
        <f>+$C701*BJ701</f>
        <v>0</v>
      </c>
      <c r="L701" s="5">
        <f>+$C701*BK701</f>
        <v>0</v>
      </c>
      <c r="M701" s="5">
        <f>+$C701*BL701</f>
        <v>0</v>
      </c>
      <c r="N701" s="5">
        <f>+$C701*BM701</f>
        <v>0</v>
      </c>
      <c r="O701" s="5">
        <f>+$C701*BN701</f>
        <v>0</v>
      </c>
      <c r="P701" s="5">
        <v>0</v>
      </c>
      <c r="Q701" s="5">
        <f>+$P701*BC701</f>
        <v>0</v>
      </c>
      <c r="R701" s="5">
        <f>+$P701*BD701</f>
        <v>0</v>
      </c>
      <c r="S701" s="5">
        <f>+$P701*BE701</f>
        <v>0</v>
      </c>
      <c r="T701" s="5">
        <f>+$P701*BF701</f>
        <v>0</v>
      </c>
      <c r="U701" s="5">
        <f>+$P701*BG701</f>
        <v>0</v>
      </c>
      <c r="V701" s="5">
        <f>+$P701*BH701</f>
        <v>0</v>
      </c>
      <c r="W701" s="5">
        <f>+$P701*BI701</f>
        <v>0</v>
      </c>
      <c r="X701" s="5">
        <f>+$P701*BJ701</f>
        <v>0</v>
      </c>
      <c r="Y701" s="5">
        <f>+$P701*BK701</f>
        <v>0</v>
      </c>
      <c r="Z701" s="5">
        <f>+$P701*BL701</f>
        <v>0</v>
      </c>
      <c r="AA701" s="5">
        <f>+$P701*BM701</f>
        <v>0</v>
      </c>
      <c r="AB701" s="5">
        <f>+$P701*BN701</f>
        <v>0</v>
      </c>
      <c r="AC701" s="5">
        <v>0</v>
      </c>
      <c r="AD701" s="5">
        <f>+$AC701*BC701</f>
        <v>0</v>
      </c>
      <c r="AE701" s="5">
        <f>+$AC701*BD701</f>
        <v>0</v>
      </c>
      <c r="AF701" s="5">
        <f>+$AC701*BE701</f>
        <v>0</v>
      </c>
      <c r="AG701" s="5">
        <f>+$AC701*BF701</f>
        <v>0</v>
      </c>
      <c r="AH701" s="5">
        <f>+$AC701*BG701</f>
        <v>0</v>
      </c>
      <c r="AI701" s="5">
        <f>+$AC701*BH701</f>
        <v>0</v>
      </c>
      <c r="AJ701" s="5">
        <f>+$AC701*BI701</f>
        <v>0</v>
      </c>
      <c r="AK701" s="5">
        <f>+$AC701*BJ701</f>
        <v>0</v>
      </c>
      <c r="AL701" s="5">
        <f>+$AC701*BK701</f>
        <v>0</v>
      </c>
      <c r="AM701" s="5">
        <f>+$AC701*BL701</f>
        <v>0</v>
      </c>
      <c r="AN701" s="5">
        <f>+$AC701*BM701</f>
        <v>0</v>
      </c>
      <c r="AO701" s="5">
        <f>+$AC701*BN701</f>
        <v>0</v>
      </c>
      <c r="AP701" s="5">
        <f>+AC701+P701+C701</f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2">
        <v>8.9181565948742242E-2</v>
      </c>
      <c r="BD701" s="2">
        <v>0.10665277883445198</v>
      </c>
      <c r="BE701" s="2">
        <v>9.438849084854764E-2</v>
      </c>
      <c r="BF701" s="2">
        <v>7.149564986855049E-2</v>
      </c>
      <c r="BG701" s="2">
        <v>0.10368571810536763</v>
      </c>
      <c r="BH701" s="2">
        <v>8.4970330952544637E-2</v>
      </c>
      <c r="BI701" s="2">
        <v>8.4593878877262704E-2</v>
      </c>
      <c r="BJ701" s="2">
        <v>5.7447105462779965E-2</v>
      </c>
      <c r="BK701" s="2">
        <v>8.5153852345557474E-2</v>
      </c>
      <c r="BL701" s="2">
        <v>7.4158058913035174E-2</v>
      </c>
      <c r="BM701" s="2">
        <v>7.5718189192107169E-2</v>
      </c>
      <c r="BN701" s="2">
        <v>7.3955559365675619E-2</v>
      </c>
    </row>
    <row r="702" spans="1:66" x14ac:dyDescent="0.25">
      <c r="A702" s="8">
        <v>4987</v>
      </c>
      <c r="B702" s="8" t="s">
        <v>294</v>
      </c>
      <c r="C702" s="5">
        <v>0</v>
      </c>
      <c r="D702" s="5">
        <f>+$C702*BC702</f>
        <v>0</v>
      </c>
      <c r="E702" s="5">
        <f>+$C702*BD702</f>
        <v>0</v>
      </c>
      <c r="F702" s="5">
        <f>+$C702*BE702</f>
        <v>0</v>
      </c>
      <c r="G702" s="5">
        <f>+$C702*BF702</f>
        <v>0</v>
      </c>
      <c r="H702" s="5">
        <f>+$C702*BG702</f>
        <v>0</v>
      </c>
      <c r="I702" s="5">
        <f>+$C702*BH702</f>
        <v>0</v>
      </c>
      <c r="J702" s="5">
        <f>+$C702*BI702</f>
        <v>0</v>
      </c>
      <c r="K702" s="5">
        <f>+$C702*BJ702</f>
        <v>0</v>
      </c>
      <c r="L702" s="5">
        <f>+$C702*BK702</f>
        <v>0</v>
      </c>
      <c r="M702" s="5">
        <f>+$C702*BL702</f>
        <v>0</v>
      </c>
      <c r="N702" s="5">
        <f>+$C702*BM702</f>
        <v>0</v>
      </c>
      <c r="O702" s="5">
        <f>+$C702*BN702</f>
        <v>0</v>
      </c>
      <c r="P702" s="5">
        <v>0</v>
      </c>
      <c r="Q702" s="5">
        <f>+$P702*BC702</f>
        <v>0</v>
      </c>
      <c r="R702" s="5">
        <f>+$P702*BD702</f>
        <v>0</v>
      </c>
      <c r="S702" s="5">
        <f>+$P702*BE702</f>
        <v>0</v>
      </c>
      <c r="T702" s="5">
        <f>+$P702*BF702</f>
        <v>0</v>
      </c>
      <c r="U702" s="5">
        <f>+$P702*BG702</f>
        <v>0</v>
      </c>
      <c r="V702" s="5">
        <f>+$P702*BH702</f>
        <v>0</v>
      </c>
      <c r="W702" s="5">
        <f>+$P702*BI702</f>
        <v>0</v>
      </c>
      <c r="X702" s="5">
        <f>+$P702*BJ702</f>
        <v>0</v>
      </c>
      <c r="Y702" s="5">
        <f>+$P702*BK702</f>
        <v>0</v>
      </c>
      <c r="Z702" s="5">
        <f>+$P702*BL702</f>
        <v>0</v>
      </c>
      <c r="AA702" s="5">
        <f>+$P702*BM702</f>
        <v>0</v>
      </c>
      <c r="AB702" s="5">
        <f>+$P702*BN702</f>
        <v>0</v>
      </c>
      <c r="AC702" s="5">
        <v>0</v>
      </c>
      <c r="AD702" s="5">
        <f>+$AC702*BC702</f>
        <v>0</v>
      </c>
      <c r="AE702" s="5">
        <f>+$AC702*BD702</f>
        <v>0</v>
      </c>
      <c r="AF702" s="5">
        <f>+$AC702*BE702</f>
        <v>0</v>
      </c>
      <c r="AG702" s="5">
        <f>+$AC702*BF702</f>
        <v>0</v>
      </c>
      <c r="AH702" s="5">
        <f>+$AC702*BG702</f>
        <v>0</v>
      </c>
      <c r="AI702" s="5">
        <f>+$AC702*BH702</f>
        <v>0</v>
      </c>
      <c r="AJ702" s="5">
        <f>+$AC702*BI702</f>
        <v>0</v>
      </c>
      <c r="AK702" s="5">
        <f>+$AC702*BJ702</f>
        <v>0</v>
      </c>
      <c r="AL702" s="5">
        <f>+$AC702*BK702</f>
        <v>0</v>
      </c>
      <c r="AM702" s="5">
        <f>+$AC702*BL702</f>
        <v>0</v>
      </c>
      <c r="AN702" s="5">
        <f>+$AC702*BM702</f>
        <v>0</v>
      </c>
      <c r="AO702" s="5">
        <f>+$AC702*BN702</f>
        <v>0</v>
      </c>
      <c r="AP702" s="5">
        <f>+AC702+P702+C702</f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2">
        <v>8.9181565948742242E-2</v>
      </c>
      <c r="BD702" s="2">
        <v>0.10665277883445198</v>
      </c>
      <c r="BE702" s="2">
        <v>9.438849084854764E-2</v>
      </c>
      <c r="BF702" s="2">
        <v>7.149564986855049E-2</v>
      </c>
      <c r="BG702" s="2">
        <v>0.10368571810536763</v>
      </c>
      <c r="BH702" s="2">
        <v>8.4970330952544637E-2</v>
      </c>
      <c r="BI702" s="2">
        <v>8.4593878877262704E-2</v>
      </c>
      <c r="BJ702" s="2">
        <v>5.7447105462779965E-2</v>
      </c>
      <c r="BK702" s="2">
        <v>8.5153852345557474E-2</v>
      </c>
      <c r="BL702" s="2">
        <v>7.4158058913035174E-2</v>
      </c>
      <c r="BM702" s="2">
        <v>7.5718189192107169E-2</v>
      </c>
      <c r="BN702" s="2">
        <v>7.3955559365675619E-2</v>
      </c>
    </row>
    <row r="703" spans="1:66" x14ac:dyDescent="0.25">
      <c r="A703" s="8">
        <v>4990</v>
      </c>
      <c r="B703" s="8" t="s">
        <v>293</v>
      </c>
      <c r="C703" s="5">
        <v>0</v>
      </c>
      <c r="D703" s="5">
        <f>+$C703*BC703</f>
        <v>0</v>
      </c>
      <c r="E703" s="5">
        <f>+$C703*BD703</f>
        <v>0</v>
      </c>
      <c r="F703" s="5">
        <f>+$C703*BE703</f>
        <v>0</v>
      </c>
      <c r="G703" s="5">
        <f>+$C703*BF703</f>
        <v>0</v>
      </c>
      <c r="H703" s="5">
        <f>+$C703*BG703</f>
        <v>0</v>
      </c>
      <c r="I703" s="5">
        <f>+$C703*BH703</f>
        <v>0</v>
      </c>
      <c r="J703" s="5">
        <f>+$C703*BI703</f>
        <v>0</v>
      </c>
      <c r="K703" s="5">
        <f>+$C703*BJ703</f>
        <v>0</v>
      </c>
      <c r="L703" s="5">
        <f>+$C703*BK703</f>
        <v>0</v>
      </c>
      <c r="M703" s="5">
        <f>+$C703*BL703</f>
        <v>0</v>
      </c>
      <c r="N703" s="5">
        <f>+$C703*BM703</f>
        <v>0</v>
      </c>
      <c r="O703" s="5">
        <f>+$C703*BN703</f>
        <v>0</v>
      </c>
      <c r="P703" s="5">
        <v>0</v>
      </c>
      <c r="Q703" s="5">
        <f>+$P703*BC703</f>
        <v>0</v>
      </c>
      <c r="R703" s="5">
        <f>+$P703*BD703</f>
        <v>0</v>
      </c>
      <c r="S703" s="5">
        <f>+$P703*BE703</f>
        <v>0</v>
      </c>
      <c r="T703" s="5">
        <f>+$P703*BF703</f>
        <v>0</v>
      </c>
      <c r="U703" s="5">
        <f>+$P703*BG703</f>
        <v>0</v>
      </c>
      <c r="V703" s="5">
        <f>+$P703*BH703</f>
        <v>0</v>
      </c>
      <c r="W703" s="5">
        <f>+$P703*BI703</f>
        <v>0</v>
      </c>
      <c r="X703" s="5">
        <f>+$P703*BJ703</f>
        <v>0</v>
      </c>
      <c r="Y703" s="5">
        <f>+$P703*BK703</f>
        <v>0</v>
      </c>
      <c r="Z703" s="5">
        <f>+$P703*BL703</f>
        <v>0</v>
      </c>
      <c r="AA703" s="5">
        <f>+$P703*BM703</f>
        <v>0</v>
      </c>
      <c r="AB703" s="5">
        <f>+$P703*BN703</f>
        <v>0</v>
      </c>
      <c r="AC703" s="5">
        <v>0</v>
      </c>
      <c r="AD703" s="5">
        <f>+$AC703*BC703</f>
        <v>0</v>
      </c>
      <c r="AE703" s="5">
        <f>+$AC703*BD703</f>
        <v>0</v>
      </c>
      <c r="AF703" s="5">
        <f>+$AC703*BE703</f>
        <v>0</v>
      </c>
      <c r="AG703" s="5">
        <f>+$AC703*BF703</f>
        <v>0</v>
      </c>
      <c r="AH703" s="5">
        <f>+$AC703*BG703</f>
        <v>0</v>
      </c>
      <c r="AI703" s="5">
        <f>+$AC703*BH703</f>
        <v>0</v>
      </c>
      <c r="AJ703" s="5">
        <f>+$AC703*BI703</f>
        <v>0</v>
      </c>
      <c r="AK703" s="5">
        <f>+$AC703*BJ703</f>
        <v>0</v>
      </c>
      <c r="AL703" s="5">
        <f>+$AC703*BK703</f>
        <v>0</v>
      </c>
      <c r="AM703" s="5">
        <f>+$AC703*BL703</f>
        <v>0</v>
      </c>
      <c r="AN703" s="5">
        <f>+$AC703*BM703</f>
        <v>0</v>
      </c>
      <c r="AO703" s="5">
        <f>+$AC703*BN703</f>
        <v>0</v>
      </c>
      <c r="AP703" s="5">
        <f>+AC703+P703+C703</f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2">
        <v>8.9181565948742242E-2</v>
      </c>
      <c r="BD703" s="2">
        <v>0.10665277883445198</v>
      </c>
      <c r="BE703" s="2">
        <v>9.438849084854764E-2</v>
      </c>
      <c r="BF703" s="2">
        <v>7.149564986855049E-2</v>
      </c>
      <c r="BG703" s="2">
        <v>0.10368571810536763</v>
      </c>
      <c r="BH703" s="2">
        <v>8.4970330952544637E-2</v>
      </c>
      <c r="BI703" s="2">
        <v>8.4593878877262704E-2</v>
      </c>
      <c r="BJ703" s="2">
        <v>5.7447105462779965E-2</v>
      </c>
      <c r="BK703" s="2">
        <v>8.5153852345557474E-2</v>
      </c>
      <c r="BL703" s="2">
        <v>7.4158058913035174E-2</v>
      </c>
      <c r="BM703" s="2">
        <v>7.5718189192107169E-2</v>
      </c>
      <c r="BN703" s="2">
        <v>7.3955559365675619E-2</v>
      </c>
    </row>
    <row r="704" spans="1:66" x14ac:dyDescent="0.25">
      <c r="A704" s="8">
        <v>5005</v>
      </c>
      <c r="B704" s="8" t="s">
        <v>292</v>
      </c>
      <c r="C704" s="5">
        <v>0</v>
      </c>
      <c r="D704" s="5">
        <f>+$C704*BC704</f>
        <v>0</v>
      </c>
      <c r="E704" s="5">
        <f>+$C704*BD704</f>
        <v>0</v>
      </c>
      <c r="F704" s="5">
        <f>+$C704*BE704</f>
        <v>0</v>
      </c>
      <c r="G704" s="5">
        <f>+$C704*BF704</f>
        <v>0</v>
      </c>
      <c r="H704" s="5">
        <f>+$C704*BG704</f>
        <v>0</v>
      </c>
      <c r="I704" s="5">
        <f>+$C704*BH704</f>
        <v>0</v>
      </c>
      <c r="J704" s="5">
        <f>+$C704*BI704</f>
        <v>0</v>
      </c>
      <c r="K704" s="5">
        <f>+$C704*BJ704</f>
        <v>0</v>
      </c>
      <c r="L704" s="5">
        <f>+$C704*BK704</f>
        <v>0</v>
      </c>
      <c r="M704" s="5">
        <f>+$C704*BL704</f>
        <v>0</v>
      </c>
      <c r="N704" s="5">
        <f>+$C704*BM704</f>
        <v>0</v>
      </c>
      <c r="O704" s="5">
        <f>+$C704*BN704</f>
        <v>0</v>
      </c>
      <c r="P704" s="5">
        <v>500</v>
      </c>
      <c r="Q704" s="5">
        <f>+$P704*BC704</f>
        <v>44.590782974371123</v>
      </c>
      <c r="R704" s="5">
        <f>+$P704*BD704</f>
        <v>53.32638941722599</v>
      </c>
      <c r="S704" s="5">
        <f>+$P704*BE704</f>
        <v>47.194245424273824</v>
      </c>
      <c r="T704" s="5">
        <f>+$P704*BF704</f>
        <v>35.747824934275243</v>
      </c>
      <c r="U704" s="5">
        <f>+$P704*BG704</f>
        <v>51.842859052683814</v>
      </c>
      <c r="V704" s="5">
        <f>+$P704*BH704</f>
        <v>42.485165476272321</v>
      </c>
      <c r="W704" s="5">
        <f>+$P704*BI704</f>
        <v>42.296939438631355</v>
      </c>
      <c r="X704" s="5">
        <f>+$P704*BJ704</f>
        <v>28.723552731389983</v>
      </c>
      <c r="Y704" s="5">
        <f>+$P704*BK704</f>
        <v>42.576926172778734</v>
      </c>
      <c r="Z704" s="5">
        <f>+$P704*BL704</f>
        <v>37.079029456517588</v>
      </c>
      <c r="AA704" s="5">
        <f>+$P704*BM704</f>
        <v>37.859094596053588</v>
      </c>
      <c r="AB704" s="5">
        <f>+$P704*BN704</f>
        <v>36.977779682837813</v>
      </c>
      <c r="AC704" s="5">
        <v>0</v>
      </c>
      <c r="AD704" s="5">
        <f>+$AC704*BC704</f>
        <v>0</v>
      </c>
      <c r="AE704" s="5">
        <f>+$AC704*BD704</f>
        <v>0</v>
      </c>
      <c r="AF704" s="5">
        <f>+$AC704*BE704</f>
        <v>0</v>
      </c>
      <c r="AG704" s="5">
        <f>+$AC704*BF704</f>
        <v>0</v>
      </c>
      <c r="AH704" s="5">
        <f>+$AC704*BG704</f>
        <v>0</v>
      </c>
      <c r="AI704" s="5">
        <f>+$AC704*BH704</f>
        <v>0</v>
      </c>
      <c r="AJ704" s="5">
        <f>+$AC704*BI704</f>
        <v>0</v>
      </c>
      <c r="AK704" s="5">
        <f>+$AC704*BJ704</f>
        <v>0</v>
      </c>
      <c r="AL704" s="5">
        <f>+$AC704*BK704</f>
        <v>0</v>
      </c>
      <c r="AM704" s="5">
        <f>+$AC704*BL704</f>
        <v>0</v>
      </c>
      <c r="AN704" s="5">
        <f>+$AC704*BM704</f>
        <v>0</v>
      </c>
      <c r="AO704" s="5">
        <f>+$AC704*BN704</f>
        <v>0</v>
      </c>
      <c r="AP704" s="5">
        <f>+AC704+P704+C704</f>
        <v>500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2">
        <v>8.9181565948742242E-2</v>
      </c>
      <c r="BD704" s="2">
        <v>0.10665277883445198</v>
      </c>
      <c r="BE704" s="2">
        <v>9.438849084854764E-2</v>
      </c>
      <c r="BF704" s="2">
        <v>7.149564986855049E-2</v>
      </c>
      <c r="BG704" s="2">
        <v>0.10368571810536763</v>
      </c>
      <c r="BH704" s="2">
        <v>8.4970330952544637E-2</v>
      </c>
      <c r="BI704" s="2">
        <v>8.4593878877262704E-2</v>
      </c>
      <c r="BJ704" s="2">
        <v>5.7447105462779965E-2</v>
      </c>
      <c r="BK704" s="2">
        <v>8.5153852345557474E-2</v>
      </c>
      <c r="BL704" s="2">
        <v>7.4158058913035174E-2</v>
      </c>
      <c r="BM704" s="2">
        <v>7.5718189192107169E-2</v>
      </c>
      <c r="BN704" s="2">
        <v>7.3955559365675619E-2</v>
      </c>
    </row>
    <row r="705" spans="1:66" x14ac:dyDescent="0.25">
      <c r="A705" s="8">
        <v>5016</v>
      </c>
      <c r="B705" s="8" t="s">
        <v>291</v>
      </c>
      <c r="C705" s="5">
        <v>0</v>
      </c>
      <c r="D705" s="5">
        <f>+$C705*BC705</f>
        <v>0</v>
      </c>
      <c r="E705" s="5">
        <f>+$C705*BD705</f>
        <v>0</v>
      </c>
      <c r="F705" s="5">
        <f>+$C705*BE705</f>
        <v>0</v>
      </c>
      <c r="G705" s="5">
        <f>+$C705*BF705</f>
        <v>0</v>
      </c>
      <c r="H705" s="5">
        <f>+$C705*BG705</f>
        <v>0</v>
      </c>
      <c r="I705" s="5">
        <f>+$C705*BH705</f>
        <v>0</v>
      </c>
      <c r="J705" s="5">
        <f>+$C705*BI705</f>
        <v>0</v>
      </c>
      <c r="K705" s="5">
        <f>+$C705*BJ705</f>
        <v>0</v>
      </c>
      <c r="L705" s="5">
        <f>+$C705*BK705</f>
        <v>0</v>
      </c>
      <c r="M705" s="5">
        <f>+$C705*BL705</f>
        <v>0</v>
      </c>
      <c r="N705" s="5">
        <f>+$C705*BM705</f>
        <v>0</v>
      </c>
      <c r="O705" s="5">
        <f>+$C705*BN705</f>
        <v>0</v>
      </c>
      <c r="P705" s="5">
        <v>0</v>
      </c>
      <c r="Q705" s="5">
        <f>+$P705*BC705</f>
        <v>0</v>
      </c>
      <c r="R705" s="5">
        <f>+$P705*BD705</f>
        <v>0</v>
      </c>
      <c r="S705" s="5">
        <f>+$P705*BE705</f>
        <v>0</v>
      </c>
      <c r="T705" s="5">
        <f>+$P705*BF705</f>
        <v>0</v>
      </c>
      <c r="U705" s="5">
        <f>+$P705*BG705</f>
        <v>0</v>
      </c>
      <c r="V705" s="5">
        <f>+$P705*BH705</f>
        <v>0</v>
      </c>
      <c r="W705" s="5">
        <f>+$P705*BI705</f>
        <v>0</v>
      </c>
      <c r="X705" s="5">
        <f>+$P705*BJ705</f>
        <v>0</v>
      </c>
      <c r="Y705" s="5">
        <f>+$P705*BK705</f>
        <v>0</v>
      </c>
      <c r="Z705" s="5">
        <f>+$P705*BL705</f>
        <v>0</v>
      </c>
      <c r="AA705" s="5">
        <f>+$P705*BM705</f>
        <v>0</v>
      </c>
      <c r="AB705" s="5">
        <f>+$P705*BN705</f>
        <v>0</v>
      </c>
      <c r="AC705" s="5">
        <v>0</v>
      </c>
      <c r="AD705" s="5">
        <f>+$AC705*BC705</f>
        <v>0</v>
      </c>
      <c r="AE705" s="5">
        <f>+$AC705*BD705</f>
        <v>0</v>
      </c>
      <c r="AF705" s="5">
        <f>+$AC705*BE705</f>
        <v>0</v>
      </c>
      <c r="AG705" s="5">
        <f>+$AC705*BF705</f>
        <v>0</v>
      </c>
      <c r="AH705" s="5">
        <f>+$AC705*BG705</f>
        <v>0</v>
      </c>
      <c r="AI705" s="5">
        <f>+$AC705*BH705</f>
        <v>0</v>
      </c>
      <c r="AJ705" s="5">
        <f>+$AC705*BI705</f>
        <v>0</v>
      </c>
      <c r="AK705" s="5">
        <f>+$AC705*BJ705</f>
        <v>0</v>
      </c>
      <c r="AL705" s="5">
        <f>+$AC705*BK705</f>
        <v>0</v>
      </c>
      <c r="AM705" s="5">
        <f>+$AC705*BL705</f>
        <v>0</v>
      </c>
      <c r="AN705" s="5">
        <f>+$AC705*BM705</f>
        <v>0</v>
      </c>
      <c r="AO705" s="5">
        <f>+$AC705*BN705</f>
        <v>0</v>
      </c>
      <c r="AP705" s="5">
        <f>+AC705+P705+C705</f>
        <v>0</v>
      </c>
      <c r="AQ705" s="1">
        <v>40.181646353865311</v>
      </c>
      <c r="AR705" s="1">
        <v>48.053476031650689</v>
      </c>
      <c r="AS705" s="1">
        <v>42.527678436721629</v>
      </c>
      <c r="AT705" s="1">
        <v>32.213080004774113</v>
      </c>
      <c r="AU705" s="1">
        <v>46.716637149554444</v>
      </c>
      <c r="AV705" s="1">
        <v>38.284232313978514</v>
      </c>
      <c r="AW705" s="1">
        <v>38.114618066939492</v>
      </c>
      <c r="AX705" s="1">
        <v>25.883367837310146</v>
      </c>
      <c r="AY705" s="1">
        <v>38.366919712814379</v>
      </c>
      <c r="AZ705" s="1">
        <v>33.412655023857134</v>
      </c>
      <c r="BA705" s="1">
        <v>34.115587322395811</v>
      </c>
      <c r="BB705" s="1">
        <v>33.321416827798814</v>
      </c>
      <c r="BC705" s="2">
        <v>8.9181565948742242E-2</v>
      </c>
      <c r="BD705" s="2">
        <v>0.10665277883445198</v>
      </c>
      <c r="BE705" s="2">
        <v>9.438849084854764E-2</v>
      </c>
      <c r="BF705" s="2">
        <v>7.149564986855049E-2</v>
      </c>
      <c r="BG705" s="2">
        <v>0.10368571810536763</v>
      </c>
      <c r="BH705" s="2">
        <v>8.4970330952544637E-2</v>
      </c>
      <c r="BI705" s="2">
        <v>8.4593878877262704E-2</v>
      </c>
      <c r="BJ705" s="2">
        <v>5.7447105462779965E-2</v>
      </c>
      <c r="BK705" s="2">
        <v>8.5153852345557474E-2</v>
      </c>
      <c r="BL705" s="2">
        <v>7.4158058913035174E-2</v>
      </c>
      <c r="BM705" s="2">
        <v>7.5718189192107169E-2</v>
      </c>
      <c r="BN705" s="2">
        <v>7.3955559365675619E-2</v>
      </c>
    </row>
    <row r="706" spans="1:66" x14ac:dyDescent="0.25">
      <c r="A706" s="8">
        <v>5038</v>
      </c>
      <c r="B706" s="8" t="s">
        <v>290</v>
      </c>
      <c r="C706" s="5">
        <v>0</v>
      </c>
      <c r="D706" s="5">
        <f>+$C706*BC706</f>
        <v>0</v>
      </c>
      <c r="E706" s="5">
        <f>+$C706*BD706</f>
        <v>0</v>
      </c>
      <c r="F706" s="5">
        <f>+$C706*BE706</f>
        <v>0</v>
      </c>
      <c r="G706" s="5">
        <f>+$C706*BF706</f>
        <v>0</v>
      </c>
      <c r="H706" s="5">
        <f>+$C706*BG706</f>
        <v>0</v>
      </c>
      <c r="I706" s="5">
        <f>+$C706*BH706</f>
        <v>0</v>
      </c>
      <c r="J706" s="5">
        <f>+$C706*BI706</f>
        <v>0</v>
      </c>
      <c r="K706" s="5">
        <f>+$C706*BJ706</f>
        <v>0</v>
      </c>
      <c r="L706" s="5">
        <f>+$C706*BK706</f>
        <v>0</v>
      </c>
      <c r="M706" s="5">
        <f>+$C706*BL706</f>
        <v>0</v>
      </c>
      <c r="N706" s="5">
        <f>+$C706*BM706</f>
        <v>0</v>
      </c>
      <c r="O706" s="5">
        <f>+$C706*BN706</f>
        <v>0</v>
      </c>
      <c r="P706" s="5">
        <v>0</v>
      </c>
      <c r="Q706" s="5">
        <f>+$P706*BC706</f>
        <v>0</v>
      </c>
      <c r="R706" s="5">
        <f>+$P706*BD706</f>
        <v>0</v>
      </c>
      <c r="S706" s="5">
        <f>+$P706*BE706</f>
        <v>0</v>
      </c>
      <c r="T706" s="5">
        <f>+$P706*BF706</f>
        <v>0</v>
      </c>
      <c r="U706" s="5">
        <f>+$P706*BG706</f>
        <v>0</v>
      </c>
      <c r="V706" s="5">
        <f>+$P706*BH706</f>
        <v>0</v>
      </c>
      <c r="W706" s="5">
        <f>+$P706*BI706</f>
        <v>0</v>
      </c>
      <c r="X706" s="5">
        <f>+$P706*BJ706</f>
        <v>0</v>
      </c>
      <c r="Y706" s="5">
        <f>+$P706*BK706</f>
        <v>0</v>
      </c>
      <c r="Z706" s="5">
        <f>+$P706*BL706</f>
        <v>0</v>
      </c>
      <c r="AA706" s="5">
        <f>+$P706*BM706</f>
        <v>0</v>
      </c>
      <c r="AB706" s="5">
        <f>+$P706*BN706</f>
        <v>0</v>
      </c>
      <c r="AC706" s="5">
        <v>0</v>
      </c>
      <c r="AD706" s="5">
        <f>+$AC706*BC706</f>
        <v>0</v>
      </c>
      <c r="AE706" s="5">
        <f>+$AC706*BD706</f>
        <v>0</v>
      </c>
      <c r="AF706" s="5">
        <f>+$AC706*BE706</f>
        <v>0</v>
      </c>
      <c r="AG706" s="5">
        <f>+$AC706*BF706</f>
        <v>0</v>
      </c>
      <c r="AH706" s="5">
        <f>+$AC706*BG706</f>
        <v>0</v>
      </c>
      <c r="AI706" s="5">
        <f>+$AC706*BH706</f>
        <v>0</v>
      </c>
      <c r="AJ706" s="5">
        <f>+$AC706*BI706</f>
        <v>0</v>
      </c>
      <c r="AK706" s="5">
        <f>+$AC706*BJ706</f>
        <v>0</v>
      </c>
      <c r="AL706" s="5">
        <f>+$AC706*BK706</f>
        <v>0</v>
      </c>
      <c r="AM706" s="5">
        <f>+$AC706*BL706</f>
        <v>0</v>
      </c>
      <c r="AN706" s="5">
        <f>+$AC706*BM706</f>
        <v>0</v>
      </c>
      <c r="AO706" s="5">
        <f>+$AC706*BN706</f>
        <v>0</v>
      </c>
      <c r="AP706" s="5">
        <f>+AC706+P706+C706</f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2">
        <v>8.9181565948742242E-2</v>
      </c>
      <c r="BD706" s="2">
        <v>0.10665277883445198</v>
      </c>
      <c r="BE706" s="2">
        <v>9.438849084854764E-2</v>
      </c>
      <c r="BF706" s="2">
        <v>7.149564986855049E-2</v>
      </c>
      <c r="BG706" s="2">
        <v>0.10368571810536763</v>
      </c>
      <c r="BH706" s="2">
        <v>8.4970330952544637E-2</v>
      </c>
      <c r="BI706" s="2">
        <v>8.4593878877262704E-2</v>
      </c>
      <c r="BJ706" s="2">
        <v>5.7447105462779965E-2</v>
      </c>
      <c r="BK706" s="2">
        <v>8.5153852345557474E-2</v>
      </c>
      <c r="BL706" s="2">
        <v>7.4158058913035174E-2</v>
      </c>
      <c r="BM706" s="2">
        <v>7.5718189192107169E-2</v>
      </c>
      <c r="BN706" s="2">
        <v>7.3955559365675619E-2</v>
      </c>
    </row>
    <row r="707" spans="1:66" x14ac:dyDescent="0.25">
      <c r="A707" s="8">
        <v>5040</v>
      </c>
      <c r="B707" s="8" t="s">
        <v>289</v>
      </c>
      <c r="C707" s="5">
        <v>0</v>
      </c>
      <c r="D707" s="5">
        <f>+$C707*BC707</f>
        <v>0</v>
      </c>
      <c r="E707" s="5">
        <f>+$C707*BD707</f>
        <v>0</v>
      </c>
      <c r="F707" s="5">
        <f>+$C707*BE707</f>
        <v>0</v>
      </c>
      <c r="G707" s="5">
        <f>+$C707*BF707</f>
        <v>0</v>
      </c>
      <c r="H707" s="5">
        <f>+$C707*BG707</f>
        <v>0</v>
      </c>
      <c r="I707" s="5">
        <f>+$C707*BH707</f>
        <v>0</v>
      </c>
      <c r="J707" s="5">
        <f>+$C707*BI707</f>
        <v>0</v>
      </c>
      <c r="K707" s="5">
        <f>+$C707*BJ707</f>
        <v>0</v>
      </c>
      <c r="L707" s="5">
        <f>+$C707*BK707</f>
        <v>0</v>
      </c>
      <c r="M707" s="5">
        <f>+$C707*BL707</f>
        <v>0</v>
      </c>
      <c r="N707" s="5">
        <f>+$C707*BM707</f>
        <v>0</v>
      </c>
      <c r="O707" s="5">
        <f>+$C707*BN707</f>
        <v>0</v>
      </c>
      <c r="P707" s="5">
        <v>0</v>
      </c>
      <c r="Q707" s="5">
        <f>+$P707*BC707</f>
        <v>0</v>
      </c>
      <c r="R707" s="5">
        <f>+$P707*BD707</f>
        <v>0</v>
      </c>
      <c r="S707" s="5">
        <f>+$P707*BE707</f>
        <v>0</v>
      </c>
      <c r="T707" s="5">
        <f>+$P707*BF707</f>
        <v>0</v>
      </c>
      <c r="U707" s="5">
        <f>+$P707*BG707</f>
        <v>0</v>
      </c>
      <c r="V707" s="5">
        <f>+$P707*BH707</f>
        <v>0</v>
      </c>
      <c r="W707" s="5">
        <f>+$P707*BI707</f>
        <v>0</v>
      </c>
      <c r="X707" s="5">
        <f>+$P707*BJ707</f>
        <v>0</v>
      </c>
      <c r="Y707" s="5">
        <f>+$P707*BK707</f>
        <v>0</v>
      </c>
      <c r="Z707" s="5">
        <f>+$P707*BL707</f>
        <v>0</v>
      </c>
      <c r="AA707" s="5">
        <f>+$P707*BM707</f>
        <v>0</v>
      </c>
      <c r="AB707" s="5">
        <f>+$P707*BN707</f>
        <v>0</v>
      </c>
      <c r="AC707" s="5">
        <v>0</v>
      </c>
      <c r="AD707" s="5">
        <f>+$AC707*BC707</f>
        <v>0</v>
      </c>
      <c r="AE707" s="5">
        <f>+$AC707*BD707</f>
        <v>0</v>
      </c>
      <c r="AF707" s="5">
        <f>+$AC707*BE707</f>
        <v>0</v>
      </c>
      <c r="AG707" s="5">
        <f>+$AC707*BF707</f>
        <v>0</v>
      </c>
      <c r="AH707" s="5">
        <f>+$AC707*BG707</f>
        <v>0</v>
      </c>
      <c r="AI707" s="5">
        <f>+$AC707*BH707</f>
        <v>0</v>
      </c>
      <c r="AJ707" s="5">
        <f>+$AC707*BI707</f>
        <v>0</v>
      </c>
      <c r="AK707" s="5">
        <f>+$AC707*BJ707</f>
        <v>0</v>
      </c>
      <c r="AL707" s="5">
        <f>+$AC707*BK707</f>
        <v>0</v>
      </c>
      <c r="AM707" s="5">
        <f>+$AC707*BL707</f>
        <v>0</v>
      </c>
      <c r="AN707" s="5">
        <f>+$AC707*BM707</f>
        <v>0</v>
      </c>
      <c r="AO707" s="5">
        <f>+$AC707*BN707</f>
        <v>0</v>
      </c>
      <c r="AP707" s="5">
        <f>+AC707+P707+C707</f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2">
        <v>8.9181565948742242E-2</v>
      </c>
      <c r="BD707" s="2">
        <v>0.10665277883445198</v>
      </c>
      <c r="BE707" s="2">
        <v>9.438849084854764E-2</v>
      </c>
      <c r="BF707" s="2">
        <v>7.149564986855049E-2</v>
      </c>
      <c r="BG707" s="2">
        <v>0.10368571810536763</v>
      </c>
      <c r="BH707" s="2">
        <v>8.4970330952544637E-2</v>
      </c>
      <c r="BI707" s="2">
        <v>8.4593878877262704E-2</v>
      </c>
      <c r="BJ707" s="2">
        <v>5.7447105462779965E-2</v>
      </c>
      <c r="BK707" s="2">
        <v>8.5153852345557474E-2</v>
      </c>
      <c r="BL707" s="2">
        <v>7.4158058913035174E-2</v>
      </c>
      <c r="BM707" s="2">
        <v>7.5718189192107169E-2</v>
      </c>
      <c r="BN707" s="2">
        <v>7.3955559365675619E-2</v>
      </c>
    </row>
    <row r="708" spans="1:66" x14ac:dyDescent="0.25">
      <c r="A708" s="8">
        <v>5044</v>
      </c>
      <c r="B708" s="8" t="s">
        <v>288</v>
      </c>
      <c r="C708" s="5">
        <v>0</v>
      </c>
      <c r="D708" s="5">
        <f>+$C708*BC708</f>
        <v>0</v>
      </c>
      <c r="E708" s="5">
        <f>+$C708*BD708</f>
        <v>0</v>
      </c>
      <c r="F708" s="5">
        <f>+$C708*BE708</f>
        <v>0</v>
      </c>
      <c r="G708" s="5">
        <f>+$C708*BF708</f>
        <v>0</v>
      </c>
      <c r="H708" s="5">
        <f>+$C708*BG708</f>
        <v>0</v>
      </c>
      <c r="I708" s="5">
        <f>+$C708*BH708</f>
        <v>0</v>
      </c>
      <c r="J708" s="5">
        <f>+$C708*BI708</f>
        <v>0</v>
      </c>
      <c r="K708" s="5">
        <f>+$C708*BJ708</f>
        <v>0</v>
      </c>
      <c r="L708" s="5">
        <f>+$C708*BK708</f>
        <v>0</v>
      </c>
      <c r="M708" s="5">
        <f>+$C708*BL708</f>
        <v>0</v>
      </c>
      <c r="N708" s="5">
        <f>+$C708*BM708</f>
        <v>0</v>
      </c>
      <c r="O708" s="5">
        <f>+$C708*BN708</f>
        <v>0</v>
      </c>
      <c r="P708" s="5">
        <v>0</v>
      </c>
      <c r="Q708" s="5">
        <f>+$P708*BC708</f>
        <v>0</v>
      </c>
      <c r="R708" s="5">
        <f>+$P708*BD708</f>
        <v>0</v>
      </c>
      <c r="S708" s="5">
        <f>+$P708*BE708</f>
        <v>0</v>
      </c>
      <c r="T708" s="5">
        <f>+$P708*BF708</f>
        <v>0</v>
      </c>
      <c r="U708" s="5">
        <f>+$P708*BG708</f>
        <v>0</v>
      </c>
      <c r="V708" s="5">
        <f>+$P708*BH708</f>
        <v>0</v>
      </c>
      <c r="W708" s="5">
        <f>+$P708*BI708</f>
        <v>0</v>
      </c>
      <c r="X708" s="5">
        <f>+$P708*BJ708</f>
        <v>0</v>
      </c>
      <c r="Y708" s="5">
        <f>+$P708*BK708</f>
        <v>0</v>
      </c>
      <c r="Z708" s="5">
        <f>+$P708*BL708</f>
        <v>0</v>
      </c>
      <c r="AA708" s="5">
        <f>+$P708*BM708</f>
        <v>0</v>
      </c>
      <c r="AB708" s="5">
        <f>+$P708*BN708</f>
        <v>0</v>
      </c>
      <c r="AC708" s="5">
        <v>0</v>
      </c>
      <c r="AD708" s="5">
        <f>+$AC708*BC708</f>
        <v>0</v>
      </c>
      <c r="AE708" s="5">
        <f>+$AC708*BD708</f>
        <v>0</v>
      </c>
      <c r="AF708" s="5">
        <f>+$AC708*BE708</f>
        <v>0</v>
      </c>
      <c r="AG708" s="5">
        <f>+$AC708*BF708</f>
        <v>0</v>
      </c>
      <c r="AH708" s="5">
        <f>+$AC708*BG708</f>
        <v>0</v>
      </c>
      <c r="AI708" s="5">
        <f>+$AC708*BH708</f>
        <v>0</v>
      </c>
      <c r="AJ708" s="5">
        <f>+$AC708*BI708</f>
        <v>0</v>
      </c>
      <c r="AK708" s="5">
        <f>+$AC708*BJ708</f>
        <v>0</v>
      </c>
      <c r="AL708" s="5">
        <f>+$AC708*BK708</f>
        <v>0</v>
      </c>
      <c r="AM708" s="5">
        <f>+$AC708*BL708</f>
        <v>0</v>
      </c>
      <c r="AN708" s="5">
        <f>+$AC708*BM708</f>
        <v>0</v>
      </c>
      <c r="AO708" s="5">
        <f>+$AC708*BN708</f>
        <v>0</v>
      </c>
      <c r="AP708" s="5">
        <f>+AC708+P708+C708</f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2">
        <v>8.9181565948742242E-2</v>
      </c>
      <c r="BD708" s="2">
        <v>0.10665277883445198</v>
      </c>
      <c r="BE708" s="2">
        <v>9.438849084854764E-2</v>
      </c>
      <c r="BF708" s="2">
        <v>7.149564986855049E-2</v>
      </c>
      <c r="BG708" s="2">
        <v>0.10368571810536763</v>
      </c>
      <c r="BH708" s="2">
        <v>8.4970330952544637E-2</v>
      </c>
      <c r="BI708" s="2">
        <v>8.4593878877262704E-2</v>
      </c>
      <c r="BJ708" s="2">
        <v>5.7447105462779965E-2</v>
      </c>
      <c r="BK708" s="2">
        <v>8.5153852345557474E-2</v>
      </c>
      <c r="BL708" s="2">
        <v>7.4158058913035174E-2</v>
      </c>
      <c r="BM708" s="2">
        <v>7.5718189192107169E-2</v>
      </c>
      <c r="BN708" s="2">
        <v>7.3955559365675619E-2</v>
      </c>
    </row>
    <row r="709" spans="1:66" x14ac:dyDescent="0.25">
      <c r="A709" s="8">
        <v>5047</v>
      </c>
      <c r="B709" s="8" t="s">
        <v>287</v>
      </c>
      <c r="C709" s="5">
        <v>0</v>
      </c>
      <c r="D709" s="5">
        <f>+$C709*BC709</f>
        <v>0</v>
      </c>
      <c r="E709" s="5">
        <f>+$C709*BD709</f>
        <v>0</v>
      </c>
      <c r="F709" s="5">
        <f>+$C709*BE709</f>
        <v>0</v>
      </c>
      <c r="G709" s="5">
        <f>+$C709*BF709</f>
        <v>0</v>
      </c>
      <c r="H709" s="5">
        <f>+$C709*BG709</f>
        <v>0</v>
      </c>
      <c r="I709" s="5">
        <f>+$C709*BH709</f>
        <v>0</v>
      </c>
      <c r="J709" s="5">
        <f>+$C709*BI709</f>
        <v>0</v>
      </c>
      <c r="K709" s="5">
        <f>+$C709*BJ709</f>
        <v>0</v>
      </c>
      <c r="L709" s="5">
        <f>+$C709*BK709</f>
        <v>0</v>
      </c>
      <c r="M709" s="5">
        <f>+$C709*BL709</f>
        <v>0</v>
      </c>
      <c r="N709" s="5">
        <f>+$C709*BM709</f>
        <v>0</v>
      </c>
      <c r="O709" s="5">
        <f>+$C709*BN709</f>
        <v>0</v>
      </c>
      <c r="P709" s="5">
        <v>0</v>
      </c>
      <c r="Q709" s="5">
        <f>+$P709*BC709</f>
        <v>0</v>
      </c>
      <c r="R709" s="5">
        <f>+$P709*BD709</f>
        <v>0</v>
      </c>
      <c r="S709" s="5">
        <f>+$P709*BE709</f>
        <v>0</v>
      </c>
      <c r="T709" s="5">
        <f>+$P709*BF709</f>
        <v>0</v>
      </c>
      <c r="U709" s="5">
        <f>+$P709*BG709</f>
        <v>0</v>
      </c>
      <c r="V709" s="5">
        <f>+$P709*BH709</f>
        <v>0</v>
      </c>
      <c r="W709" s="5">
        <f>+$P709*BI709</f>
        <v>0</v>
      </c>
      <c r="X709" s="5">
        <f>+$P709*BJ709</f>
        <v>0</v>
      </c>
      <c r="Y709" s="5">
        <f>+$P709*BK709</f>
        <v>0</v>
      </c>
      <c r="Z709" s="5">
        <f>+$P709*BL709</f>
        <v>0</v>
      </c>
      <c r="AA709" s="5">
        <f>+$P709*BM709</f>
        <v>0</v>
      </c>
      <c r="AB709" s="5">
        <f>+$P709*BN709</f>
        <v>0</v>
      </c>
      <c r="AC709" s="5">
        <v>0</v>
      </c>
      <c r="AD709" s="5">
        <f>+$AC709*BC709</f>
        <v>0</v>
      </c>
      <c r="AE709" s="5">
        <f>+$AC709*BD709</f>
        <v>0</v>
      </c>
      <c r="AF709" s="5">
        <f>+$AC709*BE709</f>
        <v>0</v>
      </c>
      <c r="AG709" s="5">
        <f>+$AC709*BF709</f>
        <v>0</v>
      </c>
      <c r="AH709" s="5">
        <f>+$AC709*BG709</f>
        <v>0</v>
      </c>
      <c r="AI709" s="5">
        <f>+$AC709*BH709</f>
        <v>0</v>
      </c>
      <c r="AJ709" s="5">
        <f>+$AC709*BI709</f>
        <v>0</v>
      </c>
      <c r="AK709" s="5">
        <f>+$AC709*BJ709</f>
        <v>0</v>
      </c>
      <c r="AL709" s="5">
        <f>+$AC709*BK709</f>
        <v>0</v>
      </c>
      <c r="AM709" s="5">
        <f>+$AC709*BL709</f>
        <v>0</v>
      </c>
      <c r="AN709" s="5">
        <f>+$AC709*BM709</f>
        <v>0</v>
      </c>
      <c r="AO709" s="5">
        <f>+$AC709*BN709</f>
        <v>0</v>
      </c>
      <c r="AP709" s="5">
        <f>+AC709+P709+C709</f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2">
        <v>8.9181565948742242E-2</v>
      </c>
      <c r="BD709" s="2">
        <v>0.10665277883445198</v>
      </c>
      <c r="BE709" s="2">
        <v>9.438849084854764E-2</v>
      </c>
      <c r="BF709" s="2">
        <v>7.149564986855049E-2</v>
      </c>
      <c r="BG709" s="2">
        <v>0.10368571810536763</v>
      </c>
      <c r="BH709" s="2">
        <v>8.4970330952544637E-2</v>
      </c>
      <c r="BI709" s="2">
        <v>8.4593878877262704E-2</v>
      </c>
      <c r="BJ709" s="2">
        <v>5.7447105462779965E-2</v>
      </c>
      <c r="BK709" s="2">
        <v>8.5153852345557474E-2</v>
      </c>
      <c r="BL709" s="2">
        <v>7.4158058913035174E-2</v>
      </c>
      <c r="BM709" s="2">
        <v>7.5718189192107169E-2</v>
      </c>
      <c r="BN709" s="2">
        <v>7.3955559365675619E-2</v>
      </c>
    </row>
    <row r="710" spans="1:66" x14ac:dyDescent="0.25">
      <c r="A710" s="8">
        <v>5050</v>
      </c>
      <c r="B710" s="8" t="s">
        <v>286</v>
      </c>
      <c r="C710" s="5">
        <v>0</v>
      </c>
      <c r="D710" s="5">
        <f>+$C710*BC710</f>
        <v>0</v>
      </c>
      <c r="E710" s="5">
        <f>+$C710*BD710</f>
        <v>0</v>
      </c>
      <c r="F710" s="5">
        <f>+$C710*BE710</f>
        <v>0</v>
      </c>
      <c r="G710" s="5">
        <f>+$C710*BF710</f>
        <v>0</v>
      </c>
      <c r="H710" s="5">
        <f>+$C710*BG710</f>
        <v>0</v>
      </c>
      <c r="I710" s="5">
        <f>+$C710*BH710</f>
        <v>0</v>
      </c>
      <c r="J710" s="5">
        <f>+$C710*BI710</f>
        <v>0</v>
      </c>
      <c r="K710" s="5">
        <f>+$C710*BJ710</f>
        <v>0</v>
      </c>
      <c r="L710" s="5">
        <f>+$C710*BK710</f>
        <v>0</v>
      </c>
      <c r="M710" s="5">
        <f>+$C710*BL710</f>
        <v>0</v>
      </c>
      <c r="N710" s="5">
        <f>+$C710*BM710</f>
        <v>0</v>
      </c>
      <c r="O710" s="5">
        <f>+$C710*BN710</f>
        <v>0</v>
      </c>
      <c r="P710" s="5">
        <v>0</v>
      </c>
      <c r="Q710" s="5">
        <f>+$P710*BC710</f>
        <v>0</v>
      </c>
      <c r="R710" s="5">
        <f>+$P710*BD710</f>
        <v>0</v>
      </c>
      <c r="S710" s="5">
        <f>+$P710*BE710</f>
        <v>0</v>
      </c>
      <c r="T710" s="5">
        <f>+$P710*BF710</f>
        <v>0</v>
      </c>
      <c r="U710" s="5">
        <f>+$P710*BG710</f>
        <v>0</v>
      </c>
      <c r="V710" s="5">
        <f>+$P710*BH710</f>
        <v>0</v>
      </c>
      <c r="W710" s="5">
        <f>+$P710*BI710</f>
        <v>0</v>
      </c>
      <c r="X710" s="5">
        <f>+$P710*BJ710</f>
        <v>0</v>
      </c>
      <c r="Y710" s="5">
        <f>+$P710*BK710</f>
        <v>0</v>
      </c>
      <c r="Z710" s="5">
        <f>+$P710*BL710</f>
        <v>0</v>
      </c>
      <c r="AA710" s="5">
        <f>+$P710*BM710</f>
        <v>0</v>
      </c>
      <c r="AB710" s="5">
        <f>+$P710*BN710</f>
        <v>0</v>
      </c>
      <c r="AC710" s="5">
        <v>0</v>
      </c>
      <c r="AD710" s="5">
        <f>+$AC710*BC710</f>
        <v>0</v>
      </c>
      <c r="AE710" s="5">
        <f>+$AC710*BD710</f>
        <v>0</v>
      </c>
      <c r="AF710" s="5">
        <f>+$AC710*BE710</f>
        <v>0</v>
      </c>
      <c r="AG710" s="5">
        <f>+$AC710*BF710</f>
        <v>0</v>
      </c>
      <c r="AH710" s="5">
        <f>+$AC710*BG710</f>
        <v>0</v>
      </c>
      <c r="AI710" s="5">
        <f>+$AC710*BH710</f>
        <v>0</v>
      </c>
      <c r="AJ710" s="5">
        <f>+$AC710*BI710</f>
        <v>0</v>
      </c>
      <c r="AK710" s="5">
        <f>+$AC710*BJ710</f>
        <v>0</v>
      </c>
      <c r="AL710" s="5">
        <f>+$AC710*BK710</f>
        <v>0</v>
      </c>
      <c r="AM710" s="5">
        <f>+$AC710*BL710</f>
        <v>0</v>
      </c>
      <c r="AN710" s="5">
        <f>+$AC710*BM710</f>
        <v>0</v>
      </c>
      <c r="AO710" s="5">
        <f>+$AC710*BN710</f>
        <v>0</v>
      </c>
      <c r="AP710" s="5">
        <f>+AC710+P710+C710</f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2">
        <v>8.9181565948742242E-2</v>
      </c>
      <c r="BD710" s="2">
        <v>0.10665277883445198</v>
      </c>
      <c r="BE710" s="2">
        <v>9.438849084854764E-2</v>
      </c>
      <c r="BF710" s="2">
        <v>7.149564986855049E-2</v>
      </c>
      <c r="BG710" s="2">
        <v>0.10368571810536763</v>
      </c>
      <c r="BH710" s="2">
        <v>8.4970330952544637E-2</v>
      </c>
      <c r="BI710" s="2">
        <v>8.4593878877262704E-2</v>
      </c>
      <c r="BJ710" s="2">
        <v>5.7447105462779965E-2</v>
      </c>
      <c r="BK710" s="2">
        <v>8.5153852345557474E-2</v>
      </c>
      <c r="BL710" s="2">
        <v>7.4158058913035174E-2</v>
      </c>
      <c r="BM710" s="2">
        <v>7.5718189192107169E-2</v>
      </c>
      <c r="BN710" s="2">
        <v>7.3955559365675619E-2</v>
      </c>
    </row>
    <row r="711" spans="1:66" x14ac:dyDescent="0.25">
      <c r="A711" s="8">
        <v>5065</v>
      </c>
      <c r="B711" s="8" t="s">
        <v>285</v>
      </c>
      <c r="C711" s="5">
        <v>0</v>
      </c>
      <c r="D711" s="5">
        <f>+$C711*BC711</f>
        <v>0</v>
      </c>
      <c r="E711" s="5">
        <f>+$C711*BD711</f>
        <v>0</v>
      </c>
      <c r="F711" s="5">
        <f>+$C711*BE711</f>
        <v>0</v>
      </c>
      <c r="G711" s="5">
        <f>+$C711*BF711</f>
        <v>0</v>
      </c>
      <c r="H711" s="5">
        <f>+$C711*BG711</f>
        <v>0</v>
      </c>
      <c r="I711" s="5">
        <f>+$C711*BH711</f>
        <v>0</v>
      </c>
      <c r="J711" s="5">
        <f>+$C711*BI711</f>
        <v>0</v>
      </c>
      <c r="K711" s="5">
        <f>+$C711*BJ711</f>
        <v>0</v>
      </c>
      <c r="L711" s="5">
        <f>+$C711*BK711</f>
        <v>0</v>
      </c>
      <c r="M711" s="5">
        <f>+$C711*BL711</f>
        <v>0</v>
      </c>
      <c r="N711" s="5">
        <f>+$C711*BM711</f>
        <v>0</v>
      </c>
      <c r="O711" s="5">
        <f>+$C711*BN711</f>
        <v>0</v>
      </c>
      <c r="P711" s="5">
        <v>3000</v>
      </c>
      <c r="Q711" s="5">
        <f>+$P711*BC711</f>
        <v>267.54469784622671</v>
      </c>
      <c r="R711" s="5">
        <f>+$P711*BD711</f>
        <v>319.95833650335595</v>
      </c>
      <c r="S711" s="5">
        <f>+$P711*BE711</f>
        <v>283.1654725456429</v>
      </c>
      <c r="T711" s="5">
        <f>+$P711*BF711</f>
        <v>214.48694960565146</v>
      </c>
      <c r="U711" s="5">
        <f>+$P711*BG711</f>
        <v>311.05715431610287</v>
      </c>
      <c r="V711" s="5">
        <f>+$P711*BH711</f>
        <v>254.91099285763391</v>
      </c>
      <c r="W711" s="5">
        <f>+$P711*BI711</f>
        <v>253.7816366317881</v>
      </c>
      <c r="X711" s="5">
        <f>+$P711*BJ711</f>
        <v>172.34131638833989</v>
      </c>
      <c r="Y711" s="5">
        <f>+$P711*BK711</f>
        <v>255.46155703667242</v>
      </c>
      <c r="Z711" s="5">
        <f>+$P711*BL711</f>
        <v>222.47417673910553</v>
      </c>
      <c r="AA711" s="5">
        <f>+$P711*BM711</f>
        <v>227.15456757632151</v>
      </c>
      <c r="AB711" s="5">
        <f>+$P711*BN711</f>
        <v>221.86667809702686</v>
      </c>
      <c r="AC711" s="5">
        <v>0</v>
      </c>
      <c r="AD711" s="5">
        <f>+$AC711*BC711</f>
        <v>0</v>
      </c>
      <c r="AE711" s="5">
        <f>+$AC711*BD711</f>
        <v>0</v>
      </c>
      <c r="AF711" s="5">
        <f>+$AC711*BE711</f>
        <v>0</v>
      </c>
      <c r="AG711" s="5">
        <f>+$AC711*BF711</f>
        <v>0</v>
      </c>
      <c r="AH711" s="5">
        <f>+$AC711*BG711</f>
        <v>0</v>
      </c>
      <c r="AI711" s="5">
        <f>+$AC711*BH711</f>
        <v>0</v>
      </c>
      <c r="AJ711" s="5">
        <f>+$AC711*BI711</f>
        <v>0</v>
      </c>
      <c r="AK711" s="5">
        <f>+$AC711*BJ711</f>
        <v>0</v>
      </c>
      <c r="AL711" s="5">
        <f>+$AC711*BK711</f>
        <v>0</v>
      </c>
      <c r="AM711" s="5">
        <f>+$AC711*BL711</f>
        <v>0</v>
      </c>
      <c r="AN711" s="5">
        <f>+$AC711*BM711</f>
        <v>0</v>
      </c>
      <c r="AO711" s="5">
        <f>+$AC711*BN711</f>
        <v>0</v>
      </c>
      <c r="AP711" s="5">
        <f>+AC711+P711+C711</f>
        <v>3000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2">
        <v>8.9181565948742242E-2</v>
      </c>
      <c r="BD711" s="2">
        <v>0.10665277883445198</v>
      </c>
      <c r="BE711" s="2">
        <v>9.438849084854764E-2</v>
      </c>
      <c r="BF711" s="2">
        <v>7.149564986855049E-2</v>
      </c>
      <c r="BG711" s="2">
        <v>0.10368571810536763</v>
      </c>
      <c r="BH711" s="2">
        <v>8.4970330952544637E-2</v>
      </c>
      <c r="BI711" s="2">
        <v>8.4593878877262704E-2</v>
      </c>
      <c r="BJ711" s="2">
        <v>5.7447105462779965E-2</v>
      </c>
      <c r="BK711" s="2">
        <v>8.5153852345557474E-2</v>
      </c>
      <c r="BL711" s="2">
        <v>7.4158058913035174E-2</v>
      </c>
      <c r="BM711" s="2">
        <v>7.5718189192107169E-2</v>
      </c>
      <c r="BN711" s="2">
        <v>7.3955559365675619E-2</v>
      </c>
    </row>
    <row r="712" spans="1:66" x14ac:dyDescent="0.25">
      <c r="A712" s="8">
        <v>5070</v>
      </c>
      <c r="B712" s="8" t="s">
        <v>284</v>
      </c>
      <c r="C712" s="5">
        <v>0</v>
      </c>
      <c r="D712" s="5">
        <f>+$C712*BC712</f>
        <v>0</v>
      </c>
      <c r="E712" s="5">
        <f>+$C712*BD712</f>
        <v>0</v>
      </c>
      <c r="F712" s="5">
        <f>+$C712*BE712</f>
        <v>0</v>
      </c>
      <c r="G712" s="5">
        <f>+$C712*BF712</f>
        <v>0</v>
      </c>
      <c r="H712" s="5">
        <f>+$C712*BG712</f>
        <v>0</v>
      </c>
      <c r="I712" s="5">
        <f>+$C712*BH712</f>
        <v>0</v>
      </c>
      <c r="J712" s="5">
        <f>+$C712*BI712</f>
        <v>0</v>
      </c>
      <c r="K712" s="5">
        <f>+$C712*BJ712</f>
        <v>0</v>
      </c>
      <c r="L712" s="5">
        <f>+$C712*BK712</f>
        <v>0</v>
      </c>
      <c r="M712" s="5">
        <f>+$C712*BL712</f>
        <v>0</v>
      </c>
      <c r="N712" s="5">
        <f>+$C712*BM712</f>
        <v>0</v>
      </c>
      <c r="O712" s="5">
        <f>+$C712*BN712</f>
        <v>0</v>
      </c>
      <c r="P712" s="5">
        <v>0</v>
      </c>
      <c r="Q712" s="5">
        <f>+$P712*BC712</f>
        <v>0</v>
      </c>
      <c r="R712" s="5">
        <f>+$P712*BD712</f>
        <v>0</v>
      </c>
      <c r="S712" s="5">
        <f>+$P712*BE712</f>
        <v>0</v>
      </c>
      <c r="T712" s="5">
        <f>+$P712*BF712</f>
        <v>0</v>
      </c>
      <c r="U712" s="5">
        <f>+$P712*BG712</f>
        <v>0</v>
      </c>
      <c r="V712" s="5">
        <f>+$P712*BH712</f>
        <v>0</v>
      </c>
      <c r="W712" s="5">
        <f>+$P712*BI712</f>
        <v>0</v>
      </c>
      <c r="X712" s="5">
        <f>+$P712*BJ712</f>
        <v>0</v>
      </c>
      <c r="Y712" s="5">
        <f>+$P712*BK712</f>
        <v>0</v>
      </c>
      <c r="Z712" s="5">
        <f>+$P712*BL712</f>
        <v>0</v>
      </c>
      <c r="AA712" s="5">
        <f>+$P712*BM712</f>
        <v>0</v>
      </c>
      <c r="AB712" s="5">
        <f>+$P712*BN712</f>
        <v>0</v>
      </c>
      <c r="AC712" s="5">
        <v>0</v>
      </c>
      <c r="AD712" s="5">
        <f>+$AC712*BC712</f>
        <v>0</v>
      </c>
      <c r="AE712" s="5">
        <f>+$AC712*BD712</f>
        <v>0</v>
      </c>
      <c r="AF712" s="5">
        <f>+$AC712*BE712</f>
        <v>0</v>
      </c>
      <c r="AG712" s="5">
        <f>+$AC712*BF712</f>
        <v>0</v>
      </c>
      <c r="AH712" s="5">
        <f>+$AC712*BG712</f>
        <v>0</v>
      </c>
      <c r="AI712" s="5">
        <f>+$AC712*BH712</f>
        <v>0</v>
      </c>
      <c r="AJ712" s="5">
        <f>+$AC712*BI712</f>
        <v>0</v>
      </c>
      <c r="AK712" s="5">
        <f>+$AC712*BJ712</f>
        <v>0</v>
      </c>
      <c r="AL712" s="5">
        <f>+$AC712*BK712</f>
        <v>0</v>
      </c>
      <c r="AM712" s="5">
        <f>+$AC712*BL712</f>
        <v>0</v>
      </c>
      <c r="AN712" s="5">
        <f>+$AC712*BM712</f>
        <v>0</v>
      </c>
      <c r="AO712" s="5">
        <f>+$AC712*BN712</f>
        <v>0</v>
      </c>
      <c r="AP712" s="5">
        <f>+AC712+P712+C712</f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2">
        <v>8.9181565948742242E-2</v>
      </c>
      <c r="BD712" s="2">
        <v>0.10665277883445198</v>
      </c>
      <c r="BE712" s="2">
        <v>9.438849084854764E-2</v>
      </c>
      <c r="BF712" s="2">
        <v>7.149564986855049E-2</v>
      </c>
      <c r="BG712" s="2">
        <v>0.10368571810536763</v>
      </c>
      <c r="BH712" s="2">
        <v>8.4970330952544637E-2</v>
      </c>
      <c r="BI712" s="2">
        <v>8.4593878877262704E-2</v>
      </c>
      <c r="BJ712" s="2">
        <v>5.7447105462779965E-2</v>
      </c>
      <c r="BK712" s="2">
        <v>8.5153852345557474E-2</v>
      </c>
      <c r="BL712" s="2">
        <v>7.4158058913035174E-2</v>
      </c>
      <c r="BM712" s="2">
        <v>7.5718189192107169E-2</v>
      </c>
      <c r="BN712" s="2">
        <v>7.3955559365675619E-2</v>
      </c>
    </row>
    <row r="713" spans="1:66" x14ac:dyDescent="0.25">
      <c r="A713" s="8">
        <v>5072</v>
      </c>
      <c r="B713" s="8" t="s">
        <v>283</v>
      </c>
      <c r="C713" s="5">
        <v>0</v>
      </c>
      <c r="D713" s="5">
        <f>+$C713*BC713</f>
        <v>0</v>
      </c>
      <c r="E713" s="5">
        <f>+$C713*BD713</f>
        <v>0</v>
      </c>
      <c r="F713" s="5">
        <f>+$C713*BE713</f>
        <v>0</v>
      </c>
      <c r="G713" s="5">
        <f>+$C713*BF713</f>
        <v>0</v>
      </c>
      <c r="H713" s="5">
        <f>+$C713*BG713</f>
        <v>0</v>
      </c>
      <c r="I713" s="5">
        <f>+$C713*BH713</f>
        <v>0</v>
      </c>
      <c r="J713" s="5">
        <f>+$C713*BI713</f>
        <v>0</v>
      </c>
      <c r="K713" s="5">
        <f>+$C713*BJ713</f>
        <v>0</v>
      </c>
      <c r="L713" s="5">
        <f>+$C713*BK713</f>
        <v>0</v>
      </c>
      <c r="M713" s="5">
        <f>+$C713*BL713</f>
        <v>0</v>
      </c>
      <c r="N713" s="5">
        <f>+$C713*BM713</f>
        <v>0</v>
      </c>
      <c r="O713" s="5">
        <f>+$C713*BN713</f>
        <v>0</v>
      </c>
      <c r="P713" s="5">
        <v>1000</v>
      </c>
      <c r="Q713" s="5">
        <f>+$P713*BC713</f>
        <v>89.181565948742247</v>
      </c>
      <c r="R713" s="5">
        <f>+$P713*BD713</f>
        <v>106.65277883445198</v>
      </c>
      <c r="S713" s="5">
        <f>+$P713*BE713</f>
        <v>94.388490848547647</v>
      </c>
      <c r="T713" s="5">
        <f>+$P713*BF713</f>
        <v>71.495649868550487</v>
      </c>
      <c r="U713" s="5">
        <f>+$P713*BG713</f>
        <v>103.68571810536763</v>
      </c>
      <c r="V713" s="5">
        <f>+$P713*BH713</f>
        <v>84.970330952544643</v>
      </c>
      <c r="W713" s="5">
        <f>+$P713*BI713</f>
        <v>84.593878877262711</v>
      </c>
      <c r="X713" s="5">
        <f>+$P713*BJ713</f>
        <v>57.447105462779966</v>
      </c>
      <c r="Y713" s="5">
        <f>+$P713*BK713</f>
        <v>85.153852345557468</v>
      </c>
      <c r="Z713" s="5">
        <f>+$P713*BL713</f>
        <v>74.158058913035177</v>
      </c>
      <c r="AA713" s="5">
        <f>+$P713*BM713</f>
        <v>75.718189192107175</v>
      </c>
      <c r="AB713" s="5">
        <f>+$P713*BN713</f>
        <v>73.955559365675626</v>
      </c>
      <c r="AC713" s="5">
        <v>0</v>
      </c>
      <c r="AD713" s="5">
        <f>+$AC713*BC713</f>
        <v>0</v>
      </c>
      <c r="AE713" s="5">
        <f>+$AC713*BD713</f>
        <v>0</v>
      </c>
      <c r="AF713" s="5">
        <f>+$AC713*BE713</f>
        <v>0</v>
      </c>
      <c r="AG713" s="5">
        <f>+$AC713*BF713</f>
        <v>0</v>
      </c>
      <c r="AH713" s="5">
        <f>+$AC713*BG713</f>
        <v>0</v>
      </c>
      <c r="AI713" s="5">
        <f>+$AC713*BH713</f>
        <v>0</v>
      </c>
      <c r="AJ713" s="5">
        <f>+$AC713*BI713</f>
        <v>0</v>
      </c>
      <c r="AK713" s="5">
        <f>+$AC713*BJ713</f>
        <v>0</v>
      </c>
      <c r="AL713" s="5">
        <f>+$AC713*BK713</f>
        <v>0</v>
      </c>
      <c r="AM713" s="5">
        <f>+$AC713*BL713</f>
        <v>0</v>
      </c>
      <c r="AN713" s="5">
        <f>+$AC713*BM713</f>
        <v>0</v>
      </c>
      <c r="AO713" s="5">
        <f>+$AC713*BN713</f>
        <v>0</v>
      </c>
      <c r="AP713" s="5">
        <f>+AC713+P713+C713</f>
        <v>1000</v>
      </c>
      <c r="AQ713" s="1">
        <v>135.89264065354473</v>
      </c>
      <c r="AR713" s="1">
        <v>162.51483806846707</v>
      </c>
      <c r="AS713" s="1">
        <v>143.8268226427457</v>
      </c>
      <c r="AT713" s="1">
        <v>108.94328387845053</v>
      </c>
      <c r="AU713" s="1">
        <v>157.99370510600656</v>
      </c>
      <c r="AV713" s="1">
        <v>129.47566604721371</v>
      </c>
      <c r="AW713" s="1">
        <v>128.90203778620099</v>
      </c>
      <c r="AX713" s="1">
        <v>87.536463126547545</v>
      </c>
      <c r="AY713" s="1">
        <v>129.75531135785184</v>
      </c>
      <c r="AZ713" s="1">
        <v>113.00019622021019</v>
      </c>
      <c r="BA713" s="1">
        <v>115.3774837362031</v>
      </c>
      <c r="BB713" s="1">
        <v>112.69163247243237</v>
      </c>
      <c r="BC713" s="2">
        <v>8.9181565948742242E-2</v>
      </c>
      <c r="BD713" s="2">
        <v>0.10665277883445198</v>
      </c>
      <c r="BE713" s="2">
        <v>9.438849084854764E-2</v>
      </c>
      <c r="BF713" s="2">
        <v>7.149564986855049E-2</v>
      </c>
      <c r="BG713" s="2">
        <v>0.10368571810536763</v>
      </c>
      <c r="BH713" s="2">
        <v>8.4970330952544637E-2</v>
      </c>
      <c r="BI713" s="2">
        <v>8.4593878877262704E-2</v>
      </c>
      <c r="BJ713" s="2">
        <v>5.7447105462779965E-2</v>
      </c>
      <c r="BK713" s="2">
        <v>8.5153852345557474E-2</v>
      </c>
      <c r="BL713" s="2">
        <v>7.4158058913035174E-2</v>
      </c>
      <c r="BM713" s="2">
        <v>7.5718189192107169E-2</v>
      </c>
      <c r="BN713" s="2">
        <v>7.3955559365675619E-2</v>
      </c>
    </row>
    <row r="714" spans="1:66" x14ac:dyDescent="0.25">
      <c r="A714" s="8">
        <v>5081</v>
      </c>
      <c r="B714" s="8" t="s">
        <v>282</v>
      </c>
      <c r="C714" s="5">
        <v>0</v>
      </c>
      <c r="D714" s="5">
        <f>+$C714*BC714</f>
        <v>0</v>
      </c>
      <c r="E714" s="5">
        <f>+$C714*BD714</f>
        <v>0</v>
      </c>
      <c r="F714" s="5">
        <f>+$C714*BE714</f>
        <v>0</v>
      </c>
      <c r="G714" s="5">
        <f>+$C714*BF714</f>
        <v>0</v>
      </c>
      <c r="H714" s="5">
        <f>+$C714*BG714</f>
        <v>0</v>
      </c>
      <c r="I714" s="5">
        <f>+$C714*BH714</f>
        <v>0</v>
      </c>
      <c r="J714" s="5">
        <f>+$C714*BI714</f>
        <v>0</v>
      </c>
      <c r="K714" s="5">
        <f>+$C714*BJ714</f>
        <v>0</v>
      </c>
      <c r="L714" s="5">
        <f>+$C714*BK714</f>
        <v>0</v>
      </c>
      <c r="M714" s="5">
        <f>+$C714*BL714</f>
        <v>0</v>
      </c>
      <c r="N714" s="5">
        <f>+$C714*BM714</f>
        <v>0</v>
      </c>
      <c r="O714" s="5">
        <f>+$C714*BN714</f>
        <v>0</v>
      </c>
      <c r="P714" s="5">
        <v>0</v>
      </c>
      <c r="Q714" s="5">
        <f>+$P714*BC714</f>
        <v>0</v>
      </c>
      <c r="R714" s="5">
        <f>+$P714*BD714</f>
        <v>0</v>
      </c>
      <c r="S714" s="5">
        <f>+$P714*BE714</f>
        <v>0</v>
      </c>
      <c r="T714" s="5">
        <f>+$P714*BF714</f>
        <v>0</v>
      </c>
      <c r="U714" s="5">
        <f>+$P714*BG714</f>
        <v>0</v>
      </c>
      <c r="V714" s="5">
        <f>+$P714*BH714</f>
        <v>0</v>
      </c>
      <c r="W714" s="5">
        <f>+$P714*BI714</f>
        <v>0</v>
      </c>
      <c r="X714" s="5">
        <f>+$P714*BJ714</f>
        <v>0</v>
      </c>
      <c r="Y714" s="5">
        <f>+$P714*BK714</f>
        <v>0</v>
      </c>
      <c r="Z714" s="5">
        <f>+$P714*BL714</f>
        <v>0</v>
      </c>
      <c r="AA714" s="5">
        <f>+$P714*BM714</f>
        <v>0</v>
      </c>
      <c r="AB714" s="5">
        <f>+$P714*BN714</f>
        <v>0</v>
      </c>
      <c r="AC714" s="5">
        <v>0</v>
      </c>
      <c r="AD714" s="5">
        <f>+$AC714*BC714</f>
        <v>0</v>
      </c>
      <c r="AE714" s="5">
        <f>+$AC714*BD714</f>
        <v>0</v>
      </c>
      <c r="AF714" s="5">
        <f>+$AC714*BE714</f>
        <v>0</v>
      </c>
      <c r="AG714" s="5">
        <f>+$AC714*BF714</f>
        <v>0</v>
      </c>
      <c r="AH714" s="5">
        <f>+$AC714*BG714</f>
        <v>0</v>
      </c>
      <c r="AI714" s="5">
        <f>+$AC714*BH714</f>
        <v>0</v>
      </c>
      <c r="AJ714" s="5">
        <f>+$AC714*BI714</f>
        <v>0</v>
      </c>
      <c r="AK714" s="5">
        <f>+$AC714*BJ714</f>
        <v>0</v>
      </c>
      <c r="AL714" s="5">
        <f>+$AC714*BK714</f>
        <v>0</v>
      </c>
      <c r="AM714" s="5">
        <f>+$AC714*BL714</f>
        <v>0</v>
      </c>
      <c r="AN714" s="5">
        <f>+$AC714*BM714</f>
        <v>0</v>
      </c>
      <c r="AO714" s="5">
        <f>+$AC714*BN714</f>
        <v>0</v>
      </c>
      <c r="AP714" s="5">
        <f>+AC714+P714+C714</f>
        <v>0</v>
      </c>
      <c r="AQ714" s="1">
        <v>89.616058538044527</v>
      </c>
      <c r="AR714" s="1">
        <v>107.17239117293344</v>
      </c>
      <c r="AS714" s="1">
        <v>94.848351575961772</v>
      </c>
      <c r="AT714" s="1">
        <v>71.843976674710078</v>
      </c>
      <c r="AU714" s="1">
        <v>104.19087492397699</v>
      </c>
      <c r="AV714" s="1">
        <v>85.384306404945434</v>
      </c>
      <c r="AW714" s="1">
        <v>85.006020255152734</v>
      </c>
      <c r="AX714" s="1">
        <v>57.726987760594632</v>
      </c>
      <c r="AY714" s="1">
        <v>85.568721914185033</v>
      </c>
      <c r="AZ714" s="1">
        <v>74.519356976059484</v>
      </c>
      <c r="BA714" s="1">
        <v>76.087088209851117</v>
      </c>
      <c r="BB714" s="1">
        <v>74.315870850905199</v>
      </c>
      <c r="BC714" s="2">
        <v>8.9181565948742242E-2</v>
      </c>
      <c r="BD714" s="2">
        <v>0.10665277883445198</v>
      </c>
      <c r="BE714" s="2">
        <v>9.438849084854764E-2</v>
      </c>
      <c r="BF714" s="2">
        <v>7.149564986855049E-2</v>
      </c>
      <c r="BG714" s="2">
        <v>0.10368571810536763</v>
      </c>
      <c r="BH714" s="2">
        <v>8.4970330952544637E-2</v>
      </c>
      <c r="BI714" s="2">
        <v>8.4593878877262704E-2</v>
      </c>
      <c r="BJ714" s="2">
        <v>5.7447105462779965E-2</v>
      </c>
      <c r="BK714" s="2">
        <v>8.5153852345557474E-2</v>
      </c>
      <c r="BL714" s="2">
        <v>7.4158058913035174E-2</v>
      </c>
      <c r="BM714" s="2">
        <v>7.5718189192107169E-2</v>
      </c>
      <c r="BN714" s="2">
        <v>7.3955559365675619E-2</v>
      </c>
    </row>
    <row r="715" spans="1:66" x14ac:dyDescent="0.25">
      <c r="A715" s="8">
        <v>5085</v>
      </c>
      <c r="B715" s="8" t="s">
        <v>281</v>
      </c>
      <c r="C715" s="5">
        <v>0</v>
      </c>
      <c r="D715" s="5">
        <f>+$C715*BC715</f>
        <v>0</v>
      </c>
      <c r="E715" s="5">
        <f>+$C715*BD715</f>
        <v>0</v>
      </c>
      <c r="F715" s="5">
        <f>+$C715*BE715</f>
        <v>0</v>
      </c>
      <c r="G715" s="5">
        <f>+$C715*BF715</f>
        <v>0</v>
      </c>
      <c r="H715" s="5">
        <f>+$C715*BG715</f>
        <v>0</v>
      </c>
      <c r="I715" s="5">
        <f>+$C715*BH715</f>
        <v>0</v>
      </c>
      <c r="J715" s="5">
        <f>+$C715*BI715</f>
        <v>0</v>
      </c>
      <c r="K715" s="5">
        <f>+$C715*BJ715</f>
        <v>0</v>
      </c>
      <c r="L715" s="5">
        <f>+$C715*BK715</f>
        <v>0</v>
      </c>
      <c r="M715" s="5">
        <f>+$C715*BL715</f>
        <v>0</v>
      </c>
      <c r="N715" s="5">
        <f>+$C715*BM715</f>
        <v>0</v>
      </c>
      <c r="O715" s="5">
        <f>+$C715*BN715</f>
        <v>0</v>
      </c>
      <c r="P715" s="5">
        <v>0</v>
      </c>
      <c r="Q715" s="5">
        <f>+$P715*BC715</f>
        <v>0</v>
      </c>
      <c r="R715" s="5">
        <f>+$P715*BD715</f>
        <v>0</v>
      </c>
      <c r="S715" s="5">
        <f>+$P715*BE715</f>
        <v>0</v>
      </c>
      <c r="T715" s="5">
        <f>+$P715*BF715</f>
        <v>0</v>
      </c>
      <c r="U715" s="5">
        <f>+$P715*BG715</f>
        <v>0</v>
      </c>
      <c r="V715" s="5">
        <f>+$P715*BH715</f>
        <v>0</v>
      </c>
      <c r="W715" s="5">
        <f>+$P715*BI715</f>
        <v>0</v>
      </c>
      <c r="X715" s="5">
        <f>+$P715*BJ715</f>
        <v>0</v>
      </c>
      <c r="Y715" s="5">
        <f>+$P715*BK715</f>
        <v>0</v>
      </c>
      <c r="Z715" s="5">
        <f>+$P715*BL715</f>
        <v>0</v>
      </c>
      <c r="AA715" s="5">
        <f>+$P715*BM715</f>
        <v>0</v>
      </c>
      <c r="AB715" s="5">
        <f>+$P715*BN715</f>
        <v>0</v>
      </c>
      <c r="AC715" s="5">
        <v>0</v>
      </c>
      <c r="AD715" s="5">
        <f>+$AC715*BC715</f>
        <v>0</v>
      </c>
      <c r="AE715" s="5">
        <f>+$AC715*BD715</f>
        <v>0</v>
      </c>
      <c r="AF715" s="5">
        <f>+$AC715*BE715</f>
        <v>0</v>
      </c>
      <c r="AG715" s="5">
        <f>+$AC715*BF715</f>
        <v>0</v>
      </c>
      <c r="AH715" s="5">
        <f>+$AC715*BG715</f>
        <v>0</v>
      </c>
      <c r="AI715" s="5">
        <f>+$AC715*BH715</f>
        <v>0</v>
      </c>
      <c r="AJ715" s="5">
        <f>+$AC715*BI715</f>
        <v>0</v>
      </c>
      <c r="AK715" s="5">
        <f>+$AC715*BJ715</f>
        <v>0</v>
      </c>
      <c r="AL715" s="5">
        <f>+$AC715*BK715</f>
        <v>0</v>
      </c>
      <c r="AM715" s="5">
        <f>+$AC715*BL715</f>
        <v>0</v>
      </c>
      <c r="AN715" s="5">
        <f>+$AC715*BM715</f>
        <v>0</v>
      </c>
      <c r="AO715" s="5">
        <f>+$AC715*BN715</f>
        <v>0</v>
      </c>
      <c r="AP715" s="5">
        <f>+AC715+P715+C715</f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2">
        <v>8.9181565948742242E-2</v>
      </c>
      <c r="BD715" s="2">
        <v>0.10665277883445198</v>
      </c>
      <c r="BE715" s="2">
        <v>9.438849084854764E-2</v>
      </c>
      <c r="BF715" s="2">
        <v>7.149564986855049E-2</v>
      </c>
      <c r="BG715" s="2">
        <v>0.10368571810536763</v>
      </c>
      <c r="BH715" s="2">
        <v>8.4970330952544637E-2</v>
      </c>
      <c r="BI715" s="2">
        <v>8.4593878877262704E-2</v>
      </c>
      <c r="BJ715" s="2">
        <v>5.7447105462779965E-2</v>
      </c>
      <c r="BK715" s="2">
        <v>8.5153852345557474E-2</v>
      </c>
      <c r="BL715" s="2">
        <v>7.4158058913035174E-2</v>
      </c>
      <c r="BM715" s="2">
        <v>7.5718189192107169E-2</v>
      </c>
      <c r="BN715" s="2">
        <v>7.3955559365675619E-2</v>
      </c>
    </row>
    <row r="716" spans="1:66" x14ac:dyDescent="0.25">
      <c r="A716" s="8">
        <v>5096</v>
      </c>
      <c r="B716" s="8" t="s">
        <v>280</v>
      </c>
      <c r="C716" s="5">
        <v>0</v>
      </c>
      <c r="D716" s="5">
        <f>+$C716*BC716</f>
        <v>0</v>
      </c>
      <c r="E716" s="5">
        <f>+$C716*BD716</f>
        <v>0</v>
      </c>
      <c r="F716" s="5">
        <f>+$C716*BE716</f>
        <v>0</v>
      </c>
      <c r="G716" s="5">
        <f>+$C716*BF716</f>
        <v>0</v>
      </c>
      <c r="H716" s="5">
        <f>+$C716*BG716</f>
        <v>0</v>
      </c>
      <c r="I716" s="5">
        <f>+$C716*BH716</f>
        <v>0</v>
      </c>
      <c r="J716" s="5">
        <f>+$C716*BI716</f>
        <v>0</v>
      </c>
      <c r="K716" s="5">
        <f>+$C716*BJ716</f>
        <v>0</v>
      </c>
      <c r="L716" s="5">
        <f>+$C716*BK716</f>
        <v>0</v>
      </c>
      <c r="M716" s="5">
        <f>+$C716*BL716</f>
        <v>0</v>
      </c>
      <c r="N716" s="5">
        <f>+$C716*BM716</f>
        <v>0</v>
      </c>
      <c r="O716" s="5">
        <f>+$C716*BN716</f>
        <v>0</v>
      </c>
      <c r="P716" s="5">
        <v>0</v>
      </c>
      <c r="Q716" s="5">
        <f>+$P716*BC716</f>
        <v>0</v>
      </c>
      <c r="R716" s="5">
        <f>+$P716*BD716</f>
        <v>0</v>
      </c>
      <c r="S716" s="5">
        <f>+$P716*BE716</f>
        <v>0</v>
      </c>
      <c r="T716" s="5">
        <f>+$P716*BF716</f>
        <v>0</v>
      </c>
      <c r="U716" s="5">
        <f>+$P716*BG716</f>
        <v>0</v>
      </c>
      <c r="V716" s="5">
        <f>+$P716*BH716</f>
        <v>0</v>
      </c>
      <c r="W716" s="5">
        <f>+$P716*BI716</f>
        <v>0</v>
      </c>
      <c r="X716" s="5">
        <f>+$P716*BJ716</f>
        <v>0</v>
      </c>
      <c r="Y716" s="5">
        <f>+$P716*BK716</f>
        <v>0</v>
      </c>
      <c r="Z716" s="5">
        <f>+$P716*BL716</f>
        <v>0</v>
      </c>
      <c r="AA716" s="5">
        <f>+$P716*BM716</f>
        <v>0</v>
      </c>
      <c r="AB716" s="5">
        <f>+$P716*BN716</f>
        <v>0</v>
      </c>
      <c r="AC716" s="5">
        <v>0</v>
      </c>
      <c r="AD716" s="5">
        <f>+$AC716*BC716</f>
        <v>0</v>
      </c>
      <c r="AE716" s="5">
        <f>+$AC716*BD716</f>
        <v>0</v>
      </c>
      <c r="AF716" s="5">
        <f>+$AC716*BE716</f>
        <v>0</v>
      </c>
      <c r="AG716" s="5">
        <f>+$AC716*BF716</f>
        <v>0</v>
      </c>
      <c r="AH716" s="5">
        <f>+$AC716*BG716</f>
        <v>0</v>
      </c>
      <c r="AI716" s="5">
        <f>+$AC716*BH716</f>
        <v>0</v>
      </c>
      <c r="AJ716" s="5">
        <f>+$AC716*BI716</f>
        <v>0</v>
      </c>
      <c r="AK716" s="5">
        <f>+$AC716*BJ716</f>
        <v>0</v>
      </c>
      <c r="AL716" s="5">
        <f>+$AC716*BK716</f>
        <v>0</v>
      </c>
      <c r="AM716" s="5">
        <f>+$AC716*BL716</f>
        <v>0</v>
      </c>
      <c r="AN716" s="5">
        <f>+$AC716*BM716</f>
        <v>0</v>
      </c>
      <c r="AO716" s="5">
        <f>+$AC716*BN716</f>
        <v>0</v>
      </c>
      <c r="AP716" s="5">
        <f>+AC716+P716+C716</f>
        <v>0</v>
      </c>
      <c r="AQ716" s="1">
        <v>47.578365433653985</v>
      </c>
      <c r="AR716" s="1">
        <v>56.899257508180135</v>
      </c>
      <c r="AS716" s="1">
        <v>50.356259867700167</v>
      </c>
      <c r="AT716" s="1">
        <v>38.142929204871685</v>
      </c>
      <c r="AU716" s="1">
        <v>55.31633060921363</v>
      </c>
      <c r="AV716" s="1">
        <v>45.331671563182567</v>
      </c>
      <c r="AW716" s="1">
        <v>45.130834381019653</v>
      </c>
      <c r="AX716" s="1">
        <v>30.648030764393113</v>
      </c>
      <c r="AY716" s="1">
        <v>45.429580226354915</v>
      </c>
      <c r="AZ716" s="1">
        <v>39.563324430104267</v>
      </c>
      <c r="BA716" s="1">
        <v>40.395653933989173</v>
      </c>
      <c r="BB716" s="1">
        <v>39.455290921587945</v>
      </c>
      <c r="BC716" s="2">
        <v>8.9181565948742242E-2</v>
      </c>
      <c r="BD716" s="2">
        <v>0.10665277883445198</v>
      </c>
      <c r="BE716" s="2">
        <v>9.438849084854764E-2</v>
      </c>
      <c r="BF716" s="2">
        <v>7.149564986855049E-2</v>
      </c>
      <c r="BG716" s="2">
        <v>0.10368571810536763</v>
      </c>
      <c r="BH716" s="2">
        <v>8.4970330952544637E-2</v>
      </c>
      <c r="BI716" s="2">
        <v>8.4593878877262704E-2</v>
      </c>
      <c r="BJ716" s="2">
        <v>5.7447105462779965E-2</v>
      </c>
      <c r="BK716" s="2">
        <v>8.5153852345557474E-2</v>
      </c>
      <c r="BL716" s="2">
        <v>7.4158058913035174E-2</v>
      </c>
      <c r="BM716" s="2">
        <v>7.5718189192107169E-2</v>
      </c>
      <c r="BN716" s="2">
        <v>7.3955559365675619E-2</v>
      </c>
    </row>
    <row r="717" spans="1:66" x14ac:dyDescent="0.25">
      <c r="A717" s="8">
        <v>5109</v>
      </c>
      <c r="B717" s="8" t="s">
        <v>279</v>
      </c>
      <c r="C717" s="5">
        <v>0</v>
      </c>
      <c r="D717" s="5">
        <f>+$C717*BC717</f>
        <v>0</v>
      </c>
      <c r="E717" s="5">
        <f>+$C717*BD717</f>
        <v>0</v>
      </c>
      <c r="F717" s="5">
        <f>+$C717*BE717</f>
        <v>0</v>
      </c>
      <c r="G717" s="5">
        <f>+$C717*BF717</f>
        <v>0</v>
      </c>
      <c r="H717" s="5">
        <f>+$C717*BG717</f>
        <v>0</v>
      </c>
      <c r="I717" s="5">
        <f>+$C717*BH717</f>
        <v>0</v>
      </c>
      <c r="J717" s="5">
        <f>+$C717*BI717</f>
        <v>0</v>
      </c>
      <c r="K717" s="5">
        <f>+$C717*BJ717</f>
        <v>0</v>
      </c>
      <c r="L717" s="5">
        <f>+$C717*BK717</f>
        <v>0</v>
      </c>
      <c r="M717" s="5">
        <f>+$C717*BL717</f>
        <v>0</v>
      </c>
      <c r="N717" s="5">
        <f>+$C717*BM717</f>
        <v>0</v>
      </c>
      <c r="O717" s="5">
        <f>+$C717*BN717</f>
        <v>0</v>
      </c>
      <c r="P717" s="5">
        <v>0</v>
      </c>
      <c r="Q717" s="5">
        <f>+$P717*BC717</f>
        <v>0</v>
      </c>
      <c r="R717" s="5">
        <f>+$P717*BD717</f>
        <v>0</v>
      </c>
      <c r="S717" s="5">
        <f>+$P717*BE717</f>
        <v>0</v>
      </c>
      <c r="T717" s="5">
        <f>+$P717*BF717</f>
        <v>0</v>
      </c>
      <c r="U717" s="5">
        <f>+$P717*BG717</f>
        <v>0</v>
      </c>
      <c r="V717" s="5">
        <f>+$P717*BH717</f>
        <v>0</v>
      </c>
      <c r="W717" s="5">
        <f>+$P717*BI717</f>
        <v>0</v>
      </c>
      <c r="X717" s="5">
        <f>+$P717*BJ717</f>
        <v>0</v>
      </c>
      <c r="Y717" s="5">
        <f>+$P717*BK717</f>
        <v>0</v>
      </c>
      <c r="Z717" s="5">
        <f>+$P717*BL717</f>
        <v>0</v>
      </c>
      <c r="AA717" s="5">
        <f>+$P717*BM717</f>
        <v>0</v>
      </c>
      <c r="AB717" s="5">
        <f>+$P717*BN717</f>
        <v>0</v>
      </c>
      <c r="AC717" s="5">
        <v>0</v>
      </c>
      <c r="AD717" s="5">
        <f>+$AC717*BC717</f>
        <v>0</v>
      </c>
      <c r="AE717" s="5">
        <f>+$AC717*BD717</f>
        <v>0</v>
      </c>
      <c r="AF717" s="5">
        <f>+$AC717*BE717</f>
        <v>0</v>
      </c>
      <c r="AG717" s="5">
        <f>+$AC717*BF717</f>
        <v>0</v>
      </c>
      <c r="AH717" s="5">
        <f>+$AC717*BG717</f>
        <v>0</v>
      </c>
      <c r="AI717" s="5">
        <f>+$AC717*BH717</f>
        <v>0</v>
      </c>
      <c r="AJ717" s="5">
        <f>+$AC717*BI717</f>
        <v>0</v>
      </c>
      <c r="AK717" s="5">
        <f>+$AC717*BJ717</f>
        <v>0</v>
      </c>
      <c r="AL717" s="5">
        <f>+$AC717*BK717</f>
        <v>0</v>
      </c>
      <c r="AM717" s="5">
        <f>+$AC717*BL717</f>
        <v>0</v>
      </c>
      <c r="AN717" s="5">
        <f>+$AC717*BM717</f>
        <v>0</v>
      </c>
      <c r="AO717" s="5">
        <f>+$AC717*BN717</f>
        <v>0</v>
      </c>
      <c r="AP717" s="5">
        <f>+AC717+P717+C717</f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2">
        <v>8.9181565948742242E-2</v>
      </c>
      <c r="BD717" s="2">
        <v>0.10665277883445198</v>
      </c>
      <c r="BE717" s="2">
        <v>9.438849084854764E-2</v>
      </c>
      <c r="BF717" s="2">
        <v>7.149564986855049E-2</v>
      </c>
      <c r="BG717" s="2">
        <v>0.10368571810536763</v>
      </c>
      <c r="BH717" s="2">
        <v>8.4970330952544637E-2</v>
      </c>
      <c r="BI717" s="2">
        <v>8.4593878877262704E-2</v>
      </c>
      <c r="BJ717" s="2">
        <v>5.7447105462779965E-2</v>
      </c>
      <c r="BK717" s="2">
        <v>8.5153852345557474E-2</v>
      </c>
      <c r="BL717" s="2">
        <v>7.4158058913035174E-2</v>
      </c>
      <c r="BM717" s="2">
        <v>7.5718189192107169E-2</v>
      </c>
      <c r="BN717" s="2">
        <v>7.3955559365675619E-2</v>
      </c>
    </row>
    <row r="718" spans="1:66" x14ac:dyDescent="0.25">
      <c r="A718" s="8">
        <v>5131</v>
      </c>
      <c r="B718" s="8" t="s">
        <v>278</v>
      </c>
      <c r="C718" s="5">
        <v>0</v>
      </c>
      <c r="D718" s="5">
        <f>+$C718*BC718</f>
        <v>0</v>
      </c>
      <c r="E718" s="5">
        <f>+$C718*BD718</f>
        <v>0</v>
      </c>
      <c r="F718" s="5">
        <f>+$C718*BE718</f>
        <v>0</v>
      </c>
      <c r="G718" s="5">
        <f>+$C718*BF718</f>
        <v>0</v>
      </c>
      <c r="H718" s="5">
        <f>+$C718*BG718</f>
        <v>0</v>
      </c>
      <c r="I718" s="5">
        <f>+$C718*BH718</f>
        <v>0</v>
      </c>
      <c r="J718" s="5">
        <f>+$C718*BI718</f>
        <v>0</v>
      </c>
      <c r="K718" s="5">
        <f>+$C718*BJ718</f>
        <v>0</v>
      </c>
      <c r="L718" s="5">
        <f>+$C718*BK718</f>
        <v>0</v>
      </c>
      <c r="M718" s="5">
        <f>+$C718*BL718</f>
        <v>0</v>
      </c>
      <c r="N718" s="5">
        <f>+$C718*BM718</f>
        <v>0</v>
      </c>
      <c r="O718" s="5">
        <f>+$C718*BN718</f>
        <v>0</v>
      </c>
      <c r="P718" s="5">
        <v>0</v>
      </c>
      <c r="Q718" s="5">
        <f>+$P718*BC718</f>
        <v>0</v>
      </c>
      <c r="R718" s="5">
        <f>+$P718*BD718</f>
        <v>0</v>
      </c>
      <c r="S718" s="5">
        <f>+$P718*BE718</f>
        <v>0</v>
      </c>
      <c r="T718" s="5">
        <f>+$P718*BF718</f>
        <v>0</v>
      </c>
      <c r="U718" s="5">
        <f>+$P718*BG718</f>
        <v>0</v>
      </c>
      <c r="V718" s="5">
        <f>+$P718*BH718</f>
        <v>0</v>
      </c>
      <c r="W718" s="5">
        <f>+$P718*BI718</f>
        <v>0</v>
      </c>
      <c r="X718" s="5">
        <f>+$P718*BJ718</f>
        <v>0</v>
      </c>
      <c r="Y718" s="5">
        <f>+$P718*BK718</f>
        <v>0</v>
      </c>
      <c r="Z718" s="5">
        <f>+$P718*BL718</f>
        <v>0</v>
      </c>
      <c r="AA718" s="5">
        <f>+$P718*BM718</f>
        <v>0</v>
      </c>
      <c r="AB718" s="5">
        <f>+$P718*BN718</f>
        <v>0</v>
      </c>
      <c r="AC718" s="5">
        <v>0</v>
      </c>
      <c r="AD718" s="5">
        <f>+$AC718*BC718</f>
        <v>0</v>
      </c>
      <c r="AE718" s="5">
        <f>+$AC718*BD718</f>
        <v>0</v>
      </c>
      <c r="AF718" s="5">
        <f>+$AC718*BE718</f>
        <v>0</v>
      </c>
      <c r="AG718" s="5">
        <f>+$AC718*BF718</f>
        <v>0</v>
      </c>
      <c r="AH718" s="5">
        <f>+$AC718*BG718</f>
        <v>0</v>
      </c>
      <c r="AI718" s="5">
        <f>+$AC718*BH718</f>
        <v>0</v>
      </c>
      <c r="AJ718" s="5">
        <f>+$AC718*BI718</f>
        <v>0</v>
      </c>
      <c r="AK718" s="5">
        <f>+$AC718*BJ718</f>
        <v>0</v>
      </c>
      <c r="AL718" s="5">
        <f>+$AC718*BK718</f>
        <v>0</v>
      </c>
      <c r="AM718" s="5">
        <f>+$AC718*BL718</f>
        <v>0</v>
      </c>
      <c r="AN718" s="5">
        <f>+$AC718*BM718</f>
        <v>0</v>
      </c>
      <c r="AO718" s="5">
        <f>+$AC718*BN718</f>
        <v>0</v>
      </c>
      <c r="AP718" s="5">
        <f>+AC718+P718+C718</f>
        <v>0</v>
      </c>
      <c r="AQ718" s="1">
        <v>18.835146728374362</v>
      </c>
      <c r="AR718" s="1">
        <v>22.52506688983626</v>
      </c>
      <c r="AS718" s="1">
        <v>19.934849267213263</v>
      </c>
      <c r="AT718" s="1">
        <v>15.099881252237864</v>
      </c>
      <c r="AU718" s="1">
        <v>21.898423663853645</v>
      </c>
      <c r="AV718" s="1">
        <v>17.94573389717743</v>
      </c>
      <c r="AW718" s="1">
        <v>17.866227218877885</v>
      </c>
      <c r="AX718" s="1">
        <v>12.13282867373913</v>
      </c>
      <c r="AY718" s="1">
        <v>17.984493615381741</v>
      </c>
      <c r="AZ718" s="1">
        <v>15.662182042433031</v>
      </c>
      <c r="BA718" s="1">
        <v>15.991681557373035</v>
      </c>
      <c r="BB718" s="1">
        <v>15.619414138030692</v>
      </c>
      <c r="BC718" s="2">
        <v>8.9181565948742242E-2</v>
      </c>
      <c r="BD718" s="2">
        <v>0.10665277883445198</v>
      </c>
      <c r="BE718" s="2">
        <v>9.438849084854764E-2</v>
      </c>
      <c r="BF718" s="2">
        <v>7.149564986855049E-2</v>
      </c>
      <c r="BG718" s="2">
        <v>0.10368571810536763</v>
      </c>
      <c r="BH718" s="2">
        <v>8.4970330952544637E-2</v>
      </c>
      <c r="BI718" s="2">
        <v>8.4593878877262704E-2</v>
      </c>
      <c r="BJ718" s="2">
        <v>5.7447105462779965E-2</v>
      </c>
      <c r="BK718" s="2">
        <v>8.5153852345557474E-2</v>
      </c>
      <c r="BL718" s="2">
        <v>7.4158058913035174E-2</v>
      </c>
      <c r="BM718" s="2">
        <v>7.5718189192107169E-2</v>
      </c>
      <c r="BN718" s="2">
        <v>7.3955559365675619E-2</v>
      </c>
    </row>
    <row r="719" spans="1:66" x14ac:dyDescent="0.25">
      <c r="A719" s="8">
        <v>5137</v>
      </c>
      <c r="B719" s="8" t="s">
        <v>277</v>
      </c>
      <c r="C719" s="5">
        <v>0</v>
      </c>
      <c r="D719" s="5">
        <f>+$C719*BC719</f>
        <v>0</v>
      </c>
      <c r="E719" s="5">
        <f>+$C719*BD719</f>
        <v>0</v>
      </c>
      <c r="F719" s="5">
        <f>+$C719*BE719</f>
        <v>0</v>
      </c>
      <c r="G719" s="5">
        <f>+$C719*BF719</f>
        <v>0</v>
      </c>
      <c r="H719" s="5">
        <f>+$C719*BG719</f>
        <v>0</v>
      </c>
      <c r="I719" s="5">
        <f>+$C719*BH719</f>
        <v>0</v>
      </c>
      <c r="J719" s="5">
        <f>+$C719*BI719</f>
        <v>0</v>
      </c>
      <c r="K719" s="5">
        <f>+$C719*BJ719</f>
        <v>0</v>
      </c>
      <c r="L719" s="5">
        <f>+$C719*BK719</f>
        <v>0</v>
      </c>
      <c r="M719" s="5">
        <f>+$C719*BL719</f>
        <v>0</v>
      </c>
      <c r="N719" s="5">
        <f>+$C719*BM719</f>
        <v>0</v>
      </c>
      <c r="O719" s="5">
        <f>+$C719*BN719</f>
        <v>0</v>
      </c>
      <c r="P719" s="5">
        <v>0</v>
      </c>
      <c r="Q719" s="5">
        <f>+$P719*BC719</f>
        <v>0</v>
      </c>
      <c r="R719" s="5">
        <f>+$P719*BD719</f>
        <v>0</v>
      </c>
      <c r="S719" s="5">
        <f>+$P719*BE719</f>
        <v>0</v>
      </c>
      <c r="T719" s="5">
        <f>+$P719*BF719</f>
        <v>0</v>
      </c>
      <c r="U719" s="5">
        <f>+$P719*BG719</f>
        <v>0</v>
      </c>
      <c r="V719" s="5">
        <f>+$P719*BH719</f>
        <v>0</v>
      </c>
      <c r="W719" s="5">
        <f>+$P719*BI719</f>
        <v>0</v>
      </c>
      <c r="X719" s="5">
        <f>+$P719*BJ719</f>
        <v>0</v>
      </c>
      <c r="Y719" s="5">
        <f>+$P719*BK719</f>
        <v>0</v>
      </c>
      <c r="Z719" s="5">
        <f>+$P719*BL719</f>
        <v>0</v>
      </c>
      <c r="AA719" s="5">
        <f>+$P719*BM719</f>
        <v>0</v>
      </c>
      <c r="AB719" s="5">
        <f>+$P719*BN719</f>
        <v>0</v>
      </c>
      <c r="AC719" s="5">
        <v>0</v>
      </c>
      <c r="AD719" s="5">
        <f>+$AC719*BC719</f>
        <v>0</v>
      </c>
      <c r="AE719" s="5">
        <f>+$AC719*BD719</f>
        <v>0</v>
      </c>
      <c r="AF719" s="5">
        <f>+$AC719*BE719</f>
        <v>0</v>
      </c>
      <c r="AG719" s="5">
        <f>+$AC719*BF719</f>
        <v>0</v>
      </c>
      <c r="AH719" s="5">
        <f>+$AC719*BG719</f>
        <v>0</v>
      </c>
      <c r="AI719" s="5">
        <f>+$AC719*BH719</f>
        <v>0</v>
      </c>
      <c r="AJ719" s="5">
        <f>+$AC719*BI719</f>
        <v>0</v>
      </c>
      <c r="AK719" s="5">
        <f>+$AC719*BJ719</f>
        <v>0</v>
      </c>
      <c r="AL719" s="5">
        <f>+$AC719*BK719</f>
        <v>0</v>
      </c>
      <c r="AM719" s="5">
        <f>+$AC719*BL719</f>
        <v>0</v>
      </c>
      <c r="AN719" s="5">
        <f>+$AC719*BM719</f>
        <v>0</v>
      </c>
      <c r="AO719" s="5">
        <f>+$AC719*BN719</f>
        <v>0</v>
      </c>
      <c r="AP719" s="5">
        <f>+AC719+P719+C719</f>
        <v>0</v>
      </c>
      <c r="AQ719" s="1">
        <v>60.949357616348905</v>
      </c>
      <c r="AR719" s="1">
        <v>72.889708638829518</v>
      </c>
      <c r="AS719" s="1">
        <v>64.507926300622913</v>
      </c>
      <c r="AT719" s="1">
        <v>48.862271989663455</v>
      </c>
      <c r="AU719" s="1">
        <v>70.861930324751398</v>
      </c>
      <c r="AV719" s="1">
        <v>58.071273282897579</v>
      </c>
      <c r="AW719" s="1">
        <v>57.813994641087646</v>
      </c>
      <c r="AX719" s="1">
        <v>39.261075286427712</v>
      </c>
      <c r="AY719" s="1">
        <v>58.196697308524342</v>
      </c>
      <c r="AZ719" s="1">
        <v>50.681842202935627</v>
      </c>
      <c r="BA719" s="1">
        <v>51.748082039561801</v>
      </c>
      <c r="BB719" s="1">
        <v>50.543447937283688</v>
      </c>
      <c r="BC719" s="2">
        <v>8.9181565948742242E-2</v>
      </c>
      <c r="BD719" s="2">
        <v>0.10665277883445198</v>
      </c>
      <c r="BE719" s="2">
        <v>9.438849084854764E-2</v>
      </c>
      <c r="BF719" s="2">
        <v>7.149564986855049E-2</v>
      </c>
      <c r="BG719" s="2">
        <v>0.10368571810536763</v>
      </c>
      <c r="BH719" s="2">
        <v>8.4970330952544637E-2</v>
      </c>
      <c r="BI719" s="2">
        <v>8.4593878877262704E-2</v>
      </c>
      <c r="BJ719" s="2">
        <v>5.7447105462779965E-2</v>
      </c>
      <c r="BK719" s="2">
        <v>8.5153852345557474E-2</v>
      </c>
      <c r="BL719" s="2">
        <v>7.4158058913035174E-2</v>
      </c>
      <c r="BM719" s="2">
        <v>7.5718189192107169E-2</v>
      </c>
      <c r="BN719" s="2">
        <v>7.3955559365675619E-2</v>
      </c>
    </row>
    <row r="720" spans="1:66" x14ac:dyDescent="0.25">
      <c r="A720" s="8">
        <v>5141</v>
      </c>
      <c r="B720" s="8" t="s">
        <v>276</v>
      </c>
      <c r="C720" s="5">
        <v>0</v>
      </c>
      <c r="D720" s="5">
        <f>+$C720*BC720</f>
        <v>0</v>
      </c>
      <c r="E720" s="5">
        <f>+$C720*BD720</f>
        <v>0</v>
      </c>
      <c r="F720" s="5">
        <f>+$C720*BE720</f>
        <v>0</v>
      </c>
      <c r="G720" s="5">
        <f>+$C720*BF720</f>
        <v>0</v>
      </c>
      <c r="H720" s="5">
        <f>+$C720*BG720</f>
        <v>0</v>
      </c>
      <c r="I720" s="5">
        <f>+$C720*BH720</f>
        <v>0</v>
      </c>
      <c r="J720" s="5">
        <f>+$C720*BI720</f>
        <v>0</v>
      </c>
      <c r="K720" s="5">
        <f>+$C720*BJ720</f>
        <v>0</v>
      </c>
      <c r="L720" s="5">
        <f>+$C720*BK720</f>
        <v>0</v>
      </c>
      <c r="M720" s="5">
        <f>+$C720*BL720</f>
        <v>0</v>
      </c>
      <c r="N720" s="5">
        <f>+$C720*BM720</f>
        <v>0</v>
      </c>
      <c r="O720" s="5">
        <f>+$C720*BN720</f>
        <v>0</v>
      </c>
      <c r="P720" s="5">
        <v>0</v>
      </c>
      <c r="Q720" s="5">
        <f>+$P720*BC720</f>
        <v>0</v>
      </c>
      <c r="R720" s="5">
        <f>+$P720*BD720</f>
        <v>0</v>
      </c>
      <c r="S720" s="5">
        <f>+$P720*BE720</f>
        <v>0</v>
      </c>
      <c r="T720" s="5">
        <f>+$P720*BF720</f>
        <v>0</v>
      </c>
      <c r="U720" s="5">
        <f>+$P720*BG720</f>
        <v>0</v>
      </c>
      <c r="V720" s="5">
        <f>+$P720*BH720</f>
        <v>0</v>
      </c>
      <c r="W720" s="5">
        <f>+$P720*BI720</f>
        <v>0</v>
      </c>
      <c r="X720" s="5">
        <f>+$P720*BJ720</f>
        <v>0</v>
      </c>
      <c r="Y720" s="5">
        <f>+$P720*BK720</f>
        <v>0</v>
      </c>
      <c r="Z720" s="5">
        <f>+$P720*BL720</f>
        <v>0</v>
      </c>
      <c r="AA720" s="5">
        <f>+$P720*BM720</f>
        <v>0</v>
      </c>
      <c r="AB720" s="5">
        <f>+$P720*BN720</f>
        <v>0</v>
      </c>
      <c r="AC720" s="5">
        <v>0</v>
      </c>
      <c r="AD720" s="5">
        <f>+$AC720*BC720</f>
        <v>0</v>
      </c>
      <c r="AE720" s="5">
        <f>+$AC720*BD720</f>
        <v>0</v>
      </c>
      <c r="AF720" s="5">
        <f>+$AC720*BE720</f>
        <v>0</v>
      </c>
      <c r="AG720" s="5">
        <f>+$AC720*BF720</f>
        <v>0</v>
      </c>
      <c r="AH720" s="5">
        <f>+$AC720*BG720</f>
        <v>0</v>
      </c>
      <c r="AI720" s="5">
        <f>+$AC720*BH720</f>
        <v>0</v>
      </c>
      <c r="AJ720" s="5">
        <f>+$AC720*BI720</f>
        <v>0</v>
      </c>
      <c r="AK720" s="5">
        <f>+$AC720*BJ720</f>
        <v>0</v>
      </c>
      <c r="AL720" s="5">
        <f>+$AC720*BK720</f>
        <v>0</v>
      </c>
      <c r="AM720" s="5">
        <f>+$AC720*BL720</f>
        <v>0</v>
      </c>
      <c r="AN720" s="5">
        <f>+$AC720*BM720</f>
        <v>0</v>
      </c>
      <c r="AO720" s="5">
        <f>+$AC720*BN720</f>
        <v>0</v>
      </c>
      <c r="AP720" s="5">
        <f>+AC720+P720+C720</f>
        <v>0</v>
      </c>
      <c r="AQ720" s="1">
        <v>7.0631800231403856</v>
      </c>
      <c r="AR720" s="1">
        <v>8.4469000836885968</v>
      </c>
      <c r="AS720" s="1">
        <v>7.4755684752049731</v>
      </c>
      <c r="AT720" s="1">
        <v>5.6624554695891991</v>
      </c>
      <c r="AU720" s="1">
        <v>8.2119088739451165</v>
      </c>
      <c r="AV720" s="1">
        <v>6.7296502114415357</v>
      </c>
      <c r="AW720" s="1">
        <v>6.6998352070792064</v>
      </c>
      <c r="AX720" s="1">
        <v>4.5498107526521734</v>
      </c>
      <c r="AY720" s="1">
        <v>6.7441851057681523</v>
      </c>
      <c r="AZ720" s="1">
        <v>5.8733182659123857</v>
      </c>
      <c r="BA720" s="1">
        <v>5.996880584014888</v>
      </c>
      <c r="BB720" s="1">
        <v>5.8572803017615094</v>
      </c>
      <c r="BC720" s="2">
        <v>8.9181565948742242E-2</v>
      </c>
      <c r="BD720" s="2">
        <v>0.10665277883445198</v>
      </c>
      <c r="BE720" s="2">
        <v>9.438849084854764E-2</v>
      </c>
      <c r="BF720" s="2">
        <v>7.149564986855049E-2</v>
      </c>
      <c r="BG720" s="2">
        <v>0.10368571810536763</v>
      </c>
      <c r="BH720" s="2">
        <v>8.4970330952544637E-2</v>
      </c>
      <c r="BI720" s="2">
        <v>8.4593878877262704E-2</v>
      </c>
      <c r="BJ720" s="2">
        <v>5.7447105462779965E-2</v>
      </c>
      <c r="BK720" s="2">
        <v>8.5153852345557474E-2</v>
      </c>
      <c r="BL720" s="2">
        <v>7.4158058913035174E-2</v>
      </c>
      <c r="BM720" s="2">
        <v>7.5718189192107169E-2</v>
      </c>
      <c r="BN720" s="2">
        <v>7.3955559365675619E-2</v>
      </c>
    </row>
    <row r="721" spans="1:66" x14ac:dyDescent="0.25">
      <c r="A721" s="8">
        <v>5142</v>
      </c>
      <c r="B721" s="8" t="s">
        <v>275</v>
      </c>
      <c r="C721" s="5">
        <v>0</v>
      </c>
      <c r="D721" s="5">
        <f>+$C721*BC721</f>
        <v>0</v>
      </c>
      <c r="E721" s="5">
        <f>+$C721*BD721</f>
        <v>0</v>
      </c>
      <c r="F721" s="5">
        <f>+$C721*BE721</f>
        <v>0</v>
      </c>
      <c r="G721" s="5">
        <f>+$C721*BF721</f>
        <v>0</v>
      </c>
      <c r="H721" s="5">
        <f>+$C721*BG721</f>
        <v>0</v>
      </c>
      <c r="I721" s="5">
        <f>+$C721*BH721</f>
        <v>0</v>
      </c>
      <c r="J721" s="5">
        <f>+$C721*BI721</f>
        <v>0</v>
      </c>
      <c r="K721" s="5">
        <f>+$C721*BJ721</f>
        <v>0</v>
      </c>
      <c r="L721" s="5">
        <f>+$C721*BK721</f>
        <v>0</v>
      </c>
      <c r="M721" s="5">
        <f>+$C721*BL721</f>
        <v>0</v>
      </c>
      <c r="N721" s="5">
        <f>+$C721*BM721</f>
        <v>0</v>
      </c>
      <c r="O721" s="5">
        <f>+$C721*BN721</f>
        <v>0</v>
      </c>
      <c r="P721" s="5">
        <v>0</v>
      </c>
      <c r="Q721" s="5">
        <f>+$P721*BC721</f>
        <v>0</v>
      </c>
      <c r="R721" s="5">
        <f>+$P721*BD721</f>
        <v>0</v>
      </c>
      <c r="S721" s="5">
        <f>+$P721*BE721</f>
        <v>0</v>
      </c>
      <c r="T721" s="5">
        <f>+$P721*BF721</f>
        <v>0</v>
      </c>
      <c r="U721" s="5">
        <f>+$P721*BG721</f>
        <v>0</v>
      </c>
      <c r="V721" s="5">
        <f>+$P721*BH721</f>
        <v>0</v>
      </c>
      <c r="W721" s="5">
        <f>+$P721*BI721</f>
        <v>0</v>
      </c>
      <c r="X721" s="5">
        <f>+$P721*BJ721</f>
        <v>0</v>
      </c>
      <c r="Y721" s="5">
        <f>+$P721*BK721</f>
        <v>0</v>
      </c>
      <c r="Z721" s="5">
        <f>+$P721*BL721</f>
        <v>0</v>
      </c>
      <c r="AA721" s="5">
        <f>+$P721*BM721</f>
        <v>0</v>
      </c>
      <c r="AB721" s="5">
        <f>+$P721*BN721</f>
        <v>0</v>
      </c>
      <c r="AC721" s="5">
        <v>0</v>
      </c>
      <c r="AD721" s="5">
        <f>+$AC721*BC721</f>
        <v>0</v>
      </c>
      <c r="AE721" s="5">
        <f>+$AC721*BD721</f>
        <v>0</v>
      </c>
      <c r="AF721" s="5">
        <f>+$AC721*BE721</f>
        <v>0</v>
      </c>
      <c r="AG721" s="5">
        <f>+$AC721*BF721</f>
        <v>0</v>
      </c>
      <c r="AH721" s="5">
        <f>+$AC721*BG721</f>
        <v>0</v>
      </c>
      <c r="AI721" s="5">
        <f>+$AC721*BH721</f>
        <v>0</v>
      </c>
      <c r="AJ721" s="5">
        <f>+$AC721*BI721</f>
        <v>0</v>
      </c>
      <c r="AK721" s="5">
        <f>+$AC721*BJ721</f>
        <v>0</v>
      </c>
      <c r="AL721" s="5">
        <f>+$AC721*BK721</f>
        <v>0</v>
      </c>
      <c r="AM721" s="5">
        <f>+$AC721*BL721</f>
        <v>0</v>
      </c>
      <c r="AN721" s="5">
        <f>+$AC721*BM721</f>
        <v>0</v>
      </c>
      <c r="AO721" s="5">
        <f>+$AC721*BN721</f>
        <v>0</v>
      </c>
      <c r="AP721" s="5">
        <f>+AC721+P721+C721</f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2">
        <v>8.9181565948742242E-2</v>
      </c>
      <c r="BD721" s="2">
        <v>0.10665277883445198</v>
      </c>
      <c r="BE721" s="2">
        <v>9.438849084854764E-2</v>
      </c>
      <c r="BF721" s="2">
        <v>7.149564986855049E-2</v>
      </c>
      <c r="BG721" s="2">
        <v>0.10368571810536763</v>
      </c>
      <c r="BH721" s="2">
        <v>8.4970330952544637E-2</v>
      </c>
      <c r="BI721" s="2">
        <v>8.4593878877262704E-2</v>
      </c>
      <c r="BJ721" s="2">
        <v>5.7447105462779965E-2</v>
      </c>
      <c r="BK721" s="2">
        <v>8.5153852345557474E-2</v>
      </c>
      <c r="BL721" s="2">
        <v>7.4158058913035174E-2</v>
      </c>
      <c r="BM721" s="2">
        <v>7.5718189192107169E-2</v>
      </c>
      <c r="BN721" s="2">
        <v>7.3955559365675619E-2</v>
      </c>
    </row>
    <row r="722" spans="1:66" x14ac:dyDescent="0.25">
      <c r="A722" s="8">
        <v>5143</v>
      </c>
      <c r="B722" s="8" t="s">
        <v>274</v>
      </c>
      <c r="C722" s="5">
        <v>0</v>
      </c>
      <c r="D722" s="5">
        <f>+$C722*BC722</f>
        <v>0</v>
      </c>
      <c r="E722" s="5">
        <f>+$C722*BD722</f>
        <v>0</v>
      </c>
      <c r="F722" s="5">
        <f>+$C722*BE722</f>
        <v>0</v>
      </c>
      <c r="G722" s="5">
        <f>+$C722*BF722</f>
        <v>0</v>
      </c>
      <c r="H722" s="5">
        <f>+$C722*BG722</f>
        <v>0</v>
      </c>
      <c r="I722" s="5">
        <f>+$C722*BH722</f>
        <v>0</v>
      </c>
      <c r="J722" s="5">
        <f>+$C722*BI722</f>
        <v>0</v>
      </c>
      <c r="K722" s="5">
        <f>+$C722*BJ722</f>
        <v>0</v>
      </c>
      <c r="L722" s="5">
        <f>+$C722*BK722</f>
        <v>0</v>
      </c>
      <c r="M722" s="5">
        <f>+$C722*BL722</f>
        <v>0</v>
      </c>
      <c r="N722" s="5">
        <f>+$C722*BM722</f>
        <v>0</v>
      </c>
      <c r="O722" s="5">
        <f>+$C722*BN722</f>
        <v>0</v>
      </c>
      <c r="P722" s="5">
        <v>0</v>
      </c>
      <c r="Q722" s="5">
        <f>+$P722*BC722</f>
        <v>0</v>
      </c>
      <c r="R722" s="5">
        <f>+$P722*BD722</f>
        <v>0</v>
      </c>
      <c r="S722" s="5">
        <f>+$P722*BE722</f>
        <v>0</v>
      </c>
      <c r="T722" s="5">
        <f>+$P722*BF722</f>
        <v>0</v>
      </c>
      <c r="U722" s="5">
        <f>+$P722*BG722</f>
        <v>0</v>
      </c>
      <c r="V722" s="5">
        <f>+$P722*BH722</f>
        <v>0</v>
      </c>
      <c r="W722" s="5">
        <f>+$P722*BI722</f>
        <v>0</v>
      </c>
      <c r="X722" s="5">
        <f>+$P722*BJ722</f>
        <v>0</v>
      </c>
      <c r="Y722" s="5">
        <f>+$P722*BK722</f>
        <v>0</v>
      </c>
      <c r="Z722" s="5">
        <f>+$P722*BL722</f>
        <v>0</v>
      </c>
      <c r="AA722" s="5">
        <f>+$P722*BM722</f>
        <v>0</v>
      </c>
      <c r="AB722" s="5">
        <f>+$P722*BN722</f>
        <v>0</v>
      </c>
      <c r="AC722" s="5">
        <v>0</v>
      </c>
      <c r="AD722" s="5">
        <f>+$AC722*BC722</f>
        <v>0</v>
      </c>
      <c r="AE722" s="5">
        <f>+$AC722*BD722</f>
        <v>0</v>
      </c>
      <c r="AF722" s="5">
        <f>+$AC722*BE722</f>
        <v>0</v>
      </c>
      <c r="AG722" s="5">
        <f>+$AC722*BF722</f>
        <v>0</v>
      </c>
      <c r="AH722" s="5">
        <f>+$AC722*BG722</f>
        <v>0</v>
      </c>
      <c r="AI722" s="5">
        <f>+$AC722*BH722</f>
        <v>0</v>
      </c>
      <c r="AJ722" s="5">
        <f>+$AC722*BI722</f>
        <v>0</v>
      </c>
      <c r="AK722" s="5">
        <f>+$AC722*BJ722</f>
        <v>0</v>
      </c>
      <c r="AL722" s="5">
        <f>+$AC722*BK722</f>
        <v>0</v>
      </c>
      <c r="AM722" s="5">
        <f>+$AC722*BL722</f>
        <v>0</v>
      </c>
      <c r="AN722" s="5">
        <f>+$AC722*BM722</f>
        <v>0</v>
      </c>
      <c r="AO722" s="5">
        <f>+$AC722*BN722</f>
        <v>0</v>
      </c>
      <c r="AP722" s="5">
        <f>+AC722+P722+C722</f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2">
        <v>8.9181565948742242E-2</v>
      </c>
      <c r="BD722" s="2">
        <v>0.10665277883445198</v>
      </c>
      <c r="BE722" s="2">
        <v>9.438849084854764E-2</v>
      </c>
      <c r="BF722" s="2">
        <v>7.149564986855049E-2</v>
      </c>
      <c r="BG722" s="2">
        <v>0.10368571810536763</v>
      </c>
      <c r="BH722" s="2">
        <v>8.4970330952544637E-2</v>
      </c>
      <c r="BI722" s="2">
        <v>8.4593878877262704E-2</v>
      </c>
      <c r="BJ722" s="2">
        <v>5.7447105462779965E-2</v>
      </c>
      <c r="BK722" s="2">
        <v>8.5153852345557474E-2</v>
      </c>
      <c r="BL722" s="2">
        <v>7.4158058913035174E-2</v>
      </c>
      <c r="BM722" s="2">
        <v>7.5718189192107169E-2</v>
      </c>
      <c r="BN722" s="2">
        <v>7.3955559365675619E-2</v>
      </c>
    </row>
    <row r="723" spans="1:66" x14ac:dyDescent="0.25">
      <c r="A723" s="8">
        <v>5144</v>
      </c>
      <c r="B723" s="8" t="s">
        <v>273</v>
      </c>
      <c r="C723" s="5">
        <v>0</v>
      </c>
      <c r="D723" s="5">
        <f>+$C723*BC723</f>
        <v>0</v>
      </c>
      <c r="E723" s="5">
        <f>+$C723*BD723</f>
        <v>0</v>
      </c>
      <c r="F723" s="5">
        <f>+$C723*BE723</f>
        <v>0</v>
      </c>
      <c r="G723" s="5">
        <f>+$C723*BF723</f>
        <v>0</v>
      </c>
      <c r="H723" s="5">
        <f>+$C723*BG723</f>
        <v>0</v>
      </c>
      <c r="I723" s="5">
        <f>+$C723*BH723</f>
        <v>0</v>
      </c>
      <c r="J723" s="5">
        <f>+$C723*BI723</f>
        <v>0</v>
      </c>
      <c r="K723" s="5">
        <f>+$C723*BJ723</f>
        <v>0</v>
      </c>
      <c r="L723" s="5">
        <f>+$C723*BK723</f>
        <v>0</v>
      </c>
      <c r="M723" s="5">
        <f>+$C723*BL723</f>
        <v>0</v>
      </c>
      <c r="N723" s="5">
        <f>+$C723*BM723</f>
        <v>0</v>
      </c>
      <c r="O723" s="5">
        <f>+$C723*BN723</f>
        <v>0</v>
      </c>
      <c r="P723" s="5">
        <v>0</v>
      </c>
      <c r="Q723" s="5">
        <f>+$P723*BC723</f>
        <v>0</v>
      </c>
      <c r="R723" s="5">
        <f>+$P723*BD723</f>
        <v>0</v>
      </c>
      <c r="S723" s="5">
        <f>+$P723*BE723</f>
        <v>0</v>
      </c>
      <c r="T723" s="5">
        <f>+$P723*BF723</f>
        <v>0</v>
      </c>
      <c r="U723" s="5">
        <f>+$P723*BG723</f>
        <v>0</v>
      </c>
      <c r="V723" s="5">
        <f>+$P723*BH723</f>
        <v>0</v>
      </c>
      <c r="W723" s="5">
        <f>+$P723*BI723</f>
        <v>0</v>
      </c>
      <c r="X723" s="5">
        <f>+$P723*BJ723</f>
        <v>0</v>
      </c>
      <c r="Y723" s="5">
        <f>+$P723*BK723</f>
        <v>0</v>
      </c>
      <c r="Z723" s="5">
        <f>+$P723*BL723</f>
        <v>0</v>
      </c>
      <c r="AA723" s="5">
        <f>+$P723*BM723</f>
        <v>0</v>
      </c>
      <c r="AB723" s="5">
        <f>+$P723*BN723</f>
        <v>0</v>
      </c>
      <c r="AC723" s="5">
        <v>0</v>
      </c>
      <c r="AD723" s="5">
        <f>+$AC723*BC723</f>
        <v>0</v>
      </c>
      <c r="AE723" s="5">
        <f>+$AC723*BD723</f>
        <v>0</v>
      </c>
      <c r="AF723" s="5">
        <f>+$AC723*BE723</f>
        <v>0</v>
      </c>
      <c r="AG723" s="5">
        <f>+$AC723*BF723</f>
        <v>0</v>
      </c>
      <c r="AH723" s="5">
        <f>+$AC723*BG723</f>
        <v>0</v>
      </c>
      <c r="AI723" s="5">
        <f>+$AC723*BH723</f>
        <v>0</v>
      </c>
      <c r="AJ723" s="5">
        <f>+$AC723*BI723</f>
        <v>0</v>
      </c>
      <c r="AK723" s="5">
        <f>+$AC723*BJ723</f>
        <v>0</v>
      </c>
      <c r="AL723" s="5">
        <f>+$AC723*BK723</f>
        <v>0</v>
      </c>
      <c r="AM723" s="5">
        <f>+$AC723*BL723</f>
        <v>0</v>
      </c>
      <c r="AN723" s="5">
        <f>+$AC723*BM723</f>
        <v>0</v>
      </c>
      <c r="AO723" s="5">
        <f>+$AC723*BN723</f>
        <v>0</v>
      </c>
      <c r="AP723" s="5">
        <f>+AC723+P723+C723</f>
        <v>0</v>
      </c>
      <c r="AQ723" s="1">
        <v>5.1600454057942269</v>
      </c>
      <c r="AR723" s="1">
        <v>6.1709297833613928</v>
      </c>
      <c r="AS723" s="1">
        <v>5.4613180804969668</v>
      </c>
      <c r="AT723" s="1">
        <v>4.136738301394332</v>
      </c>
      <c r="AU723" s="1">
        <v>5.9992556495765719</v>
      </c>
      <c r="AV723" s="1">
        <v>4.9163833489142332</v>
      </c>
      <c r="AW723" s="1">
        <v>4.894601831838421</v>
      </c>
      <c r="AX723" s="1">
        <v>3.3238895220764491</v>
      </c>
      <c r="AY723" s="1">
        <v>4.9270018967139562</v>
      </c>
      <c r="AZ723" s="1">
        <v>4.2907852887082161</v>
      </c>
      <c r="BA723" s="1">
        <v>4.3810544266553215</v>
      </c>
      <c r="BB723" s="1">
        <v>4.2790686648979914</v>
      </c>
      <c r="BC723" s="2">
        <v>8.9181565948742242E-2</v>
      </c>
      <c r="BD723" s="2">
        <v>0.10665277883445198</v>
      </c>
      <c r="BE723" s="2">
        <v>9.438849084854764E-2</v>
      </c>
      <c r="BF723" s="2">
        <v>7.149564986855049E-2</v>
      </c>
      <c r="BG723" s="2">
        <v>0.10368571810536763</v>
      </c>
      <c r="BH723" s="2">
        <v>8.4970330952544637E-2</v>
      </c>
      <c r="BI723" s="2">
        <v>8.4593878877262704E-2</v>
      </c>
      <c r="BJ723" s="2">
        <v>5.7447105462779965E-2</v>
      </c>
      <c r="BK723" s="2">
        <v>8.5153852345557474E-2</v>
      </c>
      <c r="BL723" s="2">
        <v>7.4158058913035174E-2</v>
      </c>
      <c r="BM723" s="2">
        <v>7.5718189192107169E-2</v>
      </c>
      <c r="BN723" s="2">
        <v>7.3955559365675619E-2</v>
      </c>
    </row>
    <row r="724" spans="1:66" x14ac:dyDescent="0.25">
      <c r="A724" s="8">
        <v>5159</v>
      </c>
      <c r="B724" s="8" t="s">
        <v>272</v>
      </c>
      <c r="C724" s="5">
        <v>0</v>
      </c>
      <c r="D724" s="5">
        <f>+$C724*BC724</f>
        <v>0</v>
      </c>
      <c r="E724" s="5">
        <f>+$C724*BD724</f>
        <v>0</v>
      </c>
      <c r="F724" s="5">
        <f>+$C724*BE724</f>
        <v>0</v>
      </c>
      <c r="G724" s="5">
        <f>+$C724*BF724</f>
        <v>0</v>
      </c>
      <c r="H724" s="5">
        <f>+$C724*BG724</f>
        <v>0</v>
      </c>
      <c r="I724" s="5">
        <f>+$C724*BH724</f>
        <v>0</v>
      </c>
      <c r="J724" s="5">
        <f>+$C724*BI724</f>
        <v>0</v>
      </c>
      <c r="K724" s="5">
        <f>+$C724*BJ724</f>
        <v>0</v>
      </c>
      <c r="L724" s="5">
        <f>+$C724*BK724</f>
        <v>0</v>
      </c>
      <c r="M724" s="5">
        <f>+$C724*BL724</f>
        <v>0</v>
      </c>
      <c r="N724" s="5">
        <f>+$C724*BM724</f>
        <v>0</v>
      </c>
      <c r="O724" s="5">
        <f>+$C724*BN724</f>
        <v>0</v>
      </c>
      <c r="P724" s="5">
        <v>0</v>
      </c>
      <c r="Q724" s="5">
        <f>+$P724*BC724</f>
        <v>0</v>
      </c>
      <c r="R724" s="5">
        <f>+$P724*BD724</f>
        <v>0</v>
      </c>
      <c r="S724" s="5">
        <f>+$P724*BE724</f>
        <v>0</v>
      </c>
      <c r="T724" s="5">
        <f>+$P724*BF724</f>
        <v>0</v>
      </c>
      <c r="U724" s="5">
        <f>+$P724*BG724</f>
        <v>0</v>
      </c>
      <c r="V724" s="5">
        <f>+$P724*BH724</f>
        <v>0</v>
      </c>
      <c r="W724" s="5">
        <f>+$P724*BI724</f>
        <v>0</v>
      </c>
      <c r="X724" s="5">
        <f>+$P724*BJ724</f>
        <v>0</v>
      </c>
      <c r="Y724" s="5">
        <f>+$P724*BK724</f>
        <v>0</v>
      </c>
      <c r="Z724" s="5">
        <f>+$P724*BL724</f>
        <v>0</v>
      </c>
      <c r="AA724" s="5">
        <f>+$P724*BM724</f>
        <v>0</v>
      </c>
      <c r="AB724" s="5">
        <f>+$P724*BN724</f>
        <v>0</v>
      </c>
      <c r="AC724" s="5">
        <v>0</v>
      </c>
      <c r="AD724" s="5">
        <f>+$AC724*BC724</f>
        <v>0</v>
      </c>
      <c r="AE724" s="5">
        <f>+$AC724*BD724</f>
        <v>0</v>
      </c>
      <c r="AF724" s="5">
        <f>+$AC724*BE724</f>
        <v>0</v>
      </c>
      <c r="AG724" s="5">
        <f>+$AC724*BF724</f>
        <v>0</v>
      </c>
      <c r="AH724" s="5">
        <f>+$AC724*BG724</f>
        <v>0</v>
      </c>
      <c r="AI724" s="5">
        <f>+$AC724*BH724</f>
        <v>0</v>
      </c>
      <c r="AJ724" s="5">
        <f>+$AC724*BI724</f>
        <v>0</v>
      </c>
      <c r="AK724" s="5">
        <f>+$AC724*BJ724</f>
        <v>0</v>
      </c>
      <c r="AL724" s="5">
        <f>+$AC724*BK724</f>
        <v>0</v>
      </c>
      <c r="AM724" s="5">
        <f>+$AC724*BL724</f>
        <v>0</v>
      </c>
      <c r="AN724" s="5">
        <f>+$AC724*BM724</f>
        <v>0</v>
      </c>
      <c r="AO724" s="5">
        <f>+$AC724*BN724</f>
        <v>0</v>
      </c>
      <c r="AP724" s="5">
        <f>+AC724+P724+C724</f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2">
        <v>8.9181565948742242E-2</v>
      </c>
      <c r="BD724" s="2">
        <v>0.10665277883445198</v>
      </c>
      <c r="BE724" s="2">
        <v>9.438849084854764E-2</v>
      </c>
      <c r="BF724" s="2">
        <v>7.149564986855049E-2</v>
      </c>
      <c r="BG724" s="2">
        <v>0.10368571810536763</v>
      </c>
      <c r="BH724" s="2">
        <v>8.4970330952544637E-2</v>
      </c>
      <c r="BI724" s="2">
        <v>8.4593878877262704E-2</v>
      </c>
      <c r="BJ724" s="2">
        <v>5.7447105462779965E-2</v>
      </c>
      <c r="BK724" s="2">
        <v>8.5153852345557474E-2</v>
      </c>
      <c r="BL724" s="2">
        <v>7.4158058913035174E-2</v>
      </c>
      <c r="BM724" s="2">
        <v>7.5718189192107169E-2</v>
      </c>
      <c r="BN724" s="2">
        <v>7.3955559365675619E-2</v>
      </c>
    </row>
    <row r="725" spans="1:66" x14ac:dyDescent="0.25">
      <c r="A725" s="8">
        <v>5161</v>
      </c>
      <c r="B725" s="8" t="s">
        <v>271</v>
      </c>
      <c r="C725" s="5">
        <v>1000</v>
      </c>
      <c r="D725" s="5">
        <f>+$C725*BC725</f>
        <v>89.181565948742247</v>
      </c>
      <c r="E725" s="5">
        <f>+$C725*BD725</f>
        <v>106.65277883445198</v>
      </c>
      <c r="F725" s="5">
        <f>+$C725*BE725</f>
        <v>94.388490848547647</v>
      </c>
      <c r="G725" s="5">
        <f>+$C725*BF725</f>
        <v>71.495649868550487</v>
      </c>
      <c r="H725" s="5">
        <f>+$C725*BG725</f>
        <v>103.68571810536763</v>
      </c>
      <c r="I725" s="5">
        <f>+$C725*BH725</f>
        <v>84.970330952544643</v>
      </c>
      <c r="J725" s="5">
        <f>+$C725*BI725</f>
        <v>84.593878877262711</v>
      </c>
      <c r="K725" s="5">
        <f>+$C725*BJ725</f>
        <v>57.447105462779966</v>
      </c>
      <c r="L725" s="5">
        <f>+$C725*BK725</f>
        <v>85.153852345557468</v>
      </c>
      <c r="M725" s="5">
        <f>+$C725*BL725</f>
        <v>74.158058913035177</v>
      </c>
      <c r="N725" s="5">
        <f>+$C725*BM725</f>
        <v>75.718189192107175</v>
      </c>
      <c r="O725" s="5">
        <f>+$C725*BN725</f>
        <v>73.955559365675626</v>
      </c>
      <c r="P725" s="5">
        <v>0</v>
      </c>
      <c r="Q725" s="5">
        <f>+$P725*BC725</f>
        <v>0</v>
      </c>
      <c r="R725" s="5">
        <f>+$P725*BD725</f>
        <v>0</v>
      </c>
      <c r="S725" s="5">
        <f>+$P725*BE725</f>
        <v>0</v>
      </c>
      <c r="T725" s="5">
        <f>+$P725*BF725</f>
        <v>0</v>
      </c>
      <c r="U725" s="5">
        <f>+$P725*BG725</f>
        <v>0</v>
      </c>
      <c r="V725" s="5">
        <f>+$P725*BH725</f>
        <v>0</v>
      </c>
      <c r="W725" s="5">
        <f>+$P725*BI725</f>
        <v>0</v>
      </c>
      <c r="X725" s="5">
        <f>+$P725*BJ725</f>
        <v>0</v>
      </c>
      <c r="Y725" s="5">
        <f>+$P725*BK725</f>
        <v>0</v>
      </c>
      <c r="Z725" s="5">
        <f>+$P725*BL725</f>
        <v>0</v>
      </c>
      <c r="AA725" s="5">
        <f>+$P725*BM725</f>
        <v>0</v>
      </c>
      <c r="AB725" s="5">
        <f>+$P725*BN725</f>
        <v>0</v>
      </c>
      <c r="AC725" s="5">
        <v>0</v>
      </c>
      <c r="AD725" s="5">
        <f>+$AC725*BC725</f>
        <v>0</v>
      </c>
      <c r="AE725" s="5">
        <f>+$AC725*BD725</f>
        <v>0</v>
      </c>
      <c r="AF725" s="5">
        <f>+$AC725*BE725</f>
        <v>0</v>
      </c>
      <c r="AG725" s="5">
        <f>+$AC725*BF725</f>
        <v>0</v>
      </c>
      <c r="AH725" s="5">
        <f>+$AC725*BG725</f>
        <v>0</v>
      </c>
      <c r="AI725" s="5">
        <f>+$AC725*BH725</f>
        <v>0</v>
      </c>
      <c r="AJ725" s="5">
        <f>+$AC725*BI725</f>
        <v>0</v>
      </c>
      <c r="AK725" s="5">
        <f>+$AC725*BJ725</f>
        <v>0</v>
      </c>
      <c r="AL725" s="5">
        <f>+$AC725*BK725</f>
        <v>0</v>
      </c>
      <c r="AM725" s="5">
        <f>+$AC725*BL725</f>
        <v>0</v>
      </c>
      <c r="AN725" s="5">
        <f>+$AC725*BM725</f>
        <v>0</v>
      </c>
      <c r="AO725" s="5">
        <f>+$AC725*BN725</f>
        <v>0</v>
      </c>
      <c r="AP725" s="5">
        <f>+AC725+P725+C725</f>
        <v>1000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2">
        <v>8.9181565948742242E-2</v>
      </c>
      <c r="BD725" s="2">
        <v>0.10665277883445198</v>
      </c>
      <c r="BE725" s="2">
        <v>9.438849084854764E-2</v>
      </c>
      <c r="BF725" s="2">
        <v>7.149564986855049E-2</v>
      </c>
      <c r="BG725" s="2">
        <v>0.10368571810536763</v>
      </c>
      <c r="BH725" s="2">
        <v>8.4970330952544637E-2</v>
      </c>
      <c r="BI725" s="2">
        <v>8.4593878877262704E-2</v>
      </c>
      <c r="BJ725" s="2">
        <v>5.7447105462779965E-2</v>
      </c>
      <c r="BK725" s="2">
        <v>8.5153852345557474E-2</v>
      </c>
      <c r="BL725" s="2">
        <v>7.4158058913035174E-2</v>
      </c>
      <c r="BM725" s="2">
        <v>7.5718189192107169E-2</v>
      </c>
      <c r="BN725" s="2">
        <v>7.3955559365675619E-2</v>
      </c>
    </row>
    <row r="726" spans="1:66" x14ac:dyDescent="0.25">
      <c r="A726" s="8">
        <v>5166</v>
      </c>
      <c r="B726" s="8" t="s">
        <v>270</v>
      </c>
      <c r="C726" s="5">
        <v>0</v>
      </c>
      <c r="D726" s="5">
        <f>+$C726*BC726</f>
        <v>0</v>
      </c>
      <c r="E726" s="5">
        <f>+$C726*BD726</f>
        <v>0</v>
      </c>
      <c r="F726" s="5">
        <f>+$C726*BE726</f>
        <v>0</v>
      </c>
      <c r="G726" s="5">
        <f>+$C726*BF726</f>
        <v>0</v>
      </c>
      <c r="H726" s="5">
        <f>+$C726*BG726</f>
        <v>0</v>
      </c>
      <c r="I726" s="5">
        <f>+$C726*BH726</f>
        <v>0</v>
      </c>
      <c r="J726" s="5">
        <f>+$C726*BI726</f>
        <v>0</v>
      </c>
      <c r="K726" s="5">
        <f>+$C726*BJ726</f>
        <v>0</v>
      </c>
      <c r="L726" s="5">
        <f>+$C726*BK726</f>
        <v>0</v>
      </c>
      <c r="M726" s="5">
        <f>+$C726*BL726</f>
        <v>0</v>
      </c>
      <c r="N726" s="5">
        <f>+$C726*BM726</f>
        <v>0</v>
      </c>
      <c r="O726" s="5">
        <f>+$C726*BN726</f>
        <v>0</v>
      </c>
      <c r="P726" s="5">
        <v>0</v>
      </c>
      <c r="Q726" s="5">
        <f>+$P726*BC726</f>
        <v>0</v>
      </c>
      <c r="R726" s="5">
        <f>+$P726*BD726</f>
        <v>0</v>
      </c>
      <c r="S726" s="5">
        <f>+$P726*BE726</f>
        <v>0</v>
      </c>
      <c r="T726" s="5">
        <f>+$P726*BF726</f>
        <v>0</v>
      </c>
      <c r="U726" s="5">
        <f>+$P726*BG726</f>
        <v>0</v>
      </c>
      <c r="V726" s="5">
        <f>+$P726*BH726</f>
        <v>0</v>
      </c>
      <c r="W726" s="5">
        <f>+$P726*BI726</f>
        <v>0</v>
      </c>
      <c r="X726" s="5">
        <f>+$P726*BJ726</f>
        <v>0</v>
      </c>
      <c r="Y726" s="5">
        <f>+$P726*BK726</f>
        <v>0</v>
      </c>
      <c r="Z726" s="5">
        <f>+$P726*BL726</f>
        <v>0</v>
      </c>
      <c r="AA726" s="5">
        <f>+$P726*BM726</f>
        <v>0</v>
      </c>
      <c r="AB726" s="5">
        <f>+$P726*BN726</f>
        <v>0</v>
      </c>
      <c r="AC726" s="5">
        <v>0</v>
      </c>
      <c r="AD726" s="5">
        <f>+$AC726*BC726</f>
        <v>0</v>
      </c>
      <c r="AE726" s="5">
        <f>+$AC726*BD726</f>
        <v>0</v>
      </c>
      <c r="AF726" s="5">
        <f>+$AC726*BE726</f>
        <v>0</v>
      </c>
      <c r="AG726" s="5">
        <f>+$AC726*BF726</f>
        <v>0</v>
      </c>
      <c r="AH726" s="5">
        <f>+$AC726*BG726</f>
        <v>0</v>
      </c>
      <c r="AI726" s="5">
        <f>+$AC726*BH726</f>
        <v>0</v>
      </c>
      <c r="AJ726" s="5">
        <f>+$AC726*BI726</f>
        <v>0</v>
      </c>
      <c r="AK726" s="5">
        <f>+$AC726*BJ726</f>
        <v>0</v>
      </c>
      <c r="AL726" s="5">
        <f>+$AC726*BK726</f>
        <v>0</v>
      </c>
      <c r="AM726" s="5">
        <f>+$AC726*BL726</f>
        <v>0</v>
      </c>
      <c r="AN726" s="5">
        <f>+$AC726*BM726</f>
        <v>0</v>
      </c>
      <c r="AO726" s="5">
        <f>+$AC726*BN726</f>
        <v>0</v>
      </c>
      <c r="AP726" s="5">
        <f>+AC726+P726+C726</f>
        <v>0</v>
      </c>
      <c r="AQ726" s="1">
        <v>34.878375353157395</v>
      </c>
      <c r="AR726" s="1">
        <v>41.711261885481164</v>
      </c>
      <c r="AS726" s="1">
        <v>36.91477243992189</v>
      </c>
      <c r="AT726" s="1">
        <v>27.961519689690885</v>
      </c>
      <c r="AU726" s="1">
        <v>40.550862236700645</v>
      </c>
      <c r="AV726" s="1">
        <v>33.231386613554491</v>
      </c>
      <c r="AW726" s="1">
        <v>33.084158465624178</v>
      </c>
      <c r="AX726" s="1">
        <v>22.467218263860467</v>
      </c>
      <c r="AY726" s="1">
        <v>33.303160729233454</v>
      </c>
      <c r="AZ726" s="1">
        <v>29.002771892534579</v>
      </c>
      <c r="BA726" s="1">
        <v>29.612929483897961</v>
      </c>
      <c r="BB726" s="1">
        <v>28.923575534559539</v>
      </c>
      <c r="BC726" s="2">
        <v>8.9181565948742242E-2</v>
      </c>
      <c r="BD726" s="2">
        <v>0.10665277883445198</v>
      </c>
      <c r="BE726" s="2">
        <v>9.438849084854764E-2</v>
      </c>
      <c r="BF726" s="2">
        <v>7.149564986855049E-2</v>
      </c>
      <c r="BG726" s="2">
        <v>0.10368571810536763</v>
      </c>
      <c r="BH726" s="2">
        <v>8.4970330952544637E-2</v>
      </c>
      <c r="BI726" s="2">
        <v>8.4593878877262704E-2</v>
      </c>
      <c r="BJ726" s="2">
        <v>5.7447105462779965E-2</v>
      </c>
      <c r="BK726" s="2">
        <v>8.5153852345557474E-2</v>
      </c>
      <c r="BL726" s="2">
        <v>7.4158058913035174E-2</v>
      </c>
      <c r="BM726" s="2">
        <v>7.5718189192107169E-2</v>
      </c>
      <c r="BN726" s="2">
        <v>7.3955559365675619E-2</v>
      </c>
    </row>
    <row r="727" spans="1:66" x14ac:dyDescent="0.25">
      <c r="A727" s="8">
        <v>5174</v>
      </c>
      <c r="B727" s="8" t="s">
        <v>269</v>
      </c>
      <c r="C727" s="5">
        <v>0</v>
      </c>
      <c r="D727" s="5">
        <f>+$C727*BC727</f>
        <v>0</v>
      </c>
      <c r="E727" s="5">
        <f>+$C727*BD727</f>
        <v>0</v>
      </c>
      <c r="F727" s="5">
        <f>+$C727*BE727</f>
        <v>0</v>
      </c>
      <c r="G727" s="5">
        <f>+$C727*BF727</f>
        <v>0</v>
      </c>
      <c r="H727" s="5">
        <f>+$C727*BG727</f>
        <v>0</v>
      </c>
      <c r="I727" s="5">
        <f>+$C727*BH727</f>
        <v>0</v>
      </c>
      <c r="J727" s="5">
        <f>+$C727*BI727</f>
        <v>0</v>
      </c>
      <c r="K727" s="5">
        <f>+$C727*BJ727</f>
        <v>0</v>
      </c>
      <c r="L727" s="5">
        <f>+$C727*BK727</f>
        <v>0</v>
      </c>
      <c r="M727" s="5">
        <f>+$C727*BL727</f>
        <v>0</v>
      </c>
      <c r="N727" s="5">
        <f>+$C727*BM727</f>
        <v>0</v>
      </c>
      <c r="O727" s="5">
        <f>+$C727*BN727</f>
        <v>0</v>
      </c>
      <c r="P727" s="5">
        <v>0</v>
      </c>
      <c r="Q727" s="5">
        <f>+$P727*BC727</f>
        <v>0</v>
      </c>
      <c r="R727" s="5">
        <f>+$P727*BD727</f>
        <v>0</v>
      </c>
      <c r="S727" s="5">
        <f>+$P727*BE727</f>
        <v>0</v>
      </c>
      <c r="T727" s="5">
        <f>+$P727*BF727</f>
        <v>0</v>
      </c>
      <c r="U727" s="5">
        <f>+$P727*BG727</f>
        <v>0</v>
      </c>
      <c r="V727" s="5">
        <f>+$P727*BH727</f>
        <v>0</v>
      </c>
      <c r="W727" s="5">
        <f>+$P727*BI727</f>
        <v>0</v>
      </c>
      <c r="X727" s="5">
        <f>+$P727*BJ727</f>
        <v>0</v>
      </c>
      <c r="Y727" s="5">
        <f>+$P727*BK727</f>
        <v>0</v>
      </c>
      <c r="Z727" s="5">
        <f>+$P727*BL727</f>
        <v>0</v>
      </c>
      <c r="AA727" s="5">
        <f>+$P727*BM727</f>
        <v>0</v>
      </c>
      <c r="AB727" s="5">
        <f>+$P727*BN727</f>
        <v>0</v>
      </c>
      <c r="AC727" s="5">
        <v>0</v>
      </c>
      <c r="AD727" s="5">
        <f>+$AC727*BC727</f>
        <v>0</v>
      </c>
      <c r="AE727" s="5">
        <f>+$AC727*BD727</f>
        <v>0</v>
      </c>
      <c r="AF727" s="5">
        <f>+$AC727*BE727</f>
        <v>0</v>
      </c>
      <c r="AG727" s="5">
        <f>+$AC727*BF727</f>
        <v>0</v>
      </c>
      <c r="AH727" s="5">
        <f>+$AC727*BG727</f>
        <v>0</v>
      </c>
      <c r="AI727" s="5">
        <f>+$AC727*BH727</f>
        <v>0</v>
      </c>
      <c r="AJ727" s="5">
        <f>+$AC727*BI727</f>
        <v>0</v>
      </c>
      <c r="AK727" s="5">
        <f>+$AC727*BJ727</f>
        <v>0</v>
      </c>
      <c r="AL727" s="5">
        <f>+$AC727*BK727</f>
        <v>0</v>
      </c>
      <c r="AM727" s="5">
        <f>+$AC727*BL727</f>
        <v>0</v>
      </c>
      <c r="AN727" s="5">
        <f>+$AC727*BM727</f>
        <v>0</v>
      </c>
      <c r="AO727" s="5">
        <f>+$AC727*BN727</f>
        <v>0</v>
      </c>
      <c r="AP727" s="5">
        <f>+AC727+P727+C727</f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2">
        <v>8.9181565948742242E-2</v>
      </c>
      <c r="BD727" s="2">
        <v>0.10665277883445198</v>
      </c>
      <c r="BE727" s="2">
        <v>9.438849084854764E-2</v>
      </c>
      <c r="BF727" s="2">
        <v>7.149564986855049E-2</v>
      </c>
      <c r="BG727" s="2">
        <v>0.10368571810536763</v>
      </c>
      <c r="BH727" s="2">
        <v>8.4970330952544637E-2</v>
      </c>
      <c r="BI727" s="2">
        <v>8.4593878877262704E-2</v>
      </c>
      <c r="BJ727" s="2">
        <v>5.7447105462779965E-2</v>
      </c>
      <c r="BK727" s="2">
        <v>8.5153852345557474E-2</v>
      </c>
      <c r="BL727" s="2">
        <v>7.4158058913035174E-2</v>
      </c>
      <c r="BM727" s="2">
        <v>7.5718189192107169E-2</v>
      </c>
      <c r="BN727" s="2">
        <v>7.3955559365675619E-2</v>
      </c>
    </row>
    <row r="728" spans="1:66" x14ac:dyDescent="0.25">
      <c r="A728" s="8">
        <v>5179</v>
      </c>
      <c r="B728" s="8" t="s">
        <v>268</v>
      </c>
      <c r="C728" s="5">
        <v>0</v>
      </c>
      <c r="D728" s="5">
        <f>+$C728*BC728</f>
        <v>0</v>
      </c>
      <c r="E728" s="5">
        <f>+$C728*BD728</f>
        <v>0</v>
      </c>
      <c r="F728" s="5">
        <f>+$C728*BE728</f>
        <v>0</v>
      </c>
      <c r="G728" s="5">
        <f>+$C728*BF728</f>
        <v>0</v>
      </c>
      <c r="H728" s="5">
        <f>+$C728*BG728</f>
        <v>0</v>
      </c>
      <c r="I728" s="5">
        <f>+$C728*BH728</f>
        <v>0</v>
      </c>
      <c r="J728" s="5">
        <f>+$C728*BI728</f>
        <v>0</v>
      </c>
      <c r="K728" s="5">
        <f>+$C728*BJ728</f>
        <v>0</v>
      </c>
      <c r="L728" s="5">
        <f>+$C728*BK728</f>
        <v>0</v>
      </c>
      <c r="M728" s="5">
        <f>+$C728*BL728</f>
        <v>0</v>
      </c>
      <c r="N728" s="5">
        <f>+$C728*BM728</f>
        <v>0</v>
      </c>
      <c r="O728" s="5">
        <f>+$C728*BN728</f>
        <v>0</v>
      </c>
      <c r="P728" s="5">
        <v>0</v>
      </c>
      <c r="Q728" s="5">
        <f>+$P728*BC728</f>
        <v>0</v>
      </c>
      <c r="R728" s="5">
        <f>+$P728*BD728</f>
        <v>0</v>
      </c>
      <c r="S728" s="5">
        <f>+$P728*BE728</f>
        <v>0</v>
      </c>
      <c r="T728" s="5">
        <f>+$P728*BF728</f>
        <v>0</v>
      </c>
      <c r="U728" s="5">
        <f>+$P728*BG728</f>
        <v>0</v>
      </c>
      <c r="V728" s="5">
        <f>+$P728*BH728</f>
        <v>0</v>
      </c>
      <c r="W728" s="5">
        <f>+$P728*BI728</f>
        <v>0</v>
      </c>
      <c r="X728" s="5">
        <f>+$P728*BJ728</f>
        <v>0</v>
      </c>
      <c r="Y728" s="5">
        <f>+$P728*BK728</f>
        <v>0</v>
      </c>
      <c r="Z728" s="5">
        <f>+$P728*BL728</f>
        <v>0</v>
      </c>
      <c r="AA728" s="5">
        <f>+$P728*BM728</f>
        <v>0</v>
      </c>
      <c r="AB728" s="5">
        <f>+$P728*BN728</f>
        <v>0</v>
      </c>
      <c r="AC728" s="5">
        <v>0</v>
      </c>
      <c r="AD728" s="5">
        <f>+$AC728*BC728</f>
        <v>0</v>
      </c>
      <c r="AE728" s="5">
        <f>+$AC728*BD728</f>
        <v>0</v>
      </c>
      <c r="AF728" s="5">
        <f>+$AC728*BE728</f>
        <v>0</v>
      </c>
      <c r="AG728" s="5">
        <f>+$AC728*BF728</f>
        <v>0</v>
      </c>
      <c r="AH728" s="5">
        <f>+$AC728*BG728</f>
        <v>0</v>
      </c>
      <c r="AI728" s="5">
        <f>+$AC728*BH728</f>
        <v>0</v>
      </c>
      <c r="AJ728" s="5">
        <f>+$AC728*BI728</f>
        <v>0</v>
      </c>
      <c r="AK728" s="5">
        <f>+$AC728*BJ728</f>
        <v>0</v>
      </c>
      <c r="AL728" s="5">
        <f>+$AC728*BK728</f>
        <v>0</v>
      </c>
      <c r="AM728" s="5">
        <f>+$AC728*BL728</f>
        <v>0</v>
      </c>
      <c r="AN728" s="5">
        <f>+$AC728*BM728</f>
        <v>0</v>
      </c>
      <c r="AO728" s="5">
        <f>+$AC728*BN728</f>
        <v>0</v>
      </c>
      <c r="AP728" s="5">
        <f>+AC728+P728+C728</f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2">
        <v>8.9181565948742242E-2</v>
      </c>
      <c r="BD728" s="2">
        <v>0.10665277883445198</v>
      </c>
      <c r="BE728" s="2">
        <v>9.438849084854764E-2</v>
      </c>
      <c r="BF728" s="2">
        <v>7.149564986855049E-2</v>
      </c>
      <c r="BG728" s="2">
        <v>0.10368571810536763</v>
      </c>
      <c r="BH728" s="2">
        <v>8.4970330952544637E-2</v>
      </c>
      <c r="BI728" s="2">
        <v>8.4593878877262704E-2</v>
      </c>
      <c r="BJ728" s="2">
        <v>5.7447105462779965E-2</v>
      </c>
      <c r="BK728" s="2">
        <v>8.5153852345557474E-2</v>
      </c>
      <c r="BL728" s="2">
        <v>7.4158058913035174E-2</v>
      </c>
      <c r="BM728" s="2">
        <v>7.5718189192107169E-2</v>
      </c>
      <c r="BN728" s="2">
        <v>7.3955559365675619E-2</v>
      </c>
    </row>
    <row r="729" spans="1:66" x14ac:dyDescent="0.25">
      <c r="A729" s="8">
        <v>5183</v>
      </c>
      <c r="B729" s="8" t="s">
        <v>267</v>
      </c>
      <c r="C729" s="5">
        <v>0</v>
      </c>
      <c r="D729" s="5">
        <f>+$C729*BC729</f>
        <v>0</v>
      </c>
      <c r="E729" s="5">
        <f>+$C729*BD729</f>
        <v>0</v>
      </c>
      <c r="F729" s="5">
        <f>+$C729*BE729</f>
        <v>0</v>
      </c>
      <c r="G729" s="5">
        <f>+$C729*BF729</f>
        <v>0</v>
      </c>
      <c r="H729" s="5">
        <f>+$C729*BG729</f>
        <v>0</v>
      </c>
      <c r="I729" s="5">
        <f>+$C729*BH729</f>
        <v>0</v>
      </c>
      <c r="J729" s="5">
        <f>+$C729*BI729</f>
        <v>0</v>
      </c>
      <c r="K729" s="5">
        <f>+$C729*BJ729</f>
        <v>0</v>
      </c>
      <c r="L729" s="5">
        <f>+$C729*BK729</f>
        <v>0</v>
      </c>
      <c r="M729" s="5">
        <f>+$C729*BL729</f>
        <v>0</v>
      </c>
      <c r="N729" s="5">
        <f>+$C729*BM729</f>
        <v>0</v>
      </c>
      <c r="O729" s="5">
        <f>+$C729*BN729</f>
        <v>0</v>
      </c>
      <c r="P729" s="5">
        <v>0</v>
      </c>
      <c r="Q729" s="5">
        <f>+$P729*BC729</f>
        <v>0</v>
      </c>
      <c r="R729" s="5">
        <f>+$P729*BD729</f>
        <v>0</v>
      </c>
      <c r="S729" s="5">
        <f>+$P729*BE729</f>
        <v>0</v>
      </c>
      <c r="T729" s="5">
        <f>+$P729*BF729</f>
        <v>0</v>
      </c>
      <c r="U729" s="5">
        <f>+$P729*BG729</f>
        <v>0</v>
      </c>
      <c r="V729" s="5">
        <f>+$P729*BH729</f>
        <v>0</v>
      </c>
      <c r="W729" s="5">
        <f>+$P729*BI729</f>
        <v>0</v>
      </c>
      <c r="X729" s="5">
        <f>+$P729*BJ729</f>
        <v>0</v>
      </c>
      <c r="Y729" s="5">
        <f>+$P729*BK729</f>
        <v>0</v>
      </c>
      <c r="Z729" s="5">
        <f>+$P729*BL729</f>
        <v>0</v>
      </c>
      <c r="AA729" s="5">
        <f>+$P729*BM729</f>
        <v>0</v>
      </c>
      <c r="AB729" s="5">
        <f>+$P729*BN729</f>
        <v>0</v>
      </c>
      <c r="AC729" s="5">
        <v>0</v>
      </c>
      <c r="AD729" s="5">
        <f>+$AC729*BC729</f>
        <v>0</v>
      </c>
      <c r="AE729" s="5">
        <f>+$AC729*BD729</f>
        <v>0</v>
      </c>
      <c r="AF729" s="5">
        <f>+$AC729*BE729</f>
        <v>0</v>
      </c>
      <c r="AG729" s="5">
        <f>+$AC729*BF729</f>
        <v>0</v>
      </c>
      <c r="AH729" s="5">
        <f>+$AC729*BG729</f>
        <v>0</v>
      </c>
      <c r="AI729" s="5">
        <f>+$AC729*BH729</f>
        <v>0</v>
      </c>
      <c r="AJ729" s="5">
        <f>+$AC729*BI729</f>
        <v>0</v>
      </c>
      <c r="AK729" s="5">
        <f>+$AC729*BJ729</f>
        <v>0</v>
      </c>
      <c r="AL729" s="5">
        <f>+$AC729*BK729</f>
        <v>0</v>
      </c>
      <c r="AM729" s="5">
        <f>+$AC729*BL729</f>
        <v>0</v>
      </c>
      <c r="AN729" s="5">
        <f>+$AC729*BM729</f>
        <v>0</v>
      </c>
      <c r="AO729" s="5">
        <f>+$AC729*BN729</f>
        <v>0</v>
      </c>
      <c r="AP729" s="5">
        <f>+AC729+P729+C729</f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2">
        <v>8.9181565948742242E-2</v>
      </c>
      <c r="BD729" s="2">
        <v>0.10665277883445198</v>
      </c>
      <c r="BE729" s="2">
        <v>9.438849084854764E-2</v>
      </c>
      <c r="BF729" s="2">
        <v>7.149564986855049E-2</v>
      </c>
      <c r="BG729" s="2">
        <v>0.10368571810536763</v>
      </c>
      <c r="BH729" s="2">
        <v>8.4970330952544637E-2</v>
      </c>
      <c r="BI729" s="2">
        <v>8.4593878877262704E-2</v>
      </c>
      <c r="BJ729" s="2">
        <v>5.7447105462779965E-2</v>
      </c>
      <c r="BK729" s="2">
        <v>8.5153852345557474E-2</v>
      </c>
      <c r="BL729" s="2">
        <v>7.4158058913035174E-2</v>
      </c>
      <c r="BM729" s="2">
        <v>7.5718189192107169E-2</v>
      </c>
      <c r="BN729" s="2">
        <v>7.3955559365675619E-2</v>
      </c>
    </row>
    <row r="730" spans="1:66" x14ac:dyDescent="0.25">
      <c r="A730" s="8">
        <v>5196</v>
      </c>
      <c r="B730" s="8" t="s">
        <v>266</v>
      </c>
      <c r="C730" s="5">
        <v>0</v>
      </c>
      <c r="D730" s="5">
        <f>+$C730*BC730</f>
        <v>0</v>
      </c>
      <c r="E730" s="5">
        <f>+$C730*BD730</f>
        <v>0</v>
      </c>
      <c r="F730" s="5">
        <f>+$C730*BE730</f>
        <v>0</v>
      </c>
      <c r="G730" s="5">
        <f>+$C730*BF730</f>
        <v>0</v>
      </c>
      <c r="H730" s="5">
        <f>+$C730*BG730</f>
        <v>0</v>
      </c>
      <c r="I730" s="5">
        <f>+$C730*BH730</f>
        <v>0</v>
      </c>
      <c r="J730" s="5">
        <f>+$C730*BI730</f>
        <v>0</v>
      </c>
      <c r="K730" s="5">
        <f>+$C730*BJ730</f>
        <v>0</v>
      </c>
      <c r="L730" s="5">
        <f>+$C730*BK730</f>
        <v>0</v>
      </c>
      <c r="M730" s="5">
        <f>+$C730*BL730</f>
        <v>0</v>
      </c>
      <c r="N730" s="5">
        <f>+$C730*BM730</f>
        <v>0</v>
      </c>
      <c r="O730" s="5">
        <f>+$C730*BN730</f>
        <v>0</v>
      </c>
      <c r="P730" s="5">
        <v>0</v>
      </c>
      <c r="Q730" s="5">
        <f>+$P730*BC730</f>
        <v>0</v>
      </c>
      <c r="R730" s="5">
        <f>+$P730*BD730</f>
        <v>0</v>
      </c>
      <c r="S730" s="5">
        <f>+$P730*BE730</f>
        <v>0</v>
      </c>
      <c r="T730" s="5">
        <f>+$P730*BF730</f>
        <v>0</v>
      </c>
      <c r="U730" s="5">
        <f>+$P730*BG730</f>
        <v>0</v>
      </c>
      <c r="V730" s="5">
        <f>+$P730*BH730</f>
        <v>0</v>
      </c>
      <c r="W730" s="5">
        <f>+$P730*BI730</f>
        <v>0</v>
      </c>
      <c r="X730" s="5">
        <f>+$P730*BJ730</f>
        <v>0</v>
      </c>
      <c r="Y730" s="5">
        <f>+$P730*BK730</f>
        <v>0</v>
      </c>
      <c r="Z730" s="5">
        <f>+$P730*BL730</f>
        <v>0</v>
      </c>
      <c r="AA730" s="5">
        <f>+$P730*BM730</f>
        <v>0</v>
      </c>
      <c r="AB730" s="5">
        <f>+$P730*BN730</f>
        <v>0</v>
      </c>
      <c r="AC730" s="5">
        <v>0</v>
      </c>
      <c r="AD730" s="5">
        <f>+$AC730*BC730</f>
        <v>0</v>
      </c>
      <c r="AE730" s="5">
        <f>+$AC730*BD730</f>
        <v>0</v>
      </c>
      <c r="AF730" s="5">
        <f>+$AC730*BE730</f>
        <v>0</v>
      </c>
      <c r="AG730" s="5">
        <f>+$AC730*BF730</f>
        <v>0</v>
      </c>
      <c r="AH730" s="5">
        <f>+$AC730*BG730</f>
        <v>0</v>
      </c>
      <c r="AI730" s="5">
        <f>+$AC730*BH730</f>
        <v>0</v>
      </c>
      <c r="AJ730" s="5">
        <f>+$AC730*BI730</f>
        <v>0</v>
      </c>
      <c r="AK730" s="5">
        <f>+$AC730*BJ730</f>
        <v>0</v>
      </c>
      <c r="AL730" s="5">
        <f>+$AC730*BK730</f>
        <v>0</v>
      </c>
      <c r="AM730" s="5">
        <f>+$AC730*BL730</f>
        <v>0</v>
      </c>
      <c r="AN730" s="5">
        <f>+$AC730*BM730</f>
        <v>0</v>
      </c>
      <c r="AO730" s="5">
        <f>+$AC730*BN730</f>
        <v>0</v>
      </c>
      <c r="AP730" s="5">
        <f>+AC730+P730+C730</f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2">
        <v>8.9181565948742242E-2</v>
      </c>
      <c r="BD730" s="2">
        <v>0.10665277883445198</v>
      </c>
      <c r="BE730" s="2">
        <v>9.438849084854764E-2</v>
      </c>
      <c r="BF730" s="2">
        <v>7.149564986855049E-2</v>
      </c>
      <c r="BG730" s="2">
        <v>0.10368571810536763</v>
      </c>
      <c r="BH730" s="2">
        <v>8.4970330952544637E-2</v>
      </c>
      <c r="BI730" s="2">
        <v>8.4593878877262704E-2</v>
      </c>
      <c r="BJ730" s="2">
        <v>5.7447105462779965E-2</v>
      </c>
      <c r="BK730" s="2">
        <v>8.5153852345557474E-2</v>
      </c>
      <c r="BL730" s="2">
        <v>7.4158058913035174E-2</v>
      </c>
      <c r="BM730" s="2">
        <v>7.5718189192107169E-2</v>
      </c>
      <c r="BN730" s="2">
        <v>7.3955559365675619E-2</v>
      </c>
    </row>
    <row r="731" spans="1:66" x14ac:dyDescent="0.25">
      <c r="A731" s="8">
        <v>5209</v>
      </c>
      <c r="B731" s="8" t="s">
        <v>265</v>
      </c>
      <c r="C731" s="5">
        <v>0</v>
      </c>
      <c r="D731" s="5">
        <f>+$C731*BC731</f>
        <v>0</v>
      </c>
      <c r="E731" s="5">
        <f>+$C731*BD731</f>
        <v>0</v>
      </c>
      <c r="F731" s="5">
        <f>+$C731*BE731</f>
        <v>0</v>
      </c>
      <c r="G731" s="5">
        <f>+$C731*BF731</f>
        <v>0</v>
      </c>
      <c r="H731" s="5">
        <f>+$C731*BG731</f>
        <v>0</v>
      </c>
      <c r="I731" s="5">
        <f>+$C731*BH731</f>
        <v>0</v>
      </c>
      <c r="J731" s="5">
        <f>+$C731*BI731</f>
        <v>0</v>
      </c>
      <c r="K731" s="5">
        <f>+$C731*BJ731</f>
        <v>0</v>
      </c>
      <c r="L731" s="5">
        <f>+$C731*BK731</f>
        <v>0</v>
      </c>
      <c r="M731" s="5">
        <f>+$C731*BL731</f>
        <v>0</v>
      </c>
      <c r="N731" s="5">
        <f>+$C731*BM731</f>
        <v>0</v>
      </c>
      <c r="O731" s="5">
        <f>+$C731*BN731</f>
        <v>0</v>
      </c>
      <c r="P731" s="5">
        <v>2000</v>
      </c>
      <c r="Q731" s="5">
        <f>+$P731*BC731</f>
        <v>178.36313189748449</v>
      </c>
      <c r="R731" s="5">
        <f>+$P731*BD731</f>
        <v>213.30555766890396</v>
      </c>
      <c r="S731" s="5">
        <f>+$P731*BE731</f>
        <v>188.77698169709529</v>
      </c>
      <c r="T731" s="5">
        <f>+$P731*BF731</f>
        <v>142.99129973710097</v>
      </c>
      <c r="U731" s="5">
        <f>+$P731*BG731</f>
        <v>207.37143621073525</v>
      </c>
      <c r="V731" s="5">
        <f>+$P731*BH731</f>
        <v>169.94066190508929</v>
      </c>
      <c r="W731" s="5">
        <f>+$P731*BI731</f>
        <v>169.18775775452542</v>
      </c>
      <c r="X731" s="5">
        <f>+$P731*BJ731</f>
        <v>114.89421092555993</v>
      </c>
      <c r="Y731" s="5">
        <f>+$P731*BK731</f>
        <v>170.30770469111494</v>
      </c>
      <c r="Z731" s="5">
        <f>+$P731*BL731</f>
        <v>148.31611782607035</v>
      </c>
      <c r="AA731" s="5">
        <f>+$P731*BM731</f>
        <v>151.43637838421435</v>
      </c>
      <c r="AB731" s="5">
        <f>+$P731*BN731</f>
        <v>147.91111873135125</v>
      </c>
      <c r="AC731" s="5">
        <v>0</v>
      </c>
      <c r="AD731" s="5">
        <f>+$AC731*BC731</f>
        <v>0</v>
      </c>
      <c r="AE731" s="5">
        <f>+$AC731*BD731</f>
        <v>0</v>
      </c>
      <c r="AF731" s="5">
        <f>+$AC731*BE731</f>
        <v>0</v>
      </c>
      <c r="AG731" s="5">
        <f>+$AC731*BF731</f>
        <v>0</v>
      </c>
      <c r="AH731" s="5">
        <f>+$AC731*BG731</f>
        <v>0</v>
      </c>
      <c r="AI731" s="5">
        <f>+$AC731*BH731</f>
        <v>0</v>
      </c>
      <c r="AJ731" s="5">
        <f>+$AC731*BI731</f>
        <v>0</v>
      </c>
      <c r="AK731" s="5">
        <f>+$AC731*BJ731</f>
        <v>0</v>
      </c>
      <c r="AL731" s="5">
        <f>+$AC731*BK731</f>
        <v>0</v>
      </c>
      <c r="AM731" s="5">
        <f>+$AC731*BL731</f>
        <v>0</v>
      </c>
      <c r="AN731" s="5">
        <f>+$AC731*BM731</f>
        <v>0</v>
      </c>
      <c r="AO731" s="5">
        <f>+$AC731*BN731</f>
        <v>0</v>
      </c>
      <c r="AP731" s="5">
        <f>+AC731+P731+C731</f>
        <v>2000</v>
      </c>
      <c r="AQ731" s="1">
        <v>117.59704239916024</v>
      </c>
      <c r="AR731" s="1">
        <v>140.63502049057925</v>
      </c>
      <c r="AS731" s="1">
        <v>124.46302374516613</v>
      </c>
      <c r="AT731" s="1">
        <v>94.275951307917396</v>
      </c>
      <c r="AU731" s="1">
        <v>136.72258003669037</v>
      </c>
      <c r="AV731" s="1">
        <v>112.04400265229917</v>
      </c>
      <c r="AW731" s="1">
        <v>111.54760353453054</v>
      </c>
      <c r="AX731" s="1">
        <v>75.751189440858226</v>
      </c>
      <c r="AY731" s="1">
        <v>112.28599854916072</v>
      </c>
      <c r="AZ731" s="1">
        <v>97.786670434201</v>
      </c>
      <c r="BA731" s="1">
        <v>99.843897223442312</v>
      </c>
      <c r="BB731" s="1">
        <v>97.519649468564012</v>
      </c>
      <c r="BC731" s="2">
        <v>8.9181565948742242E-2</v>
      </c>
      <c r="BD731" s="2">
        <v>0.10665277883445198</v>
      </c>
      <c r="BE731" s="2">
        <v>9.438849084854764E-2</v>
      </c>
      <c r="BF731" s="2">
        <v>7.149564986855049E-2</v>
      </c>
      <c r="BG731" s="2">
        <v>0.10368571810536763</v>
      </c>
      <c r="BH731" s="2">
        <v>8.4970330952544637E-2</v>
      </c>
      <c r="BI731" s="2">
        <v>8.4593878877262704E-2</v>
      </c>
      <c r="BJ731" s="2">
        <v>5.7447105462779965E-2</v>
      </c>
      <c r="BK731" s="2">
        <v>8.5153852345557474E-2</v>
      </c>
      <c r="BL731" s="2">
        <v>7.4158058913035174E-2</v>
      </c>
      <c r="BM731" s="2">
        <v>7.5718189192107169E-2</v>
      </c>
      <c r="BN731" s="2">
        <v>7.3955559365675619E-2</v>
      </c>
    </row>
    <row r="732" spans="1:66" x14ac:dyDescent="0.25">
      <c r="A732" s="8">
        <v>5229</v>
      </c>
      <c r="B732" s="8" t="s">
        <v>264</v>
      </c>
      <c r="C732" s="5">
        <v>0</v>
      </c>
      <c r="D732" s="5">
        <f>+$C732*BC732</f>
        <v>0</v>
      </c>
      <c r="E732" s="5">
        <f>+$C732*BD732</f>
        <v>0</v>
      </c>
      <c r="F732" s="5">
        <f>+$C732*BE732</f>
        <v>0</v>
      </c>
      <c r="G732" s="5">
        <f>+$C732*BF732</f>
        <v>0</v>
      </c>
      <c r="H732" s="5">
        <f>+$C732*BG732</f>
        <v>0</v>
      </c>
      <c r="I732" s="5">
        <f>+$C732*BH732</f>
        <v>0</v>
      </c>
      <c r="J732" s="5">
        <f>+$C732*BI732</f>
        <v>0</v>
      </c>
      <c r="K732" s="5">
        <f>+$C732*BJ732</f>
        <v>0</v>
      </c>
      <c r="L732" s="5">
        <f>+$C732*BK732</f>
        <v>0</v>
      </c>
      <c r="M732" s="5">
        <f>+$C732*BL732</f>
        <v>0</v>
      </c>
      <c r="N732" s="5">
        <f>+$C732*BM732</f>
        <v>0</v>
      </c>
      <c r="O732" s="5">
        <f>+$C732*BN732</f>
        <v>0</v>
      </c>
      <c r="P732" s="5">
        <v>0</v>
      </c>
      <c r="Q732" s="5">
        <f>+$P732*BC732</f>
        <v>0</v>
      </c>
      <c r="R732" s="5">
        <f>+$P732*BD732</f>
        <v>0</v>
      </c>
      <c r="S732" s="5">
        <f>+$P732*BE732</f>
        <v>0</v>
      </c>
      <c r="T732" s="5">
        <f>+$P732*BF732</f>
        <v>0</v>
      </c>
      <c r="U732" s="5">
        <f>+$P732*BG732</f>
        <v>0</v>
      </c>
      <c r="V732" s="5">
        <f>+$P732*BH732</f>
        <v>0</v>
      </c>
      <c r="W732" s="5">
        <f>+$P732*BI732</f>
        <v>0</v>
      </c>
      <c r="X732" s="5">
        <f>+$P732*BJ732</f>
        <v>0</v>
      </c>
      <c r="Y732" s="5">
        <f>+$P732*BK732</f>
        <v>0</v>
      </c>
      <c r="Z732" s="5">
        <f>+$P732*BL732</f>
        <v>0</v>
      </c>
      <c r="AA732" s="5">
        <f>+$P732*BM732</f>
        <v>0</v>
      </c>
      <c r="AB732" s="5">
        <f>+$P732*BN732</f>
        <v>0</v>
      </c>
      <c r="AC732" s="5">
        <v>0</v>
      </c>
      <c r="AD732" s="5">
        <f>+$AC732*BC732</f>
        <v>0</v>
      </c>
      <c r="AE732" s="5">
        <f>+$AC732*BD732</f>
        <v>0</v>
      </c>
      <c r="AF732" s="5">
        <f>+$AC732*BE732</f>
        <v>0</v>
      </c>
      <c r="AG732" s="5">
        <f>+$AC732*BF732</f>
        <v>0</v>
      </c>
      <c r="AH732" s="5">
        <f>+$AC732*BG732</f>
        <v>0</v>
      </c>
      <c r="AI732" s="5">
        <f>+$AC732*BH732</f>
        <v>0</v>
      </c>
      <c r="AJ732" s="5">
        <f>+$AC732*BI732</f>
        <v>0</v>
      </c>
      <c r="AK732" s="5">
        <f>+$AC732*BJ732</f>
        <v>0</v>
      </c>
      <c r="AL732" s="5">
        <f>+$AC732*BK732</f>
        <v>0</v>
      </c>
      <c r="AM732" s="5">
        <f>+$AC732*BL732</f>
        <v>0</v>
      </c>
      <c r="AN732" s="5">
        <f>+$AC732*BM732</f>
        <v>0</v>
      </c>
      <c r="AO732" s="5">
        <f>+$AC732*BN732</f>
        <v>0</v>
      </c>
      <c r="AP732" s="5">
        <f>+AC732+P732+C732</f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2">
        <v>8.9181565948742242E-2</v>
      </c>
      <c r="BD732" s="2">
        <v>0.10665277883445198</v>
      </c>
      <c r="BE732" s="2">
        <v>9.438849084854764E-2</v>
      </c>
      <c r="BF732" s="2">
        <v>7.149564986855049E-2</v>
      </c>
      <c r="BG732" s="2">
        <v>0.10368571810536763</v>
      </c>
      <c r="BH732" s="2">
        <v>8.4970330952544637E-2</v>
      </c>
      <c r="BI732" s="2">
        <v>8.4593878877262704E-2</v>
      </c>
      <c r="BJ732" s="2">
        <v>5.7447105462779965E-2</v>
      </c>
      <c r="BK732" s="2">
        <v>8.5153852345557474E-2</v>
      </c>
      <c r="BL732" s="2">
        <v>7.4158058913035174E-2</v>
      </c>
      <c r="BM732" s="2">
        <v>7.5718189192107169E-2</v>
      </c>
      <c r="BN732" s="2">
        <v>7.3955559365675619E-2</v>
      </c>
    </row>
    <row r="733" spans="1:66" x14ac:dyDescent="0.25">
      <c r="A733" s="8">
        <v>5231</v>
      </c>
      <c r="B733" s="8" t="s">
        <v>263</v>
      </c>
      <c r="C733" s="5">
        <v>0</v>
      </c>
      <c r="D733" s="5">
        <f>+$C733*BC733</f>
        <v>0</v>
      </c>
      <c r="E733" s="5">
        <f>+$C733*BD733</f>
        <v>0</v>
      </c>
      <c r="F733" s="5">
        <f>+$C733*BE733</f>
        <v>0</v>
      </c>
      <c r="G733" s="5">
        <f>+$C733*BF733</f>
        <v>0</v>
      </c>
      <c r="H733" s="5">
        <f>+$C733*BG733</f>
        <v>0</v>
      </c>
      <c r="I733" s="5">
        <f>+$C733*BH733</f>
        <v>0</v>
      </c>
      <c r="J733" s="5">
        <f>+$C733*BI733</f>
        <v>0</v>
      </c>
      <c r="K733" s="5">
        <f>+$C733*BJ733</f>
        <v>0</v>
      </c>
      <c r="L733" s="5">
        <f>+$C733*BK733</f>
        <v>0</v>
      </c>
      <c r="M733" s="5">
        <f>+$C733*BL733</f>
        <v>0</v>
      </c>
      <c r="N733" s="5">
        <f>+$C733*BM733</f>
        <v>0</v>
      </c>
      <c r="O733" s="5">
        <f>+$C733*BN733</f>
        <v>0</v>
      </c>
      <c r="P733" s="5">
        <v>0</v>
      </c>
      <c r="Q733" s="5">
        <f>+$P733*BC733</f>
        <v>0</v>
      </c>
      <c r="R733" s="5">
        <f>+$P733*BD733</f>
        <v>0</v>
      </c>
      <c r="S733" s="5">
        <f>+$P733*BE733</f>
        <v>0</v>
      </c>
      <c r="T733" s="5">
        <f>+$P733*BF733</f>
        <v>0</v>
      </c>
      <c r="U733" s="5">
        <f>+$P733*BG733</f>
        <v>0</v>
      </c>
      <c r="V733" s="5">
        <f>+$P733*BH733</f>
        <v>0</v>
      </c>
      <c r="W733" s="5">
        <f>+$P733*BI733</f>
        <v>0</v>
      </c>
      <c r="X733" s="5">
        <f>+$P733*BJ733</f>
        <v>0</v>
      </c>
      <c r="Y733" s="5">
        <f>+$P733*BK733</f>
        <v>0</v>
      </c>
      <c r="Z733" s="5">
        <f>+$P733*BL733</f>
        <v>0</v>
      </c>
      <c r="AA733" s="5">
        <f>+$P733*BM733</f>
        <v>0</v>
      </c>
      <c r="AB733" s="5">
        <f>+$P733*BN733</f>
        <v>0</v>
      </c>
      <c r="AC733" s="5">
        <v>0</v>
      </c>
      <c r="AD733" s="5">
        <f>+$AC733*BC733</f>
        <v>0</v>
      </c>
      <c r="AE733" s="5">
        <f>+$AC733*BD733</f>
        <v>0</v>
      </c>
      <c r="AF733" s="5">
        <f>+$AC733*BE733</f>
        <v>0</v>
      </c>
      <c r="AG733" s="5">
        <f>+$AC733*BF733</f>
        <v>0</v>
      </c>
      <c r="AH733" s="5">
        <f>+$AC733*BG733</f>
        <v>0</v>
      </c>
      <c r="AI733" s="5">
        <f>+$AC733*BH733</f>
        <v>0</v>
      </c>
      <c r="AJ733" s="5">
        <f>+$AC733*BI733</f>
        <v>0</v>
      </c>
      <c r="AK733" s="5">
        <f>+$AC733*BJ733</f>
        <v>0</v>
      </c>
      <c r="AL733" s="5">
        <f>+$AC733*BK733</f>
        <v>0</v>
      </c>
      <c r="AM733" s="5">
        <f>+$AC733*BL733</f>
        <v>0</v>
      </c>
      <c r="AN733" s="5">
        <f>+$AC733*BM733</f>
        <v>0</v>
      </c>
      <c r="AO733" s="5">
        <f>+$AC733*BN733</f>
        <v>0</v>
      </c>
      <c r="AP733" s="5">
        <f>+AC733+P733+C733</f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2">
        <v>8.9181565948742242E-2</v>
      </c>
      <c r="BD733" s="2">
        <v>0.10665277883445198</v>
      </c>
      <c r="BE733" s="2">
        <v>9.438849084854764E-2</v>
      </c>
      <c r="BF733" s="2">
        <v>7.149564986855049E-2</v>
      </c>
      <c r="BG733" s="2">
        <v>0.10368571810536763</v>
      </c>
      <c r="BH733" s="2">
        <v>8.4970330952544637E-2</v>
      </c>
      <c r="BI733" s="2">
        <v>8.4593878877262704E-2</v>
      </c>
      <c r="BJ733" s="2">
        <v>5.7447105462779965E-2</v>
      </c>
      <c r="BK733" s="2">
        <v>8.5153852345557474E-2</v>
      </c>
      <c r="BL733" s="2">
        <v>7.4158058913035174E-2</v>
      </c>
      <c r="BM733" s="2">
        <v>7.5718189192107169E-2</v>
      </c>
      <c r="BN733" s="2">
        <v>7.3955559365675619E-2</v>
      </c>
    </row>
    <row r="734" spans="1:66" x14ac:dyDescent="0.25">
      <c r="A734" s="8">
        <v>5232</v>
      </c>
      <c r="B734" s="8" t="s">
        <v>262</v>
      </c>
      <c r="C734" s="5">
        <v>0</v>
      </c>
      <c r="D734" s="5">
        <f>+$C734*BC734</f>
        <v>0</v>
      </c>
      <c r="E734" s="5">
        <f>+$C734*BD734</f>
        <v>0</v>
      </c>
      <c r="F734" s="5">
        <f>+$C734*BE734</f>
        <v>0</v>
      </c>
      <c r="G734" s="5">
        <f>+$C734*BF734</f>
        <v>0</v>
      </c>
      <c r="H734" s="5">
        <f>+$C734*BG734</f>
        <v>0</v>
      </c>
      <c r="I734" s="5">
        <f>+$C734*BH734</f>
        <v>0</v>
      </c>
      <c r="J734" s="5">
        <f>+$C734*BI734</f>
        <v>0</v>
      </c>
      <c r="K734" s="5">
        <f>+$C734*BJ734</f>
        <v>0</v>
      </c>
      <c r="L734" s="5">
        <f>+$C734*BK734</f>
        <v>0</v>
      </c>
      <c r="M734" s="5">
        <f>+$C734*BL734</f>
        <v>0</v>
      </c>
      <c r="N734" s="5">
        <f>+$C734*BM734</f>
        <v>0</v>
      </c>
      <c r="O734" s="5">
        <f>+$C734*BN734</f>
        <v>0</v>
      </c>
      <c r="P734" s="5">
        <v>0</v>
      </c>
      <c r="Q734" s="5">
        <f>+$P734*BC734</f>
        <v>0</v>
      </c>
      <c r="R734" s="5">
        <f>+$P734*BD734</f>
        <v>0</v>
      </c>
      <c r="S734" s="5">
        <f>+$P734*BE734</f>
        <v>0</v>
      </c>
      <c r="T734" s="5">
        <f>+$P734*BF734</f>
        <v>0</v>
      </c>
      <c r="U734" s="5">
        <f>+$P734*BG734</f>
        <v>0</v>
      </c>
      <c r="V734" s="5">
        <f>+$P734*BH734</f>
        <v>0</v>
      </c>
      <c r="W734" s="5">
        <f>+$P734*BI734</f>
        <v>0</v>
      </c>
      <c r="X734" s="5">
        <f>+$P734*BJ734</f>
        <v>0</v>
      </c>
      <c r="Y734" s="5">
        <f>+$P734*BK734</f>
        <v>0</v>
      </c>
      <c r="Z734" s="5">
        <f>+$P734*BL734</f>
        <v>0</v>
      </c>
      <c r="AA734" s="5">
        <f>+$P734*BM734</f>
        <v>0</v>
      </c>
      <c r="AB734" s="5">
        <f>+$P734*BN734</f>
        <v>0</v>
      </c>
      <c r="AC734" s="5">
        <v>0</v>
      </c>
      <c r="AD734" s="5">
        <f>+$AC734*BC734</f>
        <v>0</v>
      </c>
      <c r="AE734" s="5">
        <f>+$AC734*BD734</f>
        <v>0</v>
      </c>
      <c r="AF734" s="5">
        <f>+$AC734*BE734</f>
        <v>0</v>
      </c>
      <c r="AG734" s="5">
        <f>+$AC734*BF734</f>
        <v>0</v>
      </c>
      <c r="AH734" s="5">
        <f>+$AC734*BG734</f>
        <v>0</v>
      </c>
      <c r="AI734" s="5">
        <f>+$AC734*BH734</f>
        <v>0</v>
      </c>
      <c r="AJ734" s="5">
        <f>+$AC734*BI734</f>
        <v>0</v>
      </c>
      <c r="AK734" s="5">
        <f>+$AC734*BJ734</f>
        <v>0</v>
      </c>
      <c r="AL734" s="5">
        <f>+$AC734*BK734</f>
        <v>0</v>
      </c>
      <c r="AM734" s="5">
        <f>+$AC734*BL734</f>
        <v>0</v>
      </c>
      <c r="AN734" s="5">
        <f>+$AC734*BM734</f>
        <v>0</v>
      </c>
      <c r="AO734" s="5">
        <f>+$AC734*BN734</f>
        <v>0</v>
      </c>
      <c r="AP734" s="5">
        <f>+AC734+P734+C734</f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2">
        <v>8.9181565948742242E-2</v>
      </c>
      <c r="BD734" s="2">
        <v>0.10665277883445198</v>
      </c>
      <c r="BE734" s="2">
        <v>9.438849084854764E-2</v>
      </c>
      <c r="BF734" s="2">
        <v>7.149564986855049E-2</v>
      </c>
      <c r="BG734" s="2">
        <v>0.10368571810536763</v>
      </c>
      <c r="BH734" s="2">
        <v>8.4970330952544637E-2</v>
      </c>
      <c r="BI734" s="2">
        <v>8.4593878877262704E-2</v>
      </c>
      <c r="BJ734" s="2">
        <v>5.7447105462779965E-2</v>
      </c>
      <c r="BK734" s="2">
        <v>8.5153852345557474E-2</v>
      </c>
      <c r="BL734" s="2">
        <v>7.4158058913035174E-2</v>
      </c>
      <c r="BM734" s="2">
        <v>7.5718189192107169E-2</v>
      </c>
      <c r="BN734" s="2">
        <v>7.3955559365675619E-2</v>
      </c>
    </row>
    <row r="735" spans="1:66" x14ac:dyDescent="0.25">
      <c r="A735" s="8">
        <v>5243</v>
      </c>
      <c r="B735" s="8" t="s">
        <v>261</v>
      </c>
      <c r="C735" s="5">
        <v>0</v>
      </c>
      <c r="D735" s="5">
        <f>+$C735*BC735</f>
        <v>0</v>
      </c>
      <c r="E735" s="5">
        <f>+$C735*BD735</f>
        <v>0</v>
      </c>
      <c r="F735" s="5">
        <f>+$C735*BE735</f>
        <v>0</v>
      </c>
      <c r="G735" s="5">
        <f>+$C735*BF735</f>
        <v>0</v>
      </c>
      <c r="H735" s="5">
        <f>+$C735*BG735</f>
        <v>0</v>
      </c>
      <c r="I735" s="5">
        <f>+$C735*BH735</f>
        <v>0</v>
      </c>
      <c r="J735" s="5">
        <f>+$C735*BI735</f>
        <v>0</v>
      </c>
      <c r="K735" s="5">
        <f>+$C735*BJ735</f>
        <v>0</v>
      </c>
      <c r="L735" s="5">
        <f>+$C735*BK735</f>
        <v>0</v>
      </c>
      <c r="M735" s="5">
        <f>+$C735*BL735</f>
        <v>0</v>
      </c>
      <c r="N735" s="5">
        <f>+$C735*BM735</f>
        <v>0</v>
      </c>
      <c r="O735" s="5">
        <f>+$C735*BN735</f>
        <v>0</v>
      </c>
      <c r="P735" s="5">
        <v>0</v>
      </c>
      <c r="Q735" s="5">
        <f>+$P735*BC735</f>
        <v>0</v>
      </c>
      <c r="R735" s="5">
        <f>+$P735*BD735</f>
        <v>0</v>
      </c>
      <c r="S735" s="5">
        <f>+$P735*BE735</f>
        <v>0</v>
      </c>
      <c r="T735" s="5">
        <f>+$P735*BF735</f>
        <v>0</v>
      </c>
      <c r="U735" s="5">
        <f>+$P735*BG735</f>
        <v>0</v>
      </c>
      <c r="V735" s="5">
        <f>+$P735*BH735</f>
        <v>0</v>
      </c>
      <c r="W735" s="5">
        <f>+$P735*BI735</f>
        <v>0</v>
      </c>
      <c r="X735" s="5">
        <f>+$P735*BJ735</f>
        <v>0</v>
      </c>
      <c r="Y735" s="5">
        <f>+$P735*BK735</f>
        <v>0</v>
      </c>
      <c r="Z735" s="5">
        <f>+$P735*BL735</f>
        <v>0</v>
      </c>
      <c r="AA735" s="5">
        <f>+$P735*BM735</f>
        <v>0</v>
      </c>
      <c r="AB735" s="5">
        <f>+$P735*BN735</f>
        <v>0</v>
      </c>
      <c r="AC735" s="5">
        <v>0</v>
      </c>
      <c r="AD735" s="5">
        <f>+$AC735*BC735</f>
        <v>0</v>
      </c>
      <c r="AE735" s="5">
        <f>+$AC735*BD735</f>
        <v>0</v>
      </c>
      <c r="AF735" s="5">
        <f>+$AC735*BE735</f>
        <v>0</v>
      </c>
      <c r="AG735" s="5">
        <f>+$AC735*BF735</f>
        <v>0</v>
      </c>
      <c r="AH735" s="5">
        <f>+$AC735*BG735</f>
        <v>0</v>
      </c>
      <c r="AI735" s="5">
        <f>+$AC735*BH735</f>
        <v>0</v>
      </c>
      <c r="AJ735" s="5">
        <f>+$AC735*BI735</f>
        <v>0</v>
      </c>
      <c r="AK735" s="5">
        <f>+$AC735*BJ735</f>
        <v>0</v>
      </c>
      <c r="AL735" s="5">
        <f>+$AC735*BK735</f>
        <v>0</v>
      </c>
      <c r="AM735" s="5">
        <f>+$AC735*BL735</f>
        <v>0</v>
      </c>
      <c r="AN735" s="5">
        <f>+$AC735*BM735</f>
        <v>0</v>
      </c>
      <c r="AO735" s="5">
        <f>+$AC735*BN735</f>
        <v>0</v>
      </c>
      <c r="AP735" s="5">
        <f>+AC735+P735+C735</f>
        <v>0</v>
      </c>
      <c r="AQ735" s="1">
        <v>8.2403766936637837</v>
      </c>
      <c r="AR735" s="1">
        <v>9.8547167643033635</v>
      </c>
      <c r="AS735" s="1">
        <v>8.7214965544058032</v>
      </c>
      <c r="AT735" s="1">
        <v>6.6061980478540656</v>
      </c>
      <c r="AU735" s="1">
        <v>9.5805603529359686</v>
      </c>
      <c r="AV735" s="1">
        <v>7.8512585800151253</v>
      </c>
      <c r="AW735" s="1">
        <v>7.816474408259074</v>
      </c>
      <c r="AX735" s="1">
        <v>5.3081125447608688</v>
      </c>
      <c r="AY735" s="1">
        <v>7.8682159567295109</v>
      </c>
      <c r="AZ735" s="1">
        <v>6.8522046435644501</v>
      </c>
      <c r="BA735" s="1">
        <v>6.9963606813507031</v>
      </c>
      <c r="BB735" s="1">
        <v>6.8334936853884276</v>
      </c>
      <c r="BC735" s="2">
        <v>8.9181565948742242E-2</v>
      </c>
      <c r="BD735" s="2">
        <v>0.10665277883445198</v>
      </c>
      <c r="BE735" s="2">
        <v>9.438849084854764E-2</v>
      </c>
      <c r="BF735" s="2">
        <v>7.149564986855049E-2</v>
      </c>
      <c r="BG735" s="2">
        <v>0.10368571810536763</v>
      </c>
      <c r="BH735" s="2">
        <v>8.4970330952544637E-2</v>
      </c>
      <c r="BI735" s="2">
        <v>8.4593878877262704E-2</v>
      </c>
      <c r="BJ735" s="2">
        <v>5.7447105462779965E-2</v>
      </c>
      <c r="BK735" s="2">
        <v>8.5153852345557474E-2</v>
      </c>
      <c r="BL735" s="2">
        <v>7.4158058913035174E-2</v>
      </c>
      <c r="BM735" s="2">
        <v>7.5718189192107169E-2</v>
      </c>
      <c r="BN735" s="2">
        <v>7.3955559365675619E-2</v>
      </c>
    </row>
    <row r="736" spans="1:66" x14ac:dyDescent="0.25">
      <c r="A736" s="8">
        <v>5244</v>
      </c>
      <c r="B736" s="8" t="s">
        <v>260</v>
      </c>
      <c r="C736" s="5">
        <v>0</v>
      </c>
      <c r="D736" s="5">
        <f>+$C736*BC736</f>
        <v>0</v>
      </c>
      <c r="E736" s="5">
        <f>+$C736*BD736</f>
        <v>0</v>
      </c>
      <c r="F736" s="5">
        <f>+$C736*BE736</f>
        <v>0</v>
      </c>
      <c r="G736" s="5">
        <f>+$C736*BF736</f>
        <v>0</v>
      </c>
      <c r="H736" s="5">
        <f>+$C736*BG736</f>
        <v>0</v>
      </c>
      <c r="I736" s="5">
        <f>+$C736*BH736</f>
        <v>0</v>
      </c>
      <c r="J736" s="5">
        <f>+$C736*BI736</f>
        <v>0</v>
      </c>
      <c r="K736" s="5">
        <f>+$C736*BJ736</f>
        <v>0</v>
      </c>
      <c r="L736" s="5">
        <f>+$C736*BK736</f>
        <v>0</v>
      </c>
      <c r="M736" s="5">
        <f>+$C736*BL736</f>
        <v>0</v>
      </c>
      <c r="N736" s="5">
        <f>+$C736*BM736</f>
        <v>0</v>
      </c>
      <c r="O736" s="5">
        <f>+$C736*BN736</f>
        <v>0</v>
      </c>
      <c r="P736" s="5">
        <v>0</v>
      </c>
      <c r="Q736" s="5">
        <f>+$P736*BC736</f>
        <v>0</v>
      </c>
      <c r="R736" s="5">
        <f>+$P736*BD736</f>
        <v>0</v>
      </c>
      <c r="S736" s="5">
        <f>+$P736*BE736</f>
        <v>0</v>
      </c>
      <c r="T736" s="5">
        <f>+$P736*BF736</f>
        <v>0</v>
      </c>
      <c r="U736" s="5">
        <f>+$P736*BG736</f>
        <v>0</v>
      </c>
      <c r="V736" s="5">
        <f>+$P736*BH736</f>
        <v>0</v>
      </c>
      <c r="W736" s="5">
        <f>+$P736*BI736</f>
        <v>0</v>
      </c>
      <c r="X736" s="5">
        <f>+$P736*BJ736</f>
        <v>0</v>
      </c>
      <c r="Y736" s="5">
        <f>+$P736*BK736</f>
        <v>0</v>
      </c>
      <c r="Z736" s="5">
        <f>+$P736*BL736</f>
        <v>0</v>
      </c>
      <c r="AA736" s="5">
        <f>+$P736*BM736</f>
        <v>0</v>
      </c>
      <c r="AB736" s="5">
        <f>+$P736*BN736</f>
        <v>0</v>
      </c>
      <c r="AC736" s="5">
        <v>0</v>
      </c>
      <c r="AD736" s="5">
        <f>+$AC736*BC736</f>
        <v>0</v>
      </c>
      <c r="AE736" s="5">
        <f>+$AC736*BD736</f>
        <v>0</v>
      </c>
      <c r="AF736" s="5">
        <f>+$AC736*BE736</f>
        <v>0</v>
      </c>
      <c r="AG736" s="5">
        <f>+$AC736*BF736</f>
        <v>0</v>
      </c>
      <c r="AH736" s="5">
        <f>+$AC736*BG736</f>
        <v>0</v>
      </c>
      <c r="AI736" s="5">
        <f>+$AC736*BH736</f>
        <v>0</v>
      </c>
      <c r="AJ736" s="5">
        <f>+$AC736*BI736</f>
        <v>0</v>
      </c>
      <c r="AK736" s="5">
        <f>+$AC736*BJ736</f>
        <v>0</v>
      </c>
      <c r="AL736" s="5">
        <f>+$AC736*BK736</f>
        <v>0</v>
      </c>
      <c r="AM736" s="5">
        <f>+$AC736*BL736</f>
        <v>0</v>
      </c>
      <c r="AN736" s="5">
        <f>+$AC736*BM736</f>
        <v>0</v>
      </c>
      <c r="AO736" s="5">
        <f>+$AC736*BN736</f>
        <v>0</v>
      </c>
      <c r="AP736" s="5">
        <f>+AC736+P736+C736</f>
        <v>0</v>
      </c>
      <c r="AQ736" s="1">
        <v>7.0631800231403856</v>
      </c>
      <c r="AR736" s="1">
        <v>8.4469000836885968</v>
      </c>
      <c r="AS736" s="1">
        <v>7.4755684752049731</v>
      </c>
      <c r="AT736" s="1">
        <v>5.6624554695891991</v>
      </c>
      <c r="AU736" s="1">
        <v>8.2119088739451165</v>
      </c>
      <c r="AV736" s="1">
        <v>6.7296502114415357</v>
      </c>
      <c r="AW736" s="1">
        <v>6.6998352070792064</v>
      </c>
      <c r="AX736" s="1">
        <v>4.5498107526521734</v>
      </c>
      <c r="AY736" s="1">
        <v>6.7441851057681523</v>
      </c>
      <c r="AZ736" s="1">
        <v>5.8733182659123857</v>
      </c>
      <c r="BA736" s="1">
        <v>5.996880584014888</v>
      </c>
      <c r="BB736" s="1">
        <v>5.8572803017615094</v>
      </c>
      <c r="BC736" s="2">
        <v>8.9181565948742242E-2</v>
      </c>
      <c r="BD736" s="2">
        <v>0.10665277883445198</v>
      </c>
      <c r="BE736" s="2">
        <v>9.438849084854764E-2</v>
      </c>
      <c r="BF736" s="2">
        <v>7.149564986855049E-2</v>
      </c>
      <c r="BG736" s="2">
        <v>0.10368571810536763</v>
      </c>
      <c r="BH736" s="2">
        <v>8.4970330952544637E-2</v>
      </c>
      <c r="BI736" s="2">
        <v>8.4593878877262704E-2</v>
      </c>
      <c r="BJ736" s="2">
        <v>5.7447105462779965E-2</v>
      </c>
      <c r="BK736" s="2">
        <v>8.5153852345557474E-2</v>
      </c>
      <c r="BL736" s="2">
        <v>7.4158058913035174E-2</v>
      </c>
      <c r="BM736" s="2">
        <v>7.5718189192107169E-2</v>
      </c>
      <c r="BN736" s="2">
        <v>7.3955559365675619E-2</v>
      </c>
    </row>
    <row r="737" spans="1:66" x14ac:dyDescent="0.25">
      <c r="A737" s="8">
        <v>5257</v>
      </c>
      <c r="B737" s="8" t="s">
        <v>259</v>
      </c>
      <c r="C737" s="5">
        <v>0</v>
      </c>
      <c r="D737" s="5">
        <f>+$C737*BC737</f>
        <v>0</v>
      </c>
      <c r="E737" s="5">
        <f>+$C737*BD737</f>
        <v>0</v>
      </c>
      <c r="F737" s="5">
        <f>+$C737*BE737</f>
        <v>0</v>
      </c>
      <c r="G737" s="5">
        <f>+$C737*BF737</f>
        <v>0</v>
      </c>
      <c r="H737" s="5">
        <f>+$C737*BG737</f>
        <v>0</v>
      </c>
      <c r="I737" s="5">
        <f>+$C737*BH737</f>
        <v>0</v>
      </c>
      <c r="J737" s="5">
        <f>+$C737*BI737</f>
        <v>0</v>
      </c>
      <c r="K737" s="5">
        <f>+$C737*BJ737</f>
        <v>0</v>
      </c>
      <c r="L737" s="5">
        <f>+$C737*BK737</f>
        <v>0</v>
      </c>
      <c r="M737" s="5">
        <f>+$C737*BL737</f>
        <v>0</v>
      </c>
      <c r="N737" s="5">
        <f>+$C737*BM737</f>
        <v>0</v>
      </c>
      <c r="O737" s="5">
        <f>+$C737*BN737</f>
        <v>0</v>
      </c>
      <c r="P737" s="5">
        <v>0</v>
      </c>
      <c r="Q737" s="5">
        <f>+$P737*BC737</f>
        <v>0</v>
      </c>
      <c r="R737" s="5">
        <f>+$P737*BD737</f>
        <v>0</v>
      </c>
      <c r="S737" s="5">
        <f>+$P737*BE737</f>
        <v>0</v>
      </c>
      <c r="T737" s="5">
        <f>+$P737*BF737</f>
        <v>0</v>
      </c>
      <c r="U737" s="5">
        <f>+$P737*BG737</f>
        <v>0</v>
      </c>
      <c r="V737" s="5">
        <f>+$P737*BH737</f>
        <v>0</v>
      </c>
      <c r="W737" s="5">
        <f>+$P737*BI737</f>
        <v>0</v>
      </c>
      <c r="X737" s="5">
        <f>+$P737*BJ737</f>
        <v>0</v>
      </c>
      <c r="Y737" s="5">
        <f>+$P737*BK737</f>
        <v>0</v>
      </c>
      <c r="Z737" s="5">
        <f>+$P737*BL737</f>
        <v>0</v>
      </c>
      <c r="AA737" s="5">
        <f>+$P737*BM737</f>
        <v>0</v>
      </c>
      <c r="AB737" s="5">
        <f>+$P737*BN737</f>
        <v>0</v>
      </c>
      <c r="AC737" s="5">
        <v>0</v>
      </c>
      <c r="AD737" s="5">
        <f>+$AC737*BC737</f>
        <v>0</v>
      </c>
      <c r="AE737" s="5">
        <f>+$AC737*BD737</f>
        <v>0</v>
      </c>
      <c r="AF737" s="5">
        <f>+$AC737*BE737</f>
        <v>0</v>
      </c>
      <c r="AG737" s="5">
        <f>+$AC737*BF737</f>
        <v>0</v>
      </c>
      <c r="AH737" s="5">
        <f>+$AC737*BG737</f>
        <v>0</v>
      </c>
      <c r="AI737" s="5">
        <f>+$AC737*BH737</f>
        <v>0</v>
      </c>
      <c r="AJ737" s="5">
        <f>+$AC737*BI737</f>
        <v>0</v>
      </c>
      <c r="AK737" s="5">
        <f>+$AC737*BJ737</f>
        <v>0</v>
      </c>
      <c r="AL737" s="5">
        <f>+$AC737*BK737</f>
        <v>0</v>
      </c>
      <c r="AM737" s="5">
        <f>+$AC737*BL737</f>
        <v>0</v>
      </c>
      <c r="AN737" s="5">
        <f>+$AC737*BM737</f>
        <v>0</v>
      </c>
      <c r="AO737" s="5">
        <f>+$AC737*BN737</f>
        <v>0</v>
      </c>
      <c r="AP737" s="5">
        <f>+AC737+P737+C737</f>
        <v>0</v>
      </c>
      <c r="AQ737" s="1">
        <v>9.1232741965563324</v>
      </c>
      <c r="AR737" s="1">
        <v>10.910579274764439</v>
      </c>
      <c r="AS737" s="1">
        <v>9.6559426138064239</v>
      </c>
      <c r="AT737" s="1">
        <v>7.3140049815527162</v>
      </c>
      <c r="AU737" s="1">
        <v>10.607048962179109</v>
      </c>
      <c r="AV737" s="1">
        <v>8.6924648564453175</v>
      </c>
      <c r="AW737" s="1">
        <v>8.6539538091439763</v>
      </c>
      <c r="AX737" s="1">
        <v>5.876838888842391</v>
      </c>
      <c r="AY737" s="1">
        <v>8.7112390949505301</v>
      </c>
      <c r="AZ737" s="1">
        <v>7.5863694268034996</v>
      </c>
      <c r="BA737" s="1">
        <v>7.7459707543525642</v>
      </c>
      <c r="BB737" s="1">
        <v>7.5656537231086167</v>
      </c>
      <c r="BC737" s="2">
        <v>8.9181565948742242E-2</v>
      </c>
      <c r="BD737" s="2">
        <v>0.10665277883445198</v>
      </c>
      <c r="BE737" s="2">
        <v>9.438849084854764E-2</v>
      </c>
      <c r="BF737" s="2">
        <v>7.149564986855049E-2</v>
      </c>
      <c r="BG737" s="2">
        <v>0.10368571810536763</v>
      </c>
      <c r="BH737" s="2">
        <v>8.4970330952544637E-2</v>
      </c>
      <c r="BI737" s="2">
        <v>8.4593878877262704E-2</v>
      </c>
      <c r="BJ737" s="2">
        <v>5.7447105462779965E-2</v>
      </c>
      <c r="BK737" s="2">
        <v>8.5153852345557474E-2</v>
      </c>
      <c r="BL737" s="2">
        <v>7.4158058913035174E-2</v>
      </c>
      <c r="BM737" s="2">
        <v>7.5718189192107169E-2</v>
      </c>
      <c r="BN737" s="2">
        <v>7.3955559365675619E-2</v>
      </c>
    </row>
    <row r="738" spans="1:66" x14ac:dyDescent="0.25">
      <c r="A738" s="8">
        <v>5265</v>
      </c>
      <c r="B738" s="8" t="s">
        <v>258</v>
      </c>
      <c r="C738" s="5">
        <v>0</v>
      </c>
      <c r="D738" s="5">
        <f>+$C738*BC738</f>
        <v>0</v>
      </c>
      <c r="E738" s="5">
        <f>+$C738*BD738</f>
        <v>0</v>
      </c>
      <c r="F738" s="5">
        <f>+$C738*BE738</f>
        <v>0</v>
      </c>
      <c r="G738" s="5">
        <f>+$C738*BF738</f>
        <v>0</v>
      </c>
      <c r="H738" s="5">
        <f>+$C738*BG738</f>
        <v>0</v>
      </c>
      <c r="I738" s="5">
        <f>+$C738*BH738</f>
        <v>0</v>
      </c>
      <c r="J738" s="5">
        <f>+$C738*BI738</f>
        <v>0</v>
      </c>
      <c r="K738" s="5">
        <f>+$C738*BJ738</f>
        <v>0</v>
      </c>
      <c r="L738" s="5">
        <f>+$C738*BK738</f>
        <v>0</v>
      </c>
      <c r="M738" s="5">
        <f>+$C738*BL738</f>
        <v>0</v>
      </c>
      <c r="N738" s="5">
        <f>+$C738*BM738</f>
        <v>0</v>
      </c>
      <c r="O738" s="5">
        <f>+$C738*BN738</f>
        <v>0</v>
      </c>
      <c r="P738" s="5">
        <v>0</v>
      </c>
      <c r="Q738" s="5">
        <f>+$P738*BC738</f>
        <v>0</v>
      </c>
      <c r="R738" s="5">
        <f>+$P738*BD738</f>
        <v>0</v>
      </c>
      <c r="S738" s="5">
        <f>+$P738*BE738</f>
        <v>0</v>
      </c>
      <c r="T738" s="5">
        <f>+$P738*BF738</f>
        <v>0</v>
      </c>
      <c r="U738" s="5">
        <f>+$P738*BG738</f>
        <v>0</v>
      </c>
      <c r="V738" s="5">
        <f>+$P738*BH738</f>
        <v>0</v>
      </c>
      <c r="W738" s="5">
        <f>+$P738*BI738</f>
        <v>0</v>
      </c>
      <c r="X738" s="5">
        <f>+$P738*BJ738</f>
        <v>0</v>
      </c>
      <c r="Y738" s="5">
        <f>+$P738*BK738</f>
        <v>0</v>
      </c>
      <c r="Z738" s="5">
        <f>+$P738*BL738</f>
        <v>0</v>
      </c>
      <c r="AA738" s="5">
        <f>+$P738*BM738</f>
        <v>0</v>
      </c>
      <c r="AB738" s="5">
        <f>+$P738*BN738</f>
        <v>0</v>
      </c>
      <c r="AC738" s="5">
        <v>0</v>
      </c>
      <c r="AD738" s="5">
        <f>+$AC738*BC738</f>
        <v>0</v>
      </c>
      <c r="AE738" s="5">
        <f>+$AC738*BD738</f>
        <v>0</v>
      </c>
      <c r="AF738" s="5">
        <f>+$AC738*BE738</f>
        <v>0</v>
      </c>
      <c r="AG738" s="5">
        <f>+$AC738*BF738</f>
        <v>0</v>
      </c>
      <c r="AH738" s="5">
        <f>+$AC738*BG738</f>
        <v>0</v>
      </c>
      <c r="AI738" s="5">
        <f>+$AC738*BH738</f>
        <v>0</v>
      </c>
      <c r="AJ738" s="5">
        <f>+$AC738*BI738</f>
        <v>0</v>
      </c>
      <c r="AK738" s="5">
        <f>+$AC738*BJ738</f>
        <v>0</v>
      </c>
      <c r="AL738" s="5">
        <f>+$AC738*BK738</f>
        <v>0</v>
      </c>
      <c r="AM738" s="5">
        <f>+$AC738*BL738</f>
        <v>0</v>
      </c>
      <c r="AN738" s="5">
        <f>+$AC738*BM738</f>
        <v>0</v>
      </c>
      <c r="AO738" s="5">
        <f>+$AC738*BN738</f>
        <v>0</v>
      </c>
      <c r="AP738" s="5">
        <f>+AC738+P738+C738</f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2">
        <v>8.9181565948742242E-2</v>
      </c>
      <c r="BD738" s="2">
        <v>0.10665277883445198</v>
      </c>
      <c r="BE738" s="2">
        <v>9.438849084854764E-2</v>
      </c>
      <c r="BF738" s="2">
        <v>7.149564986855049E-2</v>
      </c>
      <c r="BG738" s="2">
        <v>0.10368571810536763</v>
      </c>
      <c r="BH738" s="2">
        <v>8.4970330952544637E-2</v>
      </c>
      <c r="BI738" s="2">
        <v>8.4593878877262704E-2</v>
      </c>
      <c r="BJ738" s="2">
        <v>5.7447105462779965E-2</v>
      </c>
      <c r="BK738" s="2">
        <v>8.5153852345557474E-2</v>
      </c>
      <c r="BL738" s="2">
        <v>7.4158058913035174E-2</v>
      </c>
      <c r="BM738" s="2">
        <v>7.5718189192107169E-2</v>
      </c>
      <c r="BN738" s="2">
        <v>7.3955559365675619E-2</v>
      </c>
    </row>
    <row r="739" spans="1:66" x14ac:dyDescent="0.25">
      <c r="A739" s="8">
        <v>5267</v>
      </c>
      <c r="B739" s="8" t="s">
        <v>257</v>
      </c>
      <c r="C739" s="5">
        <v>0</v>
      </c>
      <c r="D739" s="5">
        <f>+$C739*BC739</f>
        <v>0</v>
      </c>
      <c r="E739" s="5">
        <f>+$C739*BD739</f>
        <v>0</v>
      </c>
      <c r="F739" s="5">
        <f>+$C739*BE739</f>
        <v>0</v>
      </c>
      <c r="G739" s="5">
        <f>+$C739*BF739</f>
        <v>0</v>
      </c>
      <c r="H739" s="5">
        <f>+$C739*BG739</f>
        <v>0</v>
      </c>
      <c r="I739" s="5">
        <f>+$C739*BH739</f>
        <v>0</v>
      </c>
      <c r="J739" s="5">
        <f>+$C739*BI739</f>
        <v>0</v>
      </c>
      <c r="K739" s="5">
        <f>+$C739*BJ739</f>
        <v>0</v>
      </c>
      <c r="L739" s="5">
        <f>+$C739*BK739</f>
        <v>0</v>
      </c>
      <c r="M739" s="5">
        <f>+$C739*BL739</f>
        <v>0</v>
      </c>
      <c r="N739" s="5">
        <f>+$C739*BM739</f>
        <v>0</v>
      </c>
      <c r="O739" s="5">
        <f>+$C739*BN739</f>
        <v>0</v>
      </c>
      <c r="P739" s="5">
        <v>0</v>
      </c>
      <c r="Q739" s="5">
        <f>+$P739*BC739</f>
        <v>0</v>
      </c>
      <c r="R739" s="5">
        <f>+$P739*BD739</f>
        <v>0</v>
      </c>
      <c r="S739" s="5">
        <f>+$P739*BE739</f>
        <v>0</v>
      </c>
      <c r="T739" s="5">
        <f>+$P739*BF739</f>
        <v>0</v>
      </c>
      <c r="U739" s="5">
        <f>+$P739*BG739</f>
        <v>0</v>
      </c>
      <c r="V739" s="5">
        <f>+$P739*BH739</f>
        <v>0</v>
      </c>
      <c r="W739" s="5">
        <f>+$P739*BI739</f>
        <v>0</v>
      </c>
      <c r="X739" s="5">
        <f>+$P739*BJ739</f>
        <v>0</v>
      </c>
      <c r="Y739" s="5">
        <f>+$P739*BK739</f>
        <v>0</v>
      </c>
      <c r="Z739" s="5">
        <f>+$P739*BL739</f>
        <v>0</v>
      </c>
      <c r="AA739" s="5">
        <f>+$P739*BM739</f>
        <v>0</v>
      </c>
      <c r="AB739" s="5">
        <f>+$P739*BN739</f>
        <v>0</v>
      </c>
      <c r="AC739" s="5">
        <v>0</v>
      </c>
      <c r="AD739" s="5">
        <f>+$AC739*BC739</f>
        <v>0</v>
      </c>
      <c r="AE739" s="5">
        <f>+$AC739*BD739</f>
        <v>0</v>
      </c>
      <c r="AF739" s="5">
        <f>+$AC739*BE739</f>
        <v>0</v>
      </c>
      <c r="AG739" s="5">
        <f>+$AC739*BF739</f>
        <v>0</v>
      </c>
      <c r="AH739" s="5">
        <f>+$AC739*BG739</f>
        <v>0</v>
      </c>
      <c r="AI739" s="5">
        <f>+$AC739*BH739</f>
        <v>0</v>
      </c>
      <c r="AJ739" s="5">
        <f>+$AC739*BI739</f>
        <v>0</v>
      </c>
      <c r="AK739" s="5">
        <f>+$AC739*BJ739</f>
        <v>0</v>
      </c>
      <c r="AL739" s="5">
        <f>+$AC739*BK739</f>
        <v>0</v>
      </c>
      <c r="AM739" s="5">
        <f>+$AC739*BL739</f>
        <v>0</v>
      </c>
      <c r="AN739" s="5">
        <f>+$AC739*BM739</f>
        <v>0</v>
      </c>
      <c r="AO739" s="5">
        <f>+$AC739*BN739</f>
        <v>0</v>
      </c>
      <c r="AP739" s="5">
        <f>+AC739+P739+C739</f>
        <v>0</v>
      </c>
      <c r="AQ739" s="1">
        <v>1.5303556716804172</v>
      </c>
      <c r="AR739" s="1">
        <v>1.8301616847991964</v>
      </c>
      <c r="AS739" s="1">
        <v>1.6197065029610778</v>
      </c>
      <c r="AT739" s="1">
        <v>1.2268653517443266</v>
      </c>
      <c r="AU739" s="1">
        <v>1.7792469226881089</v>
      </c>
      <c r="AV739" s="1">
        <v>1.4580908791456664</v>
      </c>
      <c r="AW739" s="1">
        <v>1.4516309615338283</v>
      </c>
      <c r="AX739" s="1">
        <v>0.98579232974130437</v>
      </c>
      <c r="AY739" s="1">
        <v>1.4612401062497666</v>
      </c>
      <c r="AZ739" s="1">
        <v>1.2725522909476839</v>
      </c>
      <c r="BA739" s="1">
        <v>1.2993241265365594</v>
      </c>
      <c r="BB739" s="1">
        <v>1.2690773987149939</v>
      </c>
      <c r="BC739" s="2">
        <v>8.9181565948742242E-2</v>
      </c>
      <c r="BD739" s="2">
        <v>0.10665277883445198</v>
      </c>
      <c r="BE739" s="2">
        <v>9.438849084854764E-2</v>
      </c>
      <c r="BF739" s="2">
        <v>7.149564986855049E-2</v>
      </c>
      <c r="BG739" s="2">
        <v>0.10368571810536763</v>
      </c>
      <c r="BH739" s="2">
        <v>8.4970330952544637E-2</v>
      </c>
      <c r="BI739" s="2">
        <v>8.4593878877262704E-2</v>
      </c>
      <c r="BJ739" s="2">
        <v>5.7447105462779965E-2</v>
      </c>
      <c r="BK739" s="2">
        <v>8.5153852345557474E-2</v>
      </c>
      <c r="BL739" s="2">
        <v>7.4158058913035174E-2</v>
      </c>
      <c r="BM739" s="2">
        <v>7.5718189192107169E-2</v>
      </c>
      <c r="BN739" s="2">
        <v>7.3955559365675619E-2</v>
      </c>
    </row>
    <row r="740" spans="1:66" x14ac:dyDescent="0.25">
      <c r="A740" s="8">
        <v>5272</v>
      </c>
      <c r="B740" s="8" t="s">
        <v>256</v>
      </c>
      <c r="C740" s="5">
        <v>0</v>
      </c>
      <c r="D740" s="5">
        <f>+$C740*BC740</f>
        <v>0</v>
      </c>
      <c r="E740" s="5">
        <f>+$C740*BD740</f>
        <v>0</v>
      </c>
      <c r="F740" s="5">
        <f>+$C740*BE740</f>
        <v>0</v>
      </c>
      <c r="G740" s="5">
        <f>+$C740*BF740</f>
        <v>0</v>
      </c>
      <c r="H740" s="5">
        <f>+$C740*BG740</f>
        <v>0</v>
      </c>
      <c r="I740" s="5">
        <f>+$C740*BH740</f>
        <v>0</v>
      </c>
      <c r="J740" s="5">
        <f>+$C740*BI740</f>
        <v>0</v>
      </c>
      <c r="K740" s="5">
        <f>+$C740*BJ740</f>
        <v>0</v>
      </c>
      <c r="L740" s="5">
        <f>+$C740*BK740</f>
        <v>0</v>
      </c>
      <c r="M740" s="5">
        <f>+$C740*BL740</f>
        <v>0</v>
      </c>
      <c r="N740" s="5">
        <f>+$C740*BM740</f>
        <v>0</v>
      </c>
      <c r="O740" s="5">
        <f>+$C740*BN740</f>
        <v>0</v>
      </c>
      <c r="P740" s="5">
        <v>0</v>
      </c>
      <c r="Q740" s="5">
        <f>+$P740*BC740</f>
        <v>0</v>
      </c>
      <c r="R740" s="5">
        <f>+$P740*BD740</f>
        <v>0</v>
      </c>
      <c r="S740" s="5">
        <f>+$P740*BE740</f>
        <v>0</v>
      </c>
      <c r="T740" s="5">
        <f>+$P740*BF740</f>
        <v>0</v>
      </c>
      <c r="U740" s="5">
        <f>+$P740*BG740</f>
        <v>0</v>
      </c>
      <c r="V740" s="5">
        <f>+$P740*BH740</f>
        <v>0</v>
      </c>
      <c r="W740" s="5">
        <f>+$P740*BI740</f>
        <v>0</v>
      </c>
      <c r="X740" s="5">
        <f>+$P740*BJ740</f>
        <v>0</v>
      </c>
      <c r="Y740" s="5">
        <f>+$P740*BK740</f>
        <v>0</v>
      </c>
      <c r="Z740" s="5">
        <f>+$P740*BL740</f>
        <v>0</v>
      </c>
      <c r="AA740" s="5">
        <f>+$P740*BM740</f>
        <v>0</v>
      </c>
      <c r="AB740" s="5">
        <f>+$P740*BN740</f>
        <v>0</v>
      </c>
      <c r="AC740" s="5">
        <v>0</v>
      </c>
      <c r="AD740" s="5">
        <f>+$AC740*BC740</f>
        <v>0</v>
      </c>
      <c r="AE740" s="5">
        <f>+$AC740*BD740</f>
        <v>0</v>
      </c>
      <c r="AF740" s="5">
        <f>+$AC740*BE740</f>
        <v>0</v>
      </c>
      <c r="AG740" s="5">
        <f>+$AC740*BF740</f>
        <v>0</v>
      </c>
      <c r="AH740" s="5">
        <f>+$AC740*BG740</f>
        <v>0</v>
      </c>
      <c r="AI740" s="5">
        <f>+$AC740*BH740</f>
        <v>0</v>
      </c>
      <c r="AJ740" s="5">
        <f>+$AC740*BI740</f>
        <v>0</v>
      </c>
      <c r="AK740" s="5">
        <f>+$AC740*BJ740</f>
        <v>0</v>
      </c>
      <c r="AL740" s="5">
        <f>+$AC740*BK740</f>
        <v>0</v>
      </c>
      <c r="AM740" s="5">
        <f>+$AC740*BL740</f>
        <v>0</v>
      </c>
      <c r="AN740" s="5">
        <f>+$AC740*BM740</f>
        <v>0</v>
      </c>
      <c r="AO740" s="5">
        <f>+$AC740*BN740</f>
        <v>0</v>
      </c>
      <c r="AP740" s="5">
        <f>+AC740+P740+C740</f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2">
        <v>8.9181565948742242E-2</v>
      </c>
      <c r="BD740" s="2">
        <v>0.10665277883445198</v>
      </c>
      <c r="BE740" s="2">
        <v>9.438849084854764E-2</v>
      </c>
      <c r="BF740" s="2">
        <v>7.149564986855049E-2</v>
      </c>
      <c r="BG740" s="2">
        <v>0.10368571810536763</v>
      </c>
      <c r="BH740" s="2">
        <v>8.4970330952544637E-2</v>
      </c>
      <c r="BI740" s="2">
        <v>8.4593878877262704E-2</v>
      </c>
      <c r="BJ740" s="2">
        <v>5.7447105462779965E-2</v>
      </c>
      <c r="BK740" s="2">
        <v>8.5153852345557474E-2</v>
      </c>
      <c r="BL740" s="2">
        <v>7.4158058913035174E-2</v>
      </c>
      <c r="BM740" s="2">
        <v>7.5718189192107169E-2</v>
      </c>
      <c r="BN740" s="2">
        <v>7.3955559365675619E-2</v>
      </c>
    </row>
    <row r="741" spans="1:66" x14ac:dyDescent="0.25">
      <c r="A741" s="8">
        <v>5275</v>
      </c>
      <c r="B741" s="8" t="s">
        <v>255</v>
      </c>
      <c r="C741" s="5">
        <v>0</v>
      </c>
      <c r="D741" s="5">
        <f>+$C741*BC741</f>
        <v>0</v>
      </c>
      <c r="E741" s="5">
        <f>+$C741*BD741</f>
        <v>0</v>
      </c>
      <c r="F741" s="5">
        <f>+$C741*BE741</f>
        <v>0</v>
      </c>
      <c r="G741" s="5">
        <f>+$C741*BF741</f>
        <v>0</v>
      </c>
      <c r="H741" s="5">
        <f>+$C741*BG741</f>
        <v>0</v>
      </c>
      <c r="I741" s="5">
        <f>+$C741*BH741</f>
        <v>0</v>
      </c>
      <c r="J741" s="5">
        <f>+$C741*BI741</f>
        <v>0</v>
      </c>
      <c r="K741" s="5">
        <f>+$C741*BJ741</f>
        <v>0</v>
      </c>
      <c r="L741" s="5">
        <f>+$C741*BK741</f>
        <v>0</v>
      </c>
      <c r="M741" s="5">
        <f>+$C741*BL741</f>
        <v>0</v>
      </c>
      <c r="N741" s="5">
        <f>+$C741*BM741</f>
        <v>0</v>
      </c>
      <c r="O741" s="5">
        <f>+$C741*BN741</f>
        <v>0</v>
      </c>
      <c r="P741" s="5">
        <v>0</v>
      </c>
      <c r="Q741" s="5">
        <f>+$P741*BC741</f>
        <v>0</v>
      </c>
      <c r="R741" s="5">
        <f>+$P741*BD741</f>
        <v>0</v>
      </c>
      <c r="S741" s="5">
        <f>+$P741*BE741</f>
        <v>0</v>
      </c>
      <c r="T741" s="5">
        <f>+$P741*BF741</f>
        <v>0</v>
      </c>
      <c r="U741" s="5">
        <f>+$P741*BG741</f>
        <v>0</v>
      </c>
      <c r="V741" s="5">
        <f>+$P741*BH741</f>
        <v>0</v>
      </c>
      <c r="W741" s="5">
        <f>+$P741*BI741</f>
        <v>0</v>
      </c>
      <c r="X741" s="5">
        <f>+$P741*BJ741</f>
        <v>0</v>
      </c>
      <c r="Y741" s="5">
        <f>+$P741*BK741</f>
        <v>0</v>
      </c>
      <c r="Z741" s="5">
        <f>+$P741*BL741</f>
        <v>0</v>
      </c>
      <c r="AA741" s="5">
        <f>+$P741*BM741</f>
        <v>0</v>
      </c>
      <c r="AB741" s="5">
        <f>+$P741*BN741</f>
        <v>0</v>
      </c>
      <c r="AC741" s="5">
        <v>0</v>
      </c>
      <c r="AD741" s="5">
        <f>+$AC741*BC741</f>
        <v>0</v>
      </c>
      <c r="AE741" s="5">
        <f>+$AC741*BD741</f>
        <v>0</v>
      </c>
      <c r="AF741" s="5">
        <f>+$AC741*BE741</f>
        <v>0</v>
      </c>
      <c r="AG741" s="5">
        <f>+$AC741*BF741</f>
        <v>0</v>
      </c>
      <c r="AH741" s="5">
        <f>+$AC741*BG741</f>
        <v>0</v>
      </c>
      <c r="AI741" s="5">
        <f>+$AC741*BH741</f>
        <v>0</v>
      </c>
      <c r="AJ741" s="5">
        <f>+$AC741*BI741</f>
        <v>0</v>
      </c>
      <c r="AK741" s="5">
        <f>+$AC741*BJ741</f>
        <v>0</v>
      </c>
      <c r="AL741" s="5">
        <f>+$AC741*BK741</f>
        <v>0</v>
      </c>
      <c r="AM741" s="5">
        <f>+$AC741*BL741</f>
        <v>0</v>
      </c>
      <c r="AN741" s="5">
        <f>+$AC741*BM741</f>
        <v>0</v>
      </c>
      <c r="AO741" s="5">
        <f>+$AC741*BN741</f>
        <v>0</v>
      </c>
      <c r="AP741" s="5">
        <f>+AC741+P741+C741</f>
        <v>0</v>
      </c>
      <c r="AQ741" s="1">
        <v>63.862919375894322</v>
      </c>
      <c r="AR741" s="1">
        <v>76.374054923351068</v>
      </c>
      <c r="AS741" s="1">
        <v>67.59159829664496</v>
      </c>
      <c r="AT741" s="1">
        <v>51.198034870869009</v>
      </c>
      <c r="AU741" s="1">
        <v>74.249342735253762</v>
      </c>
      <c r="AV741" s="1">
        <v>60.847253995117214</v>
      </c>
      <c r="AW741" s="1">
        <v>60.577676664007825</v>
      </c>
      <c r="AX741" s="1">
        <v>41.137872221896735</v>
      </c>
      <c r="AY741" s="1">
        <v>60.978673664653712</v>
      </c>
      <c r="AZ741" s="1">
        <v>53.104585987624489</v>
      </c>
      <c r="BA741" s="1">
        <v>54.221795280467944</v>
      </c>
      <c r="BB741" s="1">
        <v>52.959576061760309</v>
      </c>
      <c r="BC741" s="2">
        <v>8.9181565948742242E-2</v>
      </c>
      <c r="BD741" s="2">
        <v>0.10665277883445198</v>
      </c>
      <c r="BE741" s="2">
        <v>9.438849084854764E-2</v>
      </c>
      <c r="BF741" s="2">
        <v>7.149564986855049E-2</v>
      </c>
      <c r="BG741" s="2">
        <v>0.10368571810536763</v>
      </c>
      <c r="BH741" s="2">
        <v>8.4970330952544637E-2</v>
      </c>
      <c r="BI741" s="2">
        <v>8.4593878877262704E-2</v>
      </c>
      <c r="BJ741" s="2">
        <v>5.7447105462779965E-2</v>
      </c>
      <c r="BK741" s="2">
        <v>8.5153852345557474E-2</v>
      </c>
      <c r="BL741" s="2">
        <v>7.4158058913035174E-2</v>
      </c>
      <c r="BM741" s="2">
        <v>7.5718189192107169E-2</v>
      </c>
      <c r="BN741" s="2">
        <v>7.3955559365675619E-2</v>
      </c>
    </row>
    <row r="742" spans="1:66" x14ac:dyDescent="0.25">
      <c r="A742" s="8">
        <v>5286</v>
      </c>
      <c r="B742" s="8" t="s">
        <v>254</v>
      </c>
      <c r="C742" s="5">
        <v>0</v>
      </c>
      <c r="D742" s="5">
        <f>+$C742*BC742</f>
        <v>0</v>
      </c>
      <c r="E742" s="5">
        <f>+$C742*BD742</f>
        <v>0</v>
      </c>
      <c r="F742" s="5">
        <f>+$C742*BE742</f>
        <v>0</v>
      </c>
      <c r="G742" s="5">
        <f>+$C742*BF742</f>
        <v>0</v>
      </c>
      <c r="H742" s="5">
        <f>+$C742*BG742</f>
        <v>0</v>
      </c>
      <c r="I742" s="5">
        <f>+$C742*BH742</f>
        <v>0</v>
      </c>
      <c r="J742" s="5">
        <f>+$C742*BI742</f>
        <v>0</v>
      </c>
      <c r="K742" s="5">
        <f>+$C742*BJ742</f>
        <v>0</v>
      </c>
      <c r="L742" s="5">
        <f>+$C742*BK742</f>
        <v>0</v>
      </c>
      <c r="M742" s="5">
        <f>+$C742*BL742</f>
        <v>0</v>
      </c>
      <c r="N742" s="5">
        <f>+$C742*BM742</f>
        <v>0</v>
      </c>
      <c r="O742" s="5">
        <f>+$C742*BN742</f>
        <v>0</v>
      </c>
      <c r="P742" s="5">
        <v>0</v>
      </c>
      <c r="Q742" s="5">
        <f>+$P742*BC742</f>
        <v>0</v>
      </c>
      <c r="R742" s="5">
        <f>+$P742*BD742</f>
        <v>0</v>
      </c>
      <c r="S742" s="5">
        <f>+$P742*BE742</f>
        <v>0</v>
      </c>
      <c r="T742" s="5">
        <f>+$P742*BF742</f>
        <v>0</v>
      </c>
      <c r="U742" s="5">
        <f>+$P742*BG742</f>
        <v>0</v>
      </c>
      <c r="V742" s="5">
        <f>+$P742*BH742</f>
        <v>0</v>
      </c>
      <c r="W742" s="5">
        <f>+$P742*BI742</f>
        <v>0</v>
      </c>
      <c r="X742" s="5">
        <f>+$P742*BJ742</f>
        <v>0</v>
      </c>
      <c r="Y742" s="5">
        <f>+$P742*BK742</f>
        <v>0</v>
      </c>
      <c r="Z742" s="5">
        <f>+$P742*BL742</f>
        <v>0</v>
      </c>
      <c r="AA742" s="5">
        <f>+$P742*BM742</f>
        <v>0</v>
      </c>
      <c r="AB742" s="5">
        <f>+$P742*BN742</f>
        <v>0</v>
      </c>
      <c r="AC742" s="5">
        <v>0</v>
      </c>
      <c r="AD742" s="5">
        <f>+$AC742*BC742</f>
        <v>0</v>
      </c>
      <c r="AE742" s="5">
        <f>+$AC742*BD742</f>
        <v>0</v>
      </c>
      <c r="AF742" s="5">
        <f>+$AC742*BE742</f>
        <v>0</v>
      </c>
      <c r="AG742" s="5">
        <f>+$AC742*BF742</f>
        <v>0</v>
      </c>
      <c r="AH742" s="5">
        <f>+$AC742*BG742</f>
        <v>0</v>
      </c>
      <c r="AI742" s="5">
        <f>+$AC742*BH742</f>
        <v>0</v>
      </c>
      <c r="AJ742" s="5">
        <f>+$AC742*BI742</f>
        <v>0</v>
      </c>
      <c r="AK742" s="5">
        <f>+$AC742*BJ742</f>
        <v>0</v>
      </c>
      <c r="AL742" s="5">
        <f>+$AC742*BK742</f>
        <v>0</v>
      </c>
      <c r="AM742" s="5">
        <f>+$AC742*BL742</f>
        <v>0</v>
      </c>
      <c r="AN742" s="5">
        <f>+$AC742*BM742</f>
        <v>0</v>
      </c>
      <c r="AO742" s="5">
        <f>+$AC742*BN742</f>
        <v>0</v>
      </c>
      <c r="AP742" s="5">
        <f>+AC742+P742+C742</f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2">
        <v>8.9181565948742242E-2</v>
      </c>
      <c r="BD742" s="2">
        <v>0.10665277883445198</v>
      </c>
      <c r="BE742" s="2">
        <v>9.438849084854764E-2</v>
      </c>
      <c r="BF742" s="2">
        <v>7.149564986855049E-2</v>
      </c>
      <c r="BG742" s="2">
        <v>0.10368571810536763</v>
      </c>
      <c r="BH742" s="2">
        <v>8.4970330952544637E-2</v>
      </c>
      <c r="BI742" s="2">
        <v>8.4593878877262704E-2</v>
      </c>
      <c r="BJ742" s="2">
        <v>5.7447105462779965E-2</v>
      </c>
      <c r="BK742" s="2">
        <v>8.5153852345557474E-2</v>
      </c>
      <c r="BL742" s="2">
        <v>7.4158058913035174E-2</v>
      </c>
      <c r="BM742" s="2">
        <v>7.5718189192107169E-2</v>
      </c>
      <c r="BN742" s="2">
        <v>7.3955559365675619E-2</v>
      </c>
    </row>
    <row r="743" spans="1:66" x14ac:dyDescent="0.25">
      <c r="A743" s="8">
        <v>5290</v>
      </c>
      <c r="B743" s="8" t="s">
        <v>253</v>
      </c>
      <c r="C743" s="5">
        <v>0</v>
      </c>
      <c r="D743" s="5">
        <f>+$C743*BC743</f>
        <v>0</v>
      </c>
      <c r="E743" s="5">
        <f>+$C743*BD743</f>
        <v>0</v>
      </c>
      <c r="F743" s="5">
        <f>+$C743*BE743</f>
        <v>0</v>
      </c>
      <c r="G743" s="5">
        <f>+$C743*BF743</f>
        <v>0</v>
      </c>
      <c r="H743" s="5">
        <f>+$C743*BG743</f>
        <v>0</v>
      </c>
      <c r="I743" s="5">
        <f>+$C743*BH743</f>
        <v>0</v>
      </c>
      <c r="J743" s="5">
        <f>+$C743*BI743</f>
        <v>0</v>
      </c>
      <c r="K743" s="5">
        <f>+$C743*BJ743</f>
        <v>0</v>
      </c>
      <c r="L743" s="5">
        <f>+$C743*BK743</f>
        <v>0</v>
      </c>
      <c r="M743" s="5">
        <f>+$C743*BL743</f>
        <v>0</v>
      </c>
      <c r="N743" s="5">
        <f>+$C743*BM743</f>
        <v>0</v>
      </c>
      <c r="O743" s="5">
        <f>+$C743*BN743</f>
        <v>0</v>
      </c>
      <c r="P743" s="5">
        <v>0</v>
      </c>
      <c r="Q743" s="5">
        <f>+$P743*BC743</f>
        <v>0</v>
      </c>
      <c r="R743" s="5">
        <f>+$P743*BD743</f>
        <v>0</v>
      </c>
      <c r="S743" s="5">
        <f>+$P743*BE743</f>
        <v>0</v>
      </c>
      <c r="T743" s="5">
        <f>+$P743*BF743</f>
        <v>0</v>
      </c>
      <c r="U743" s="5">
        <f>+$P743*BG743</f>
        <v>0</v>
      </c>
      <c r="V743" s="5">
        <f>+$P743*BH743</f>
        <v>0</v>
      </c>
      <c r="W743" s="5">
        <f>+$P743*BI743</f>
        <v>0</v>
      </c>
      <c r="X743" s="5">
        <f>+$P743*BJ743</f>
        <v>0</v>
      </c>
      <c r="Y743" s="5">
        <f>+$P743*BK743</f>
        <v>0</v>
      </c>
      <c r="Z743" s="5">
        <f>+$P743*BL743</f>
        <v>0</v>
      </c>
      <c r="AA743" s="5">
        <f>+$P743*BM743</f>
        <v>0</v>
      </c>
      <c r="AB743" s="5">
        <f>+$P743*BN743</f>
        <v>0</v>
      </c>
      <c r="AC743" s="5">
        <v>0</v>
      </c>
      <c r="AD743" s="5">
        <f>+$AC743*BC743</f>
        <v>0</v>
      </c>
      <c r="AE743" s="5">
        <f>+$AC743*BD743</f>
        <v>0</v>
      </c>
      <c r="AF743" s="5">
        <f>+$AC743*BE743</f>
        <v>0</v>
      </c>
      <c r="AG743" s="5">
        <f>+$AC743*BF743</f>
        <v>0</v>
      </c>
      <c r="AH743" s="5">
        <f>+$AC743*BG743</f>
        <v>0</v>
      </c>
      <c r="AI743" s="5">
        <f>+$AC743*BH743</f>
        <v>0</v>
      </c>
      <c r="AJ743" s="5">
        <f>+$AC743*BI743</f>
        <v>0</v>
      </c>
      <c r="AK743" s="5">
        <f>+$AC743*BJ743</f>
        <v>0</v>
      </c>
      <c r="AL743" s="5">
        <f>+$AC743*BK743</f>
        <v>0</v>
      </c>
      <c r="AM743" s="5">
        <f>+$AC743*BL743</f>
        <v>0</v>
      </c>
      <c r="AN743" s="5">
        <f>+$AC743*BM743</f>
        <v>0</v>
      </c>
      <c r="AO743" s="5">
        <f>+$AC743*BN743</f>
        <v>0</v>
      </c>
      <c r="AP743" s="5">
        <f>+AC743+P743+C743</f>
        <v>0</v>
      </c>
      <c r="AQ743" s="1">
        <v>50.952014891928975</v>
      </c>
      <c r="AR743" s="1">
        <v>60.933825478708634</v>
      </c>
      <c r="AS743" s="1">
        <v>53.92688208800989</v>
      </c>
      <c r="AT743" s="1">
        <v>40.847538143749098</v>
      </c>
      <c r="AU743" s="1">
        <v>59.238657639421596</v>
      </c>
      <c r="AV743" s="1">
        <v>48.546014212786389</v>
      </c>
      <c r="AW743" s="1">
        <v>48.330936225067639</v>
      </c>
      <c r="AX743" s="1">
        <v>32.821197316944627</v>
      </c>
      <c r="AY743" s="1">
        <v>48.650865306735021</v>
      </c>
      <c r="AZ743" s="1">
        <v>42.368649640725486</v>
      </c>
      <c r="BA743" s="1">
        <v>43.259997312937408</v>
      </c>
      <c r="BB743" s="1">
        <v>42.252955776832096</v>
      </c>
      <c r="BC743" s="2">
        <v>8.9181565948742242E-2</v>
      </c>
      <c r="BD743" s="2">
        <v>0.10665277883445198</v>
      </c>
      <c r="BE743" s="2">
        <v>9.438849084854764E-2</v>
      </c>
      <c r="BF743" s="2">
        <v>7.149564986855049E-2</v>
      </c>
      <c r="BG743" s="2">
        <v>0.10368571810536763</v>
      </c>
      <c r="BH743" s="2">
        <v>8.4970330952544637E-2</v>
      </c>
      <c r="BI743" s="2">
        <v>8.4593878877262704E-2</v>
      </c>
      <c r="BJ743" s="2">
        <v>5.7447105462779965E-2</v>
      </c>
      <c r="BK743" s="2">
        <v>8.5153852345557474E-2</v>
      </c>
      <c r="BL743" s="2">
        <v>7.4158058913035174E-2</v>
      </c>
      <c r="BM743" s="2">
        <v>7.5718189192107169E-2</v>
      </c>
      <c r="BN743" s="2">
        <v>7.3955559365675619E-2</v>
      </c>
    </row>
    <row r="744" spans="1:66" x14ac:dyDescent="0.25">
      <c r="A744" s="8">
        <v>5291</v>
      </c>
      <c r="B744" s="8" t="s">
        <v>252</v>
      </c>
      <c r="C744" s="5">
        <v>0</v>
      </c>
      <c r="D744" s="5">
        <f>+$C744*BC744</f>
        <v>0</v>
      </c>
      <c r="E744" s="5">
        <f>+$C744*BD744</f>
        <v>0</v>
      </c>
      <c r="F744" s="5">
        <f>+$C744*BE744</f>
        <v>0</v>
      </c>
      <c r="G744" s="5">
        <f>+$C744*BF744</f>
        <v>0</v>
      </c>
      <c r="H744" s="5">
        <f>+$C744*BG744</f>
        <v>0</v>
      </c>
      <c r="I744" s="5">
        <f>+$C744*BH744</f>
        <v>0</v>
      </c>
      <c r="J744" s="5">
        <f>+$C744*BI744</f>
        <v>0</v>
      </c>
      <c r="K744" s="5">
        <f>+$C744*BJ744</f>
        <v>0</v>
      </c>
      <c r="L744" s="5">
        <f>+$C744*BK744</f>
        <v>0</v>
      </c>
      <c r="M744" s="5">
        <f>+$C744*BL744</f>
        <v>0</v>
      </c>
      <c r="N744" s="5">
        <f>+$C744*BM744</f>
        <v>0</v>
      </c>
      <c r="O744" s="5">
        <f>+$C744*BN744</f>
        <v>0</v>
      </c>
      <c r="P744" s="5">
        <v>0</v>
      </c>
      <c r="Q744" s="5">
        <f>+$P744*BC744</f>
        <v>0</v>
      </c>
      <c r="R744" s="5">
        <f>+$P744*BD744</f>
        <v>0</v>
      </c>
      <c r="S744" s="5">
        <f>+$P744*BE744</f>
        <v>0</v>
      </c>
      <c r="T744" s="5">
        <f>+$P744*BF744</f>
        <v>0</v>
      </c>
      <c r="U744" s="5">
        <f>+$P744*BG744</f>
        <v>0</v>
      </c>
      <c r="V744" s="5">
        <f>+$P744*BH744</f>
        <v>0</v>
      </c>
      <c r="W744" s="5">
        <f>+$P744*BI744</f>
        <v>0</v>
      </c>
      <c r="X744" s="5">
        <f>+$P744*BJ744</f>
        <v>0</v>
      </c>
      <c r="Y744" s="5">
        <f>+$P744*BK744</f>
        <v>0</v>
      </c>
      <c r="Z744" s="5">
        <f>+$P744*BL744</f>
        <v>0</v>
      </c>
      <c r="AA744" s="5">
        <f>+$P744*BM744</f>
        <v>0</v>
      </c>
      <c r="AB744" s="5">
        <f>+$P744*BN744</f>
        <v>0</v>
      </c>
      <c r="AC744" s="5">
        <v>0</v>
      </c>
      <c r="AD744" s="5">
        <f>+$AC744*BC744</f>
        <v>0</v>
      </c>
      <c r="AE744" s="5">
        <f>+$AC744*BD744</f>
        <v>0</v>
      </c>
      <c r="AF744" s="5">
        <f>+$AC744*BE744</f>
        <v>0</v>
      </c>
      <c r="AG744" s="5">
        <f>+$AC744*BF744</f>
        <v>0</v>
      </c>
      <c r="AH744" s="5">
        <f>+$AC744*BG744</f>
        <v>0</v>
      </c>
      <c r="AI744" s="5">
        <f>+$AC744*BH744</f>
        <v>0</v>
      </c>
      <c r="AJ744" s="5">
        <f>+$AC744*BI744</f>
        <v>0</v>
      </c>
      <c r="AK744" s="5">
        <f>+$AC744*BJ744</f>
        <v>0</v>
      </c>
      <c r="AL744" s="5">
        <f>+$AC744*BK744</f>
        <v>0</v>
      </c>
      <c r="AM744" s="5">
        <f>+$AC744*BL744</f>
        <v>0</v>
      </c>
      <c r="AN744" s="5">
        <f>+$AC744*BM744</f>
        <v>0</v>
      </c>
      <c r="AO744" s="5">
        <f>+$AC744*BN744</f>
        <v>0</v>
      </c>
      <c r="AP744" s="5">
        <f>+AC744+P744+C744</f>
        <v>0</v>
      </c>
      <c r="AQ744" s="1">
        <v>39.53418818507744</v>
      </c>
      <c r="AR744" s="1">
        <v>47.279176857312564</v>
      </c>
      <c r="AS744" s="1">
        <v>41.84241799316117</v>
      </c>
      <c r="AT744" s="1">
        <v>31.694021586728432</v>
      </c>
      <c r="AU744" s="1">
        <v>45.963878836109473</v>
      </c>
      <c r="AV744" s="1">
        <v>37.667347711263041</v>
      </c>
      <c r="AW744" s="1">
        <v>37.500466506290557</v>
      </c>
      <c r="AX744" s="1">
        <v>25.466301851650361</v>
      </c>
      <c r="AY744" s="1">
        <v>37.748702744785632</v>
      </c>
      <c r="AZ744" s="1">
        <v>32.874267516148493</v>
      </c>
      <c r="BA744" s="1">
        <v>33.565873268861111</v>
      </c>
      <c r="BB744" s="1">
        <v>32.784499466804</v>
      </c>
      <c r="BC744" s="2">
        <v>8.9181565948742242E-2</v>
      </c>
      <c r="BD744" s="2">
        <v>0.10665277883445198</v>
      </c>
      <c r="BE744" s="2">
        <v>9.438849084854764E-2</v>
      </c>
      <c r="BF744" s="2">
        <v>7.149564986855049E-2</v>
      </c>
      <c r="BG744" s="2">
        <v>0.10368571810536763</v>
      </c>
      <c r="BH744" s="2">
        <v>8.4970330952544637E-2</v>
      </c>
      <c r="BI744" s="2">
        <v>8.4593878877262704E-2</v>
      </c>
      <c r="BJ744" s="2">
        <v>5.7447105462779965E-2</v>
      </c>
      <c r="BK744" s="2">
        <v>8.5153852345557474E-2</v>
      </c>
      <c r="BL744" s="2">
        <v>7.4158058913035174E-2</v>
      </c>
      <c r="BM744" s="2">
        <v>7.5718189192107169E-2</v>
      </c>
      <c r="BN744" s="2">
        <v>7.3955559365675619E-2</v>
      </c>
    </row>
    <row r="745" spans="1:66" x14ac:dyDescent="0.25">
      <c r="A745" s="8">
        <v>5298</v>
      </c>
      <c r="B745" s="8" t="s">
        <v>251</v>
      </c>
      <c r="C745" s="5">
        <v>0</v>
      </c>
      <c r="D745" s="5">
        <f>+$C745*BC745</f>
        <v>0</v>
      </c>
      <c r="E745" s="5">
        <f>+$C745*BD745</f>
        <v>0</v>
      </c>
      <c r="F745" s="5">
        <f>+$C745*BE745</f>
        <v>0</v>
      </c>
      <c r="G745" s="5">
        <f>+$C745*BF745</f>
        <v>0</v>
      </c>
      <c r="H745" s="5">
        <f>+$C745*BG745</f>
        <v>0</v>
      </c>
      <c r="I745" s="5">
        <f>+$C745*BH745</f>
        <v>0</v>
      </c>
      <c r="J745" s="5">
        <f>+$C745*BI745</f>
        <v>0</v>
      </c>
      <c r="K745" s="5">
        <f>+$C745*BJ745</f>
        <v>0</v>
      </c>
      <c r="L745" s="5">
        <f>+$C745*BK745</f>
        <v>0</v>
      </c>
      <c r="M745" s="5">
        <f>+$C745*BL745</f>
        <v>0</v>
      </c>
      <c r="N745" s="5">
        <f>+$C745*BM745</f>
        <v>0</v>
      </c>
      <c r="O745" s="5">
        <f>+$C745*BN745</f>
        <v>0</v>
      </c>
      <c r="P745" s="5">
        <v>0</v>
      </c>
      <c r="Q745" s="5">
        <f>+$P745*BC745</f>
        <v>0</v>
      </c>
      <c r="R745" s="5">
        <f>+$P745*BD745</f>
        <v>0</v>
      </c>
      <c r="S745" s="5">
        <f>+$P745*BE745</f>
        <v>0</v>
      </c>
      <c r="T745" s="5">
        <f>+$P745*BF745</f>
        <v>0</v>
      </c>
      <c r="U745" s="5">
        <f>+$P745*BG745</f>
        <v>0</v>
      </c>
      <c r="V745" s="5">
        <f>+$P745*BH745</f>
        <v>0</v>
      </c>
      <c r="W745" s="5">
        <f>+$P745*BI745</f>
        <v>0</v>
      </c>
      <c r="X745" s="5">
        <f>+$P745*BJ745</f>
        <v>0</v>
      </c>
      <c r="Y745" s="5">
        <f>+$P745*BK745</f>
        <v>0</v>
      </c>
      <c r="Z745" s="5">
        <f>+$P745*BL745</f>
        <v>0</v>
      </c>
      <c r="AA745" s="5">
        <f>+$P745*BM745</f>
        <v>0</v>
      </c>
      <c r="AB745" s="5">
        <f>+$P745*BN745</f>
        <v>0</v>
      </c>
      <c r="AC745" s="5">
        <v>0</v>
      </c>
      <c r="AD745" s="5">
        <f>+$AC745*BC745</f>
        <v>0</v>
      </c>
      <c r="AE745" s="5">
        <f>+$AC745*BD745</f>
        <v>0</v>
      </c>
      <c r="AF745" s="5">
        <f>+$AC745*BE745</f>
        <v>0</v>
      </c>
      <c r="AG745" s="5">
        <f>+$AC745*BF745</f>
        <v>0</v>
      </c>
      <c r="AH745" s="5">
        <f>+$AC745*BG745</f>
        <v>0</v>
      </c>
      <c r="AI745" s="5">
        <f>+$AC745*BH745</f>
        <v>0</v>
      </c>
      <c r="AJ745" s="5">
        <f>+$AC745*BI745</f>
        <v>0</v>
      </c>
      <c r="AK745" s="5">
        <f>+$AC745*BJ745</f>
        <v>0</v>
      </c>
      <c r="AL745" s="5">
        <f>+$AC745*BK745</f>
        <v>0</v>
      </c>
      <c r="AM745" s="5">
        <f>+$AC745*BL745</f>
        <v>0</v>
      </c>
      <c r="AN745" s="5">
        <f>+$AC745*BM745</f>
        <v>0</v>
      </c>
      <c r="AO745" s="5">
        <f>+$AC745*BN745</f>
        <v>0</v>
      </c>
      <c r="AP745" s="5">
        <f>+AC745+P745+C745</f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2">
        <v>8.9181565948742242E-2</v>
      </c>
      <c r="BD745" s="2">
        <v>0.10665277883445198</v>
      </c>
      <c r="BE745" s="2">
        <v>9.438849084854764E-2</v>
      </c>
      <c r="BF745" s="2">
        <v>7.149564986855049E-2</v>
      </c>
      <c r="BG745" s="2">
        <v>0.10368571810536763</v>
      </c>
      <c r="BH745" s="2">
        <v>8.4970330952544637E-2</v>
      </c>
      <c r="BI745" s="2">
        <v>8.4593878877262704E-2</v>
      </c>
      <c r="BJ745" s="2">
        <v>5.7447105462779965E-2</v>
      </c>
      <c r="BK745" s="2">
        <v>8.5153852345557474E-2</v>
      </c>
      <c r="BL745" s="2">
        <v>7.4158058913035174E-2</v>
      </c>
      <c r="BM745" s="2">
        <v>7.5718189192107169E-2</v>
      </c>
      <c r="BN745" s="2">
        <v>7.3955559365675619E-2</v>
      </c>
    </row>
    <row r="746" spans="1:66" x14ac:dyDescent="0.25">
      <c r="A746" s="8">
        <v>5315</v>
      </c>
      <c r="B746" s="8" t="s">
        <v>250</v>
      </c>
      <c r="C746" s="5">
        <v>0</v>
      </c>
      <c r="D746" s="5">
        <f>+$C746*BC746</f>
        <v>0</v>
      </c>
      <c r="E746" s="5">
        <f>+$C746*BD746</f>
        <v>0</v>
      </c>
      <c r="F746" s="5">
        <f>+$C746*BE746</f>
        <v>0</v>
      </c>
      <c r="G746" s="5">
        <f>+$C746*BF746</f>
        <v>0</v>
      </c>
      <c r="H746" s="5">
        <f>+$C746*BG746</f>
        <v>0</v>
      </c>
      <c r="I746" s="5">
        <f>+$C746*BH746</f>
        <v>0</v>
      </c>
      <c r="J746" s="5">
        <f>+$C746*BI746</f>
        <v>0</v>
      </c>
      <c r="K746" s="5">
        <f>+$C746*BJ746</f>
        <v>0</v>
      </c>
      <c r="L746" s="5">
        <f>+$C746*BK746</f>
        <v>0</v>
      </c>
      <c r="M746" s="5">
        <f>+$C746*BL746</f>
        <v>0</v>
      </c>
      <c r="N746" s="5">
        <f>+$C746*BM746</f>
        <v>0</v>
      </c>
      <c r="O746" s="5">
        <f>+$C746*BN746</f>
        <v>0</v>
      </c>
      <c r="P746" s="5">
        <v>0</v>
      </c>
      <c r="Q746" s="5">
        <f>+$P746*BC746</f>
        <v>0</v>
      </c>
      <c r="R746" s="5">
        <f>+$P746*BD746</f>
        <v>0</v>
      </c>
      <c r="S746" s="5">
        <f>+$P746*BE746</f>
        <v>0</v>
      </c>
      <c r="T746" s="5">
        <f>+$P746*BF746</f>
        <v>0</v>
      </c>
      <c r="U746" s="5">
        <f>+$P746*BG746</f>
        <v>0</v>
      </c>
      <c r="V746" s="5">
        <f>+$P746*BH746</f>
        <v>0</v>
      </c>
      <c r="W746" s="5">
        <f>+$P746*BI746</f>
        <v>0</v>
      </c>
      <c r="X746" s="5">
        <f>+$P746*BJ746</f>
        <v>0</v>
      </c>
      <c r="Y746" s="5">
        <f>+$P746*BK746</f>
        <v>0</v>
      </c>
      <c r="Z746" s="5">
        <f>+$P746*BL746</f>
        <v>0</v>
      </c>
      <c r="AA746" s="5">
        <f>+$P746*BM746</f>
        <v>0</v>
      </c>
      <c r="AB746" s="5">
        <f>+$P746*BN746</f>
        <v>0</v>
      </c>
      <c r="AC746" s="5">
        <v>0</v>
      </c>
      <c r="AD746" s="5">
        <f>+$AC746*BC746</f>
        <v>0</v>
      </c>
      <c r="AE746" s="5">
        <f>+$AC746*BD746</f>
        <v>0</v>
      </c>
      <c r="AF746" s="5">
        <f>+$AC746*BE746</f>
        <v>0</v>
      </c>
      <c r="AG746" s="5">
        <f>+$AC746*BF746</f>
        <v>0</v>
      </c>
      <c r="AH746" s="5">
        <f>+$AC746*BG746</f>
        <v>0</v>
      </c>
      <c r="AI746" s="5">
        <f>+$AC746*BH746</f>
        <v>0</v>
      </c>
      <c r="AJ746" s="5">
        <f>+$AC746*BI746</f>
        <v>0</v>
      </c>
      <c r="AK746" s="5">
        <f>+$AC746*BJ746</f>
        <v>0</v>
      </c>
      <c r="AL746" s="5">
        <f>+$AC746*BK746</f>
        <v>0</v>
      </c>
      <c r="AM746" s="5">
        <f>+$AC746*BL746</f>
        <v>0</v>
      </c>
      <c r="AN746" s="5">
        <f>+$AC746*BM746</f>
        <v>0</v>
      </c>
      <c r="AO746" s="5">
        <f>+$AC746*BN746</f>
        <v>0</v>
      </c>
      <c r="AP746" s="5">
        <f>+AC746+P746+C746</f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2">
        <v>8.9181565948742242E-2</v>
      </c>
      <c r="BD746" s="2">
        <v>0.10665277883445198</v>
      </c>
      <c r="BE746" s="2">
        <v>9.438849084854764E-2</v>
      </c>
      <c r="BF746" s="2">
        <v>7.149564986855049E-2</v>
      </c>
      <c r="BG746" s="2">
        <v>0.10368571810536763</v>
      </c>
      <c r="BH746" s="2">
        <v>8.4970330952544637E-2</v>
      </c>
      <c r="BI746" s="2">
        <v>8.4593878877262704E-2</v>
      </c>
      <c r="BJ746" s="2">
        <v>5.7447105462779965E-2</v>
      </c>
      <c r="BK746" s="2">
        <v>8.5153852345557474E-2</v>
      </c>
      <c r="BL746" s="2">
        <v>7.4158058913035174E-2</v>
      </c>
      <c r="BM746" s="2">
        <v>7.5718189192107169E-2</v>
      </c>
      <c r="BN746" s="2">
        <v>7.3955559365675619E-2</v>
      </c>
    </row>
    <row r="747" spans="1:66" x14ac:dyDescent="0.25">
      <c r="A747" s="8">
        <v>5331</v>
      </c>
      <c r="B747" s="8" t="s">
        <v>249</v>
      </c>
      <c r="C747" s="5">
        <v>0</v>
      </c>
      <c r="D747" s="5">
        <f>+$C747*BC747</f>
        <v>0</v>
      </c>
      <c r="E747" s="5">
        <f>+$C747*BD747</f>
        <v>0</v>
      </c>
      <c r="F747" s="5">
        <f>+$C747*BE747</f>
        <v>0</v>
      </c>
      <c r="G747" s="5">
        <f>+$C747*BF747</f>
        <v>0</v>
      </c>
      <c r="H747" s="5">
        <f>+$C747*BG747</f>
        <v>0</v>
      </c>
      <c r="I747" s="5">
        <f>+$C747*BH747</f>
        <v>0</v>
      </c>
      <c r="J747" s="5">
        <f>+$C747*BI747</f>
        <v>0</v>
      </c>
      <c r="K747" s="5">
        <f>+$C747*BJ747</f>
        <v>0</v>
      </c>
      <c r="L747" s="5">
        <f>+$C747*BK747</f>
        <v>0</v>
      </c>
      <c r="M747" s="5">
        <f>+$C747*BL747</f>
        <v>0</v>
      </c>
      <c r="N747" s="5">
        <f>+$C747*BM747</f>
        <v>0</v>
      </c>
      <c r="O747" s="5">
        <f>+$C747*BN747</f>
        <v>0</v>
      </c>
      <c r="P747" s="5">
        <v>0</v>
      </c>
      <c r="Q747" s="5">
        <f>+$P747*BC747</f>
        <v>0</v>
      </c>
      <c r="R747" s="5">
        <f>+$P747*BD747</f>
        <v>0</v>
      </c>
      <c r="S747" s="5">
        <f>+$P747*BE747</f>
        <v>0</v>
      </c>
      <c r="T747" s="5">
        <f>+$P747*BF747</f>
        <v>0</v>
      </c>
      <c r="U747" s="5">
        <f>+$P747*BG747</f>
        <v>0</v>
      </c>
      <c r="V747" s="5">
        <f>+$P747*BH747</f>
        <v>0</v>
      </c>
      <c r="W747" s="5">
        <f>+$P747*BI747</f>
        <v>0</v>
      </c>
      <c r="X747" s="5">
        <f>+$P747*BJ747</f>
        <v>0</v>
      </c>
      <c r="Y747" s="5">
        <f>+$P747*BK747</f>
        <v>0</v>
      </c>
      <c r="Z747" s="5">
        <f>+$P747*BL747</f>
        <v>0</v>
      </c>
      <c r="AA747" s="5">
        <f>+$P747*BM747</f>
        <v>0</v>
      </c>
      <c r="AB747" s="5">
        <f>+$P747*BN747</f>
        <v>0</v>
      </c>
      <c r="AC747" s="5">
        <v>0</v>
      </c>
      <c r="AD747" s="5">
        <f>+$AC747*BC747</f>
        <v>0</v>
      </c>
      <c r="AE747" s="5">
        <f>+$AC747*BD747</f>
        <v>0</v>
      </c>
      <c r="AF747" s="5">
        <f>+$AC747*BE747</f>
        <v>0</v>
      </c>
      <c r="AG747" s="5">
        <f>+$AC747*BF747</f>
        <v>0</v>
      </c>
      <c r="AH747" s="5">
        <f>+$AC747*BG747</f>
        <v>0</v>
      </c>
      <c r="AI747" s="5">
        <f>+$AC747*BH747</f>
        <v>0</v>
      </c>
      <c r="AJ747" s="5">
        <f>+$AC747*BI747</f>
        <v>0</v>
      </c>
      <c r="AK747" s="5">
        <f>+$AC747*BJ747</f>
        <v>0</v>
      </c>
      <c r="AL747" s="5">
        <f>+$AC747*BK747</f>
        <v>0</v>
      </c>
      <c r="AM747" s="5">
        <f>+$AC747*BL747</f>
        <v>0</v>
      </c>
      <c r="AN747" s="5">
        <f>+$AC747*BM747</f>
        <v>0</v>
      </c>
      <c r="AO747" s="5">
        <f>+$AC747*BN747</f>
        <v>0</v>
      </c>
      <c r="AP747" s="5">
        <f>+AC747+P747+C747</f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2">
        <v>8.9181565948742242E-2</v>
      </c>
      <c r="BD747" s="2">
        <v>0.10665277883445198</v>
      </c>
      <c r="BE747" s="2">
        <v>9.438849084854764E-2</v>
      </c>
      <c r="BF747" s="2">
        <v>7.149564986855049E-2</v>
      </c>
      <c r="BG747" s="2">
        <v>0.10368571810536763</v>
      </c>
      <c r="BH747" s="2">
        <v>8.4970330952544637E-2</v>
      </c>
      <c r="BI747" s="2">
        <v>8.4593878877262704E-2</v>
      </c>
      <c r="BJ747" s="2">
        <v>5.7447105462779965E-2</v>
      </c>
      <c r="BK747" s="2">
        <v>8.5153852345557474E-2</v>
      </c>
      <c r="BL747" s="2">
        <v>7.4158058913035174E-2</v>
      </c>
      <c r="BM747" s="2">
        <v>7.5718189192107169E-2</v>
      </c>
      <c r="BN747" s="2">
        <v>7.3955559365675619E-2</v>
      </c>
    </row>
    <row r="748" spans="1:66" x14ac:dyDescent="0.25">
      <c r="A748" s="8">
        <v>5332</v>
      </c>
      <c r="B748" s="8" t="s">
        <v>248</v>
      </c>
      <c r="C748" s="5">
        <v>0</v>
      </c>
      <c r="D748" s="5">
        <f>+$C748*BC748</f>
        <v>0</v>
      </c>
      <c r="E748" s="5">
        <f>+$C748*BD748</f>
        <v>0</v>
      </c>
      <c r="F748" s="5">
        <f>+$C748*BE748</f>
        <v>0</v>
      </c>
      <c r="G748" s="5">
        <f>+$C748*BF748</f>
        <v>0</v>
      </c>
      <c r="H748" s="5">
        <f>+$C748*BG748</f>
        <v>0</v>
      </c>
      <c r="I748" s="5">
        <f>+$C748*BH748</f>
        <v>0</v>
      </c>
      <c r="J748" s="5">
        <f>+$C748*BI748</f>
        <v>0</v>
      </c>
      <c r="K748" s="5">
        <f>+$C748*BJ748</f>
        <v>0</v>
      </c>
      <c r="L748" s="5">
        <f>+$C748*BK748</f>
        <v>0</v>
      </c>
      <c r="M748" s="5">
        <f>+$C748*BL748</f>
        <v>0</v>
      </c>
      <c r="N748" s="5">
        <f>+$C748*BM748</f>
        <v>0</v>
      </c>
      <c r="O748" s="5">
        <f>+$C748*BN748</f>
        <v>0</v>
      </c>
      <c r="P748" s="5">
        <v>0</v>
      </c>
      <c r="Q748" s="5">
        <f>+$P748*BC748</f>
        <v>0</v>
      </c>
      <c r="R748" s="5">
        <f>+$P748*BD748</f>
        <v>0</v>
      </c>
      <c r="S748" s="5">
        <f>+$P748*BE748</f>
        <v>0</v>
      </c>
      <c r="T748" s="5">
        <f>+$P748*BF748</f>
        <v>0</v>
      </c>
      <c r="U748" s="5">
        <f>+$P748*BG748</f>
        <v>0</v>
      </c>
      <c r="V748" s="5">
        <f>+$P748*BH748</f>
        <v>0</v>
      </c>
      <c r="W748" s="5">
        <f>+$P748*BI748</f>
        <v>0</v>
      </c>
      <c r="X748" s="5">
        <f>+$P748*BJ748</f>
        <v>0</v>
      </c>
      <c r="Y748" s="5">
        <f>+$P748*BK748</f>
        <v>0</v>
      </c>
      <c r="Z748" s="5">
        <f>+$P748*BL748</f>
        <v>0</v>
      </c>
      <c r="AA748" s="5">
        <f>+$P748*BM748</f>
        <v>0</v>
      </c>
      <c r="AB748" s="5">
        <f>+$P748*BN748</f>
        <v>0</v>
      </c>
      <c r="AC748" s="5">
        <v>0</v>
      </c>
      <c r="AD748" s="5">
        <f>+$AC748*BC748</f>
        <v>0</v>
      </c>
      <c r="AE748" s="5">
        <f>+$AC748*BD748</f>
        <v>0</v>
      </c>
      <c r="AF748" s="5">
        <f>+$AC748*BE748</f>
        <v>0</v>
      </c>
      <c r="AG748" s="5">
        <f>+$AC748*BF748</f>
        <v>0</v>
      </c>
      <c r="AH748" s="5">
        <f>+$AC748*BG748</f>
        <v>0</v>
      </c>
      <c r="AI748" s="5">
        <f>+$AC748*BH748</f>
        <v>0</v>
      </c>
      <c r="AJ748" s="5">
        <f>+$AC748*BI748</f>
        <v>0</v>
      </c>
      <c r="AK748" s="5">
        <f>+$AC748*BJ748</f>
        <v>0</v>
      </c>
      <c r="AL748" s="5">
        <f>+$AC748*BK748</f>
        <v>0</v>
      </c>
      <c r="AM748" s="5">
        <f>+$AC748*BL748</f>
        <v>0</v>
      </c>
      <c r="AN748" s="5">
        <f>+$AC748*BM748</f>
        <v>0</v>
      </c>
      <c r="AO748" s="5">
        <f>+$AC748*BN748</f>
        <v>0</v>
      </c>
      <c r="AP748" s="5">
        <f>+AC748+P748+C748</f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2">
        <v>8.9181565948742242E-2</v>
      </c>
      <c r="BD748" s="2">
        <v>0.10665277883445198</v>
      </c>
      <c r="BE748" s="2">
        <v>9.438849084854764E-2</v>
      </c>
      <c r="BF748" s="2">
        <v>7.149564986855049E-2</v>
      </c>
      <c r="BG748" s="2">
        <v>0.10368571810536763</v>
      </c>
      <c r="BH748" s="2">
        <v>8.4970330952544637E-2</v>
      </c>
      <c r="BI748" s="2">
        <v>8.4593878877262704E-2</v>
      </c>
      <c r="BJ748" s="2">
        <v>5.7447105462779965E-2</v>
      </c>
      <c r="BK748" s="2">
        <v>8.5153852345557474E-2</v>
      </c>
      <c r="BL748" s="2">
        <v>7.4158058913035174E-2</v>
      </c>
      <c r="BM748" s="2">
        <v>7.5718189192107169E-2</v>
      </c>
      <c r="BN748" s="2">
        <v>7.3955559365675619E-2</v>
      </c>
    </row>
    <row r="749" spans="1:66" x14ac:dyDescent="0.25">
      <c r="A749" s="8">
        <v>5340</v>
      </c>
      <c r="B749" s="8" t="s">
        <v>247</v>
      </c>
      <c r="C749" s="5">
        <v>500</v>
      </c>
      <c r="D749" s="5">
        <f>+$C749*BC749</f>
        <v>44.590782974371123</v>
      </c>
      <c r="E749" s="5">
        <f>+$C749*BD749</f>
        <v>53.32638941722599</v>
      </c>
      <c r="F749" s="5">
        <f>+$C749*BE749</f>
        <v>47.194245424273824</v>
      </c>
      <c r="G749" s="5">
        <f>+$C749*BF749</f>
        <v>35.747824934275243</v>
      </c>
      <c r="H749" s="5">
        <f>+$C749*BG749</f>
        <v>51.842859052683814</v>
      </c>
      <c r="I749" s="5">
        <f>+$C749*BH749</f>
        <v>42.485165476272321</v>
      </c>
      <c r="J749" s="5">
        <f>+$C749*BI749</f>
        <v>42.296939438631355</v>
      </c>
      <c r="K749" s="5">
        <f>+$C749*BJ749</f>
        <v>28.723552731389983</v>
      </c>
      <c r="L749" s="5">
        <f>+$C749*BK749</f>
        <v>42.576926172778734</v>
      </c>
      <c r="M749" s="5">
        <f>+$C749*BL749</f>
        <v>37.079029456517588</v>
      </c>
      <c r="N749" s="5">
        <f>+$C749*BM749</f>
        <v>37.859094596053588</v>
      </c>
      <c r="O749" s="5">
        <f>+$C749*BN749</f>
        <v>36.977779682837813</v>
      </c>
      <c r="P749" s="5">
        <v>0</v>
      </c>
      <c r="Q749" s="5">
        <f>+$P749*BC749</f>
        <v>0</v>
      </c>
      <c r="R749" s="5">
        <f>+$P749*BD749</f>
        <v>0</v>
      </c>
      <c r="S749" s="5">
        <f>+$P749*BE749</f>
        <v>0</v>
      </c>
      <c r="T749" s="5">
        <f>+$P749*BF749</f>
        <v>0</v>
      </c>
      <c r="U749" s="5">
        <f>+$P749*BG749</f>
        <v>0</v>
      </c>
      <c r="V749" s="5">
        <f>+$P749*BH749</f>
        <v>0</v>
      </c>
      <c r="W749" s="5">
        <f>+$P749*BI749</f>
        <v>0</v>
      </c>
      <c r="X749" s="5">
        <f>+$P749*BJ749</f>
        <v>0</v>
      </c>
      <c r="Y749" s="5">
        <f>+$P749*BK749</f>
        <v>0</v>
      </c>
      <c r="Z749" s="5">
        <f>+$P749*BL749</f>
        <v>0</v>
      </c>
      <c r="AA749" s="5">
        <f>+$P749*BM749</f>
        <v>0</v>
      </c>
      <c r="AB749" s="5">
        <f>+$P749*BN749</f>
        <v>0</v>
      </c>
      <c r="AC749" s="5">
        <v>0</v>
      </c>
      <c r="AD749" s="5">
        <f>+$AC749*BC749</f>
        <v>0</v>
      </c>
      <c r="AE749" s="5">
        <f>+$AC749*BD749</f>
        <v>0</v>
      </c>
      <c r="AF749" s="5">
        <f>+$AC749*BE749</f>
        <v>0</v>
      </c>
      <c r="AG749" s="5">
        <f>+$AC749*BF749</f>
        <v>0</v>
      </c>
      <c r="AH749" s="5">
        <f>+$AC749*BG749</f>
        <v>0</v>
      </c>
      <c r="AI749" s="5">
        <f>+$AC749*BH749</f>
        <v>0</v>
      </c>
      <c r="AJ749" s="5">
        <f>+$AC749*BI749</f>
        <v>0</v>
      </c>
      <c r="AK749" s="5">
        <f>+$AC749*BJ749</f>
        <v>0</v>
      </c>
      <c r="AL749" s="5">
        <f>+$AC749*BK749</f>
        <v>0</v>
      </c>
      <c r="AM749" s="5">
        <f>+$AC749*BL749</f>
        <v>0</v>
      </c>
      <c r="AN749" s="5">
        <f>+$AC749*BM749</f>
        <v>0</v>
      </c>
      <c r="AO749" s="5">
        <f>+$AC749*BN749</f>
        <v>0</v>
      </c>
      <c r="AP749" s="5">
        <f>+AC749+P749+C749</f>
        <v>500</v>
      </c>
      <c r="AQ749" s="1">
        <v>24.642650302956461</v>
      </c>
      <c r="AR749" s="1">
        <v>29.470295847535777</v>
      </c>
      <c r="AS749" s="1">
        <v>26.081427791270688</v>
      </c>
      <c r="AT749" s="1">
        <v>19.755677971677876</v>
      </c>
      <c r="AU749" s="1">
        <v>28.650437626875188</v>
      </c>
      <c r="AV749" s="1">
        <v>23.479001848807137</v>
      </c>
      <c r="AW749" s="1">
        <v>23.374980611365235</v>
      </c>
      <c r="AX749" s="1">
        <v>15.873784181475363</v>
      </c>
      <c r="AY749" s="1">
        <v>23.529712480124445</v>
      </c>
      <c r="AZ749" s="1">
        <v>20.491354838849883</v>
      </c>
      <c r="BA749" s="1">
        <v>20.922450037563056</v>
      </c>
      <c r="BB749" s="1">
        <v>20.435400163923489</v>
      </c>
      <c r="BC749" s="2">
        <v>8.9181565948742242E-2</v>
      </c>
      <c r="BD749" s="2">
        <v>0.10665277883445198</v>
      </c>
      <c r="BE749" s="2">
        <v>9.438849084854764E-2</v>
      </c>
      <c r="BF749" s="2">
        <v>7.149564986855049E-2</v>
      </c>
      <c r="BG749" s="2">
        <v>0.10368571810536763</v>
      </c>
      <c r="BH749" s="2">
        <v>8.4970330952544637E-2</v>
      </c>
      <c r="BI749" s="2">
        <v>8.4593878877262704E-2</v>
      </c>
      <c r="BJ749" s="2">
        <v>5.7447105462779965E-2</v>
      </c>
      <c r="BK749" s="2">
        <v>8.5153852345557474E-2</v>
      </c>
      <c r="BL749" s="2">
        <v>7.4158058913035174E-2</v>
      </c>
      <c r="BM749" s="2">
        <v>7.5718189192107169E-2</v>
      </c>
      <c r="BN749" s="2">
        <v>7.3955559365675619E-2</v>
      </c>
    </row>
    <row r="750" spans="1:66" x14ac:dyDescent="0.25">
      <c r="A750" s="8">
        <v>5341</v>
      </c>
      <c r="B750" s="8" t="s">
        <v>246</v>
      </c>
      <c r="C750" s="5">
        <v>0</v>
      </c>
      <c r="D750" s="5">
        <f>+$C750*BC750</f>
        <v>0</v>
      </c>
      <c r="E750" s="5">
        <f>+$C750*BD750</f>
        <v>0</v>
      </c>
      <c r="F750" s="5">
        <f>+$C750*BE750</f>
        <v>0</v>
      </c>
      <c r="G750" s="5">
        <f>+$C750*BF750</f>
        <v>0</v>
      </c>
      <c r="H750" s="5">
        <f>+$C750*BG750</f>
        <v>0</v>
      </c>
      <c r="I750" s="5">
        <f>+$C750*BH750</f>
        <v>0</v>
      </c>
      <c r="J750" s="5">
        <f>+$C750*BI750</f>
        <v>0</v>
      </c>
      <c r="K750" s="5">
        <f>+$C750*BJ750</f>
        <v>0</v>
      </c>
      <c r="L750" s="5">
        <f>+$C750*BK750</f>
        <v>0</v>
      </c>
      <c r="M750" s="5">
        <f>+$C750*BL750</f>
        <v>0</v>
      </c>
      <c r="N750" s="5">
        <f>+$C750*BM750</f>
        <v>0</v>
      </c>
      <c r="O750" s="5">
        <f>+$C750*BN750</f>
        <v>0</v>
      </c>
      <c r="P750" s="5">
        <v>0</v>
      </c>
      <c r="Q750" s="5">
        <f>+$P750*BC750</f>
        <v>0</v>
      </c>
      <c r="R750" s="5">
        <f>+$P750*BD750</f>
        <v>0</v>
      </c>
      <c r="S750" s="5">
        <f>+$P750*BE750</f>
        <v>0</v>
      </c>
      <c r="T750" s="5">
        <f>+$P750*BF750</f>
        <v>0</v>
      </c>
      <c r="U750" s="5">
        <f>+$P750*BG750</f>
        <v>0</v>
      </c>
      <c r="V750" s="5">
        <f>+$P750*BH750</f>
        <v>0</v>
      </c>
      <c r="W750" s="5">
        <f>+$P750*BI750</f>
        <v>0</v>
      </c>
      <c r="X750" s="5">
        <f>+$P750*BJ750</f>
        <v>0</v>
      </c>
      <c r="Y750" s="5">
        <f>+$P750*BK750</f>
        <v>0</v>
      </c>
      <c r="Z750" s="5">
        <f>+$P750*BL750</f>
        <v>0</v>
      </c>
      <c r="AA750" s="5">
        <f>+$P750*BM750</f>
        <v>0</v>
      </c>
      <c r="AB750" s="5">
        <f>+$P750*BN750</f>
        <v>0</v>
      </c>
      <c r="AC750" s="5">
        <v>0</v>
      </c>
      <c r="AD750" s="5">
        <f>+$AC750*BC750</f>
        <v>0</v>
      </c>
      <c r="AE750" s="5">
        <f>+$AC750*BD750</f>
        <v>0</v>
      </c>
      <c r="AF750" s="5">
        <f>+$AC750*BE750</f>
        <v>0</v>
      </c>
      <c r="AG750" s="5">
        <f>+$AC750*BF750</f>
        <v>0</v>
      </c>
      <c r="AH750" s="5">
        <f>+$AC750*BG750</f>
        <v>0</v>
      </c>
      <c r="AI750" s="5">
        <f>+$AC750*BH750</f>
        <v>0</v>
      </c>
      <c r="AJ750" s="5">
        <f>+$AC750*BI750</f>
        <v>0</v>
      </c>
      <c r="AK750" s="5">
        <f>+$AC750*BJ750</f>
        <v>0</v>
      </c>
      <c r="AL750" s="5">
        <f>+$AC750*BK750</f>
        <v>0</v>
      </c>
      <c r="AM750" s="5">
        <f>+$AC750*BL750</f>
        <v>0</v>
      </c>
      <c r="AN750" s="5">
        <f>+$AC750*BM750</f>
        <v>0</v>
      </c>
      <c r="AO750" s="5">
        <f>+$AC750*BN750</f>
        <v>0</v>
      </c>
      <c r="AP750" s="5">
        <f>+AC750+P750+C750</f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2">
        <v>8.9181565948742242E-2</v>
      </c>
      <c r="BD750" s="2">
        <v>0.10665277883445198</v>
      </c>
      <c r="BE750" s="2">
        <v>9.438849084854764E-2</v>
      </c>
      <c r="BF750" s="2">
        <v>7.149564986855049E-2</v>
      </c>
      <c r="BG750" s="2">
        <v>0.10368571810536763</v>
      </c>
      <c r="BH750" s="2">
        <v>8.4970330952544637E-2</v>
      </c>
      <c r="BI750" s="2">
        <v>8.4593878877262704E-2</v>
      </c>
      <c r="BJ750" s="2">
        <v>5.7447105462779965E-2</v>
      </c>
      <c r="BK750" s="2">
        <v>8.5153852345557474E-2</v>
      </c>
      <c r="BL750" s="2">
        <v>7.4158058913035174E-2</v>
      </c>
      <c r="BM750" s="2">
        <v>7.5718189192107169E-2</v>
      </c>
      <c r="BN750" s="2">
        <v>7.3955559365675619E-2</v>
      </c>
    </row>
    <row r="751" spans="1:66" x14ac:dyDescent="0.25">
      <c r="A751" s="8">
        <v>5344</v>
      </c>
      <c r="B751" s="8" t="s">
        <v>245</v>
      </c>
      <c r="C751" s="5">
        <v>0</v>
      </c>
      <c r="D751" s="5">
        <f>+$C751*BC751</f>
        <v>0</v>
      </c>
      <c r="E751" s="5">
        <f>+$C751*BD751</f>
        <v>0</v>
      </c>
      <c r="F751" s="5">
        <f>+$C751*BE751</f>
        <v>0</v>
      </c>
      <c r="G751" s="5">
        <f>+$C751*BF751</f>
        <v>0</v>
      </c>
      <c r="H751" s="5">
        <f>+$C751*BG751</f>
        <v>0</v>
      </c>
      <c r="I751" s="5">
        <f>+$C751*BH751</f>
        <v>0</v>
      </c>
      <c r="J751" s="5">
        <f>+$C751*BI751</f>
        <v>0</v>
      </c>
      <c r="K751" s="5">
        <f>+$C751*BJ751</f>
        <v>0</v>
      </c>
      <c r="L751" s="5">
        <f>+$C751*BK751</f>
        <v>0</v>
      </c>
      <c r="M751" s="5">
        <f>+$C751*BL751</f>
        <v>0</v>
      </c>
      <c r="N751" s="5">
        <f>+$C751*BM751</f>
        <v>0</v>
      </c>
      <c r="O751" s="5">
        <f>+$C751*BN751</f>
        <v>0</v>
      </c>
      <c r="P751" s="5">
        <v>0</v>
      </c>
      <c r="Q751" s="5">
        <f>+$P751*BC751</f>
        <v>0</v>
      </c>
      <c r="R751" s="5">
        <f>+$P751*BD751</f>
        <v>0</v>
      </c>
      <c r="S751" s="5">
        <f>+$P751*BE751</f>
        <v>0</v>
      </c>
      <c r="T751" s="5">
        <f>+$P751*BF751</f>
        <v>0</v>
      </c>
      <c r="U751" s="5">
        <f>+$P751*BG751</f>
        <v>0</v>
      </c>
      <c r="V751" s="5">
        <f>+$P751*BH751</f>
        <v>0</v>
      </c>
      <c r="W751" s="5">
        <f>+$P751*BI751</f>
        <v>0</v>
      </c>
      <c r="X751" s="5">
        <f>+$P751*BJ751</f>
        <v>0</v>
      </c>
      <c r="Y751" s="5">
        <f>+$P751*BK751</f>
        <v>0</v>
      </c>
      <c r="Z751" s="5">
        <f>+$P751*BL751</f>
        <v>0</v>
      </c>
      <c r="AA751" s="5">
        <f>+$P751*BM751</f>
        <v>0</v>
      </c>
      <c r="AB751" s="5">
        <f>+$P751*BN751</f>
        <v>0</v>
      </c>
      <c r="AC751" s="5">
        <v>0</v>
      </c>
      <c r="AD751" s="5">
        <f>+$AC751*BC751</f>
        <v>0</v>
      </c>
      <c r="AE751" s="5">
        <f>+$AC751*BD751</f>
        <v>0</v>
      </c>
      <c r="AF751" s="5">
        <f>+$AC751*BE751</f>
        <v>0</v>
      </c>
      <c r="AG751" s="5">
        <f>+$AC751*BF751</f>
        <v>0</v>
      </c>
      <c r="AH751" s="5">
        <f>+$AC751*BG751</f>
        <v>0</v>
      </c>
      <c r="AI751" s="5">
        <f>+$AC751*BH751</f>
        <v>0</v>
      </c>
      <c r="AJ751" s="5">
        <f>+$AC751*BI751</f>
        <v>0</v>
      </c>
      <c r="AK751" s="5">
        <f>+$AC751*BJ751</f>
        <v>0</v>
      </c>
      <c r="AL751" s="5">
        <f>+$AC751*BK751</f>
        <v>0</v>
      </c>
      <c r="AM751" s="5">
        <f>+$AC751*BL751</f>
        <v>0</v>
      </c>
      <c r="AN751" s="5">
        <f>+$AC751*BM751</f>
        <v>0</v>
      </c>
      <c r="AO751" s="5">
        <f>+$AC751*BN751</f>
        <v>0</v>
      </c>
      <c r="AP751" s="5">
        <f>+AC751+P751+C751</f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2">
        <v>8.9181565948742242E-2</v>
      </c>
      <c r="BD751" s="2">
        <v>0.10665277883445198</v>
      </c>
      <c r="BE751" s="2">
        <v>9.438849084854764E-2</v>
      </c>
      <c r="BF751" s="2">
        <v>7.149564986855049E-2</v>
      </c>
      <c r="BG751" s="2">
        <v>0.10368571810536763</v>
      </c>
      <c r="BH751" s="2">
        <v>8.4970330952544637E-2</v>
      </c>
      <c r="BI751" s="2">
        <v>8.4593878877262704E-2</v>
      </c>
      <c r="BJ751" s="2">
        <v>5.7447105462779965E-2</v>
      </c>
      <c r="BK751" s="2">
        <v>8.5153852345557474E-2</v>
      </c>
      <c r="BL751" s="2">
        <v>7.4158058913035174E-2</v>
      </c>
      <c r="BM751" s="2">
        <v>7.5718189192107169E-2</v>
      </c>
      <c r="BN751" s="2">
        <v>7.3955559365675619E-2</v>
      </c>
    </row>
    <row r="752" spans="1:66" x14ac:dyDescent="0.25">
      <c r="A752" s="8">
        <v>5366</v>
      </c>
      <c r="B752" s="8" t="s">
        <v>244</v>
      </c>
      <c r="C752" s="5">
        <v>0</v>
      </c>
      <c r="D752" s="5">
        <f>+$C752*BC752</f>
        <v>0</v>
      </c>
      <c r="E752" s="5">
        <f>+$C752*BD752</f>
        <v>0</v>
      </c>
      <c r="F752" s="5">
        <f>+$C752*BE752</f>
        <v>0</v>
      </c>
      <c r="G752" s="5">
        <f>+$C752*BF752</f>
        <v>0</v>
      </c>
      <c r="H752" s="5">
        <f>+$C752*BG752</f>
        <v>0</v>
      </c>
      <c r="I752" s="5">
        <f>+$C752*BH752</f>
        <v>0</v>
      </c>
      <c r="J752" s="5">
        <f>+$C752*BI752</f>
        <v>0</v>
      </c>
      <c r="K752" s="5">
        <f>+$C752*BJ752</f>
        <v>0</v>
      </c>
      <c r="L752" s="5">
        <f>+$C752*BK752</f>
        <v>0</v>
      </c>
      <c r="M752" s="5">
        <f>+$C752*BL752</f>
        <v>0</v>
      </c>
      <c r="N752" s="5">
        <f>+$C752*BM752</f>
        <v>0</v>
      </c>
      <c r="O752" s="5">
        <f>+$C752*BN752</f>
        <v>0</v>
      </c>
      <c r="P752" s="5">
        <v>0</v>
      </c>
      <c r="Q752" s="5">
        <f>+$P752*BC752</f>
        <v>0</v>
      </c>
      <c r="R752" s="5">
        <f>+$P752*BD752</f>
        <v>0</v>
      </c>
      <c r="S752" s="5">
        <f>+$P752*BE752</f>
        <v>0</v>
      </c>
      <c r="T752" s="5">
        <f>+$P752*BF752</f>
        <v>0</v>
      </c>
      <c r="U752" s="5">
        <f>+$P752*BG752</f>
        <v>0</v>
      </c>
      <c r="V752" s="5">
        <f>+$P752*BH752</f>
        <v>0</v>
      </c>
      <c r="W752" s="5">
        <f>+$P752*BI752</f>
        <v>0</v>
      </c>
      <c r="X752" s="5">
        <f>+$P752*BJ752</f>
        <v>0</v>
      </c>
      <c r="Y752" s="5">
        <f>+$P752*BK752</f>
        <v>0</v>
      </c>
      <c r="Z752" s="5">
        <f>+$P752*BL752</f>
        <v>0</v>
      </c>
      <c r="AA752" s="5">
        <f>+$P752*BM752</f>
        <v>0</v>
      </c>
      <c r="AB752" s="5">
        <f>+$P752*BN752</f>
        <v>0</v>
      </c>
      <c r="AC752" s="5">
        <v>0</v>
      </c>
      <c r="AD752" s="5">
        <f>+$AC752*BC752</f>
        <v>0</v>
      </c>
      <c r="AE752" s="5">
        <f>+$AC752*BD752</f>
        <v>0</v>
      </c>
      <c r="AF752" s="5">
        <f>+$AC752*BE752</f>
        <v>0</v>
      </c>
      <c r="AG752" s="5">
        <f>+$AC752*BF752</f>
        <v>0</v>
      </c>
      <c r="AH752" s="5">
        <f>+$AC752*BG752</f>
        <v>0</v>
      </c>
      <c r="AI752" s="5">
        <f>+$AC752*BH752</f>
        <v>0</v>
      </c>
      <c r="AJ752" s="5">
        <f>+$AC752*BI752</f>
        <v>0</v>
      </c>
      <c r="AK752" s="5">
        <f>+$AC752*BJ752</f>
        <v>0</v>
      </c>
      <c r="AL752" s="5">
        <f>+$AC752*BK752</f>
        <v>0</v>
      </c>
      <c r="AM752" s="5">
        <f>+$AC752*BL752</f>
        <v>0</v>
      </c>
      <c r="AN752" s="5">
        <f>+$AC752*BM752</f>
        <v>0</v>
      </c>
      <c r="AO752" s="5">
        <f>+$AC752*BN752</f>
        <v>0</v>
      </c>
      <c r="AP752" s="5">
        <f>+AC752+P752+C752</f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2">
        <v>8.9181565948742242E-2</v>
      </c>
      <c r="BD752" s="2">
        <v>0.10665277883445198</v>
      </c>
      <c r="BE752" s="2">
        <v>9.438849084854764E-2</v>
      </c>
      <c r="BF752" s="2">
        <v>7.149564986855049E-2</v>
      </c>
      <c r="BG752" s="2">
        <v>0.10368571810536763</v>
      </c>
      <c r="BH752" s="2">
        <v>8.4970330952544637E-2</v>
      </c>
      <c r="BI752" s="2">
        <v>8.4593878877262704E-2</v>
      </c>
      <c r="BJ752" s="2">
        <v>5.7447105462779965E-2</v>
      </c>
      <c r="BK752" s="2">
        <v>8.5153852345557474E-2</v>
      </c>
      <c r="BL752" s="2">
        <v>7.4158058913035174E-2</v>
      </c>
      <c r="BM752" s="2">
        <v>7.5718189192107169E-2</v>
      </c>
      <c r="BN752" s="2">
        <v>7.3955559365675619E-2</v>
      </c>
    </row>
    <row r="753" spans="1:66" x14ac:dyDescent="0.25">
      <c r="A753" s="8">
        <v>5367</v>
      </c>
      <c r="B753" s="8" t="s">
        <v>243</v>
      </c>
      <c r="C753" s="5">
        <v>0</v>
      </c>
      <c r="D753" s="5">
        <f>+$C753*BC753</f>
        <v>0</v>
      </c>
      <c r="E753" s="5">
        <f>+$C753*BD753</f>
        <v>0</v>
      </c>
      <c r="F753" s="5">
        <f>+$C753*BE753</f>
        <v>0</v>
      </c>
      <c r="G753" s="5">
        <f>+$C753*BF753</f>
        <v>0</v>
      </c>
      <c r="H753" s="5">
        <f>+$C753*BG753</f>
        <v>0</v>
      </c>
      <c r="I753" s="5">
        <f>+$C753*BH753</f>
        <v>0</v>
      </c>
      <c r="J753" s="5">
        <f>+$C753*BI753</f>
        <v>0</v>
      </c>
      <c r="K753" s="5">
        <f>+$C753*BJ753</f>
        <v>0</v>
      </c>
      <c r="L753" s="5">
        <f>+$C753*BK753</f>
        <v>0</v>
      </c>
      <c r="M753" s="5">
        <f>+$C753*BL753</f>
        <v>0</v>
      </c>
      <c r="N753" s="5">
        <f>+$C753*BM753</f>
        <v>0</v>
      </c>
      <c r="O753" s="5">
        <f>+$C753*BN753</f>
        <v>0</v>
      </c>
      <c r="P753" s="5">
        <v>0</v>
      </c>
      <c r="Q753" s="5">
        <f>+$P753*BC753</f>
        <v>0</v>
      </c>
      <c r="R753" s="5">
        <f>+$P753*BD753</f>
        <v>0</v>
      </c>
      <c r="S753" s="5">
        <f>+$P753*BE753</f>
        <v>0</v>
      </c>
      <c r="T753" s="5">
        <f>+$P753*BF753</f>
        <v>0</v>
      </c>
      <c r="U753" s="5">
        <f>+$P753*BG753</f>
        <v>0</v>
      </c>
      <c r="V753" s="5">
        <f>+$P753*BH753</f>
        <v>0</v>
      </c>
      <c r="W753" s="5">
        <f>+$P753*BI753</f>
        <v>0</v>
      </c>
      <c r="X753" s="5">
        <f>+$P753*BJ753</f>
        <v>0</v>
      </c>
      <c r="Y753" s="5">
        <f>+$P753*BK753</f>
        <v>0</v>
      </c>
      <c r="Z753" s="5">
        <f>+$P753*BL753</f>
        <v>0</v>
      </c>
      <c r="AA753" s="5">
        <f>+$P753*BM753</f>
        <v>0</v>
      </c>
      <c r="AB753" s="5">
        <f>+$P753*BN753</f>
        <v>0</v>
      </c>
      <c r="AC753" s="5">
        <v>0</v>
      </c>
      <c r="AD753" s="5">
        <f>+$AC753*BC753</f>
        <v>0</v>
      </c>
      <c r="AE753" s="5">
        <f>+$AC753*BD753</f>
        <v>0</v>
      </c>
      <c r="AF753" s="5">
        <f>+$AC753*BE753</f>
        <v>0</v>
      </c>
      <c r="AG753" s="5">
        <f>+$AC753*BF753</f>
        <v>0</v>
      </c>
      <c r="AH753" s="5">
        <f>+$AC753*BG753</f>
        <v>0</v>
      </c>
      <c r="AI753" s="5">
        <f>+$AC753*BH753</f>
        <v>0</v>
      </c>
      <c r="AJ753" s="5">
        <f>+$AC753*BI753</f>
        <v>0</v>
      </c>
      <c r="AK753" s="5">
        <f>+$AC753*BJ753</f>
        <v>0</v>
      </c>
      <c r="AL753" s="5">
        <f>+$AC753*BK753</f>
        <v>0</v>
      </c>
      <c r="AM753" s="5">
        <f>+$AC753*BL753</f>
        <v>0</v>
      </c>
      <c r="AN753" s="5">
        <f>+$AC753*BM753</f>
        <v>0</v>
      </c>
      <c r="AO753" s="5">
        <f>+$AC753*BN753</f>
        <v>0</v>
      </c>
      <c r="AP753" s="5">
        <f>+AC753+P753+C753</f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2">
        <v>8.9181565948742242E-2</v>
      </c>
      <c r="BD753" s="2">
        <v>0.10665277883445198</v>
      </c>
      <c r="BE753" s="2">
        <v>9.438849084854764E-2</v>
      </c>
      <c r="BF753" s="2">
        <v>7.149564986855049E-2</v>
      </c>
      <c r="BG753" s="2">
        <v>0.10368571810536763</v>
      </c>
      <c r="BH753" s="2">
        <v>8.4970330952544637E-2</v>
      </c>
      <c r="BI753" s="2">
        <v>8.4593878877262704E-2</v>
      </c>
      <c r="BJ753" s="2">
        <v>5.7447105462779965E-2</v>
      </c>
      <c r="BK753" s="2">
        <v>8.5153852345557474E-2</v>
      </c>
      <c r="BL753" s="2">
        <v>7.4158058913035174E-2</v>
      </c>
      <c r="BM753" s="2">
        <v>7.5718189192107169E-2</v>
      </c>
      <c r="BN753" s="2">
        <v>7.3955559365675619E-2</v>
      </c>
    </row>
    <row r="754" spans="1:66" x14ac:dyDescent="0.25">
      <c r="A754" s="8">
        <v>5368</v>
      </c>
      <c r="B754" s="8" t="s">
        <v>242</v>
      </c>
      <c r="C754" s="5">
        <v>0</v>
      </c>
      <c r="D754" s="5">
        <f>+$C754*BC754</f>
        <v>0</v>
      </c>
      <c r="E754" s="5">
        <f>+$C754*BD754</f>
        <v>0</v>
      </c>
      <c r="F754" s="5">
        <f>+$C754*BE754</f>
        <v>0</v>
      </c>
      <c r="G754" s="5">
        <f>+$C754*BF754</f>
        <v>0</v>
      </c>
      <c r="H754" s="5">
        <f>+$C754*BG754</f>
        <v>0</v>
      </c>
      <c r="I754" s="5">
        <f>+$C754*BH754</f>
        <v>0</v>
      </c>
      <c r="J754" s="5">
        <f>+$C754*BI754</f>
        <v>0</v>
      </c>
      <c r="K754" s="5">
        <f>+$C754*BJ754</f>
        <v>0</v>
      </c>
      <c r="L754" s="5">
        <f>+$C754*BK754</f>
        <v>0</v>
      </c>
      <c r="M754" s="5">
        <f>+$C754*BL754</f>
        <v>0</v>
      </c>
      <c r="N754" s="5">
        <f>+$C754*BM754</f>
        <v>0</v>
      </c>
      <c r="O754" s="5">
        <f>+$C754*BN754</f>
        <v>0</v>
      </c>
      <c r="P754" s="5">
        <v>500</v>
      </c>
      <c r="Q754" s="5">
        <f>+$P754*BC754</f>
        <v>44.590782974371123</v>
      </c>
      <c r="R754" s="5">
        <f>+$P754*BD754</f>
        <v>53.32638941722599</v>
      </c>
      <c r="S754" s="5">
        <f>+$P754*BE754</f>
        <v>47.194245424273824</v>
      </c>
      <c r="T754" s="5">
        <f>+$P754*BF754</f>
        <v>35.747824934275243</v>
      </c>
      <c r="U754" s="5">
        <f>+$P754*BG754</f>
        <v>51.842859052683814</v>
      </c>
      <c r="V754" s="5">
        <f>+$P754*BH754</f>
        <v>42.485165476272321</v>
      </c>
      <c r="W754" s="5">
        <f>+$P754*BI754</f>
        <v>42.296939438631355</v>
      </c>
      <c r="X754" s="5">
        <f>+$P754*BJ754</f>
        <v>28.723552731389983</v>
      </c>
      <c r="Y754" s="5">
        <f>+$P754*BK754</f>
        <v>42.576926172778734</v>
      </c>
      <c r="Z754" s="5">
        <f>+$P754*BL754</f>
        <v>37.079029456517588</v>
      </c>
      <c r="AA754" s="5">
        <f>+$P754*BM754</f>
        <v>37.859094596053588</v>
      </c>
      <c r="AB754" s="5">
        <f>+$P754*BN754</f>
        <v>36.977779682837813</v>
      </c>
      <c r="AC754" s="5">
        <v>0</v>
      </c>
      <c r="AD754" s="5">
        <f>+$AC754*BC754</f>
        <v>0</v>
      </c>
      <c r="AE754" s="5">
        <f>+$AC754*BD754</f>
        <v>0</v>
      </c>
      <c r="AF754" s="5">
        <f>+$AC754*BE754</f>
        <v>0</v>
      </c>
      <c r="AG754" s="5">
        <f>+$AC754*BF754</f>
        <v>0</v>
      </c>
      <c r="AH754" s="5">
        <f>+$AC754*BG754</f>
        <v>0</v>
      </c>
      <c r="AI754" s="5">
        <f>+$AC754*BH754</f>
        <v>0</v>
      </c>
      <c r="AJ754" s="5">
        <f>+$AC754*BI754</f>
        <v>0</v>
      </c>
      <c r="AK754" s="5">
        <f>+$AC754*BJ754</f>
        <v>0</v>
      </c>
      <c r="AL754" s="5">
        <f>+$AC754*BK754</f>
        <v>0</v>
      </c>
      <c r="AM754" s="5">
        <f>+$AC754*BL754</f>
        <v>0</v>
      </c>
      <c r="AN754" s="5">
        <f>+$AC754*BM754</f>
        <v>0</v>
      </c>
      <c r="AO754" s="5">
        <f>+$AC754*BN754</f>
        <v>0</v>
      </c>
      <c r="AP754" s="5">
        <f>+AC754+P754+C754</f>
        <v>500</v>
      </c>
      <c r="AQ754" s="1">
        <v>0.67492609110008128</v>
      </c>
      <c r="AR754" s="1">
        <v>0.80714823021913262</v>
      </c>
      <c r="AS754" s="1">
        <v>0.71433209874180859</v>
      </c>
      <c r="AT754" s="1">
        <v>0.54107907820519019</v>
      </c>
      <c r="AU754" s="1">
        <v>0.78469351462142223</v>
      </c>
      <c r="AV754" s="1">
        <v>0.64305546464885788</v>
      </c>
      <c r="AW754" s="1">
        <v>0.64020647534312414</v>
      </c>
      <c r="AX754" s="1">
        <v>0.4347596941423188</v>
      </c>
      <c r="AY754" s="1">
        <v>0.64444435455117899</v>
      </c>
      <c r="AZ754" s="1">
        <v>0.56122818985385026</v>
      </c>
      <c r="BA754" s="1">
        <v>0.57303525580586712</v>
      </c>
      <c r="BB754" s="1">
        <v>0.55969567327943315</v>
      </c>
      <c r="BC754" s="2">
        <v>8.9181565948742242E-2</v>
      </c>
      <c r="BD754" s="2">
        <v>0.10665277883445198</v>
      </c>
      <c r="BE754" s="2">
        <v>9.438849084854764E-2</v>
      </c>
      <c r="BF754" s="2">
        <v>7.149564986855049E-2</v>
      </c>
      <c r="BG754" s="2">
        <v>0.10368571810536763</v>
      </c>
      <c r="BH754" s="2">
        <v>8.4970330952544637E-2</v>
      </c>
      <c r="BI754" s="2">
        <v>8.4593878877262704E-2</v>
      </c>
      <c r="BJ754" s="2">
        <v>5.7447105462779965E-2</v>
      </c>
      <c r="BK754" s="2">
        <v>8.5153852345557474E-2</v>
      </c>
      <c r="BL754" s="2">
        <v>7.4158058913035174E-2</v>
      </c>
      <c r="BM754" s="2">
        <v>7.5718189192107169E-2</v>
      </c>
      <c r="BN754" s="2">
        <v>7.3955559365675619E-2</v>
      </c>
    </row>
    <row r="755" spans="1:66" x14ac:dyDescent="0.25">
      <c r="A755" s="8">
        <v>5369</v>
      </c>
      <c r="B755" s="8" t="s">
        <v>241</v>
      </c>
      <c r="C755" s="5">
        <v>0</v>
      </c>
      <c r="D755" s="5">
        <f>+$C755*BC755</f>
        <v>0</v>
      </c>
      <c r="E755" s="5">
        <f>+$C755*BD755</f>
        <v>0</v>
      </c>
      <c r="F755" s="5">
        <f>+$C755*BE755</f>
        <v>0</v>
      </c>
      <c r="G755" s="5">
        <f>+$C755*BF755</f>
        <v>0</v>
      </c>
      <c r="H755" s="5">
        <f>+$C755*BG755</f>
        <v>0</v>
      </c>
      <c r="I755" s="5">
        <f>+$C755*BH755</f>
        <v>0</v>
      </c>
      <c r="J755" s="5">
        <f>+$C755*BI755</f>
        <v>0</v>
      </c>
      <c r="K755" s="5">
        <f>+$C755*BJ755</f>
        <v>0</v>
      </c>
      <c r="L755" s="5">
        <f>+$C755*BK755</f>
        <v>0</v>
      </c>
      <c r="M755" s="5">
        <f>+$C755*BL755</f>
        <v>0</v>
      </c>
      <c r="N755" s="5">
        <f>+$C755*BM755</f>
        <v>0</v>
      </c>
      <c r="O755" s="5">
        <f>+$C755*BN755</f>
        <v>0</v>
      </c>
      <c r="P755" s="5">
        <v>0</v>
      </c>
      <c r="Q755" s="5">
        <f>+$P755*BC755</f>
        <v>0</v>
      </c>
      <c r="R755" s="5">
        <f>+$P755*BD755</f>
        <v>0</v>
      </c>
      <c r="S755" s="5">
        <f>+$P755*BE755</f>
        <v>0</v>
      </c>
      <c r="T755" s="5">
        <f>+$P755*BF755</f>
        <v>0</v>
      </c>
      <c r="U755" s="5">
        <f>+$P755*BG755</f>
        <v>0</v>
      </c>
      <c r="V755" s="5">
        <f>+$P755*BH755</f>
        <v>0</v>
      </c>
      <c r="W755" s="5">
        <f>+$P755*BI755</f>
        <v>0</v>
      </c>
      <c r="X755" s="5">
        <f>+$P755*BJ755</f>
        <v>0</v>
      </c>
      <c r="Y755" s="5">
        <f>+$P755*BK755</f>
        <v>0</v>
      </c>
      <c r="Z755" s="5">
        <f>+$P755*BL755</f>
        <v>0</v>
      </c>
      <c r="AA755" s="5">
        <f>+$P755*BM755</f>
        <v>0</v>
      </c>
      <c r="AB755" s="5">
        <f>+$P755*BN755</f>
        <v>0</v>
      </c>
      <c r="AC755" s="5">
        <v>0</v>
      </c>
      <c r="AD755" s="5">
        <f>+$AC755*BC755</f>
        <v>0</v>
      </c>
      <c r="AE755" s="5">
        <f>+$AC755*BD755</f>
        <v>0</v>
      </c>
      <c r="AF755" s="5">
        <f>+$AC755*BE755</f>
        <v>0</v>
      </c>
      <c r="AG755" s="5">
        <f>+$AC755*BF755</f>
        <v>0</v>
      </c>
      <c r="AH755" s="5">
        <f>+$AC755*BG755</f>
        <v>0</v>
      </c>
      <c r="AI755" s="5">
        <f>+$AC755*BH755</f>
        <v>0</v>
      </c>
      <c r="AJ755" s="5">
        <f>+$AC755*BI755</f>
        <v>0</v>
      </c>
      <c r="AK755" s="5">
        <f>+$AC755*BJ755</f>
        <v>0</v>
      </c>
      <c r="AL755" s="5">
        <f>+$AC755*BK755</f>
        <v>0</v>
      </c>
      <c r="AM755" s="5">
        <f>+$AC755*BL755</f>
        <v>0</v>
      </c>
      <c r="AN755" s="5">
        <f>+$AC755*BM755</f>
        <v>0</v>
      </c>
      <c r="AO755" s="5">
        <f>+$AC755*BN755</f>
        <v>0</v>
      </c>
      <c r="AP755" s="5">
        <f>+AC755+P755+C755</f>
        <v>0</v>
      </c>
      <c r="AQ755" s="1">
        <v>121.13353739685761</v>
      </c>
      <c r="AR755" s="1">
        <v>144.86433643525945</v>
      </c>
      <c r="AS755" s="1">
        <v>128.20599934976528</v>
      </c>
      <c r="AT755" s="1">
        <v>97.111111303454763</v>
      </c>
      <c r="AU755" s="1">
        <v>140.83423718815874</v>
      </c>
      <c r="AV755" s="1">
        <v>115.41350112622233</v>
      </c>
      <c r="AW755" s="1">
        <v>114.90217380140838</v>
      </c>
      <c r="AX755" s="1">
        <v>78.029254407984766</v>
      </c>
      <c r="AY755" s="1">
        <v>115.6627745639238</v>
      </c>
      <c r="AZ755" s="1">
        <v>100.72740826039741</v>
      </c>
      <c r="BA755" s="1">
        <v>102.84650201585532</v>
      </c>
      <c r="BB755" s="1">
        <v>100.45235717520988</v>
      </c>
      <c r="BC755" s="2">
        <v>8.9181565948742242E-2</v>
      </c>
      <c r="BD755" s="2">
        <v>0.10665277883445198</v>
      </c>
      <c r="BE755" s="2">
        <v>9.438849084854764E-2</v>
      </c>
      <c r="BF755" s="2">
        <v>7.149564986855049E-2</v>
      </c>
      <c r="BG755" s="2">
        <v>0.10368571810536763</v>
      </c>
      <c r="BH755" s="2">
        <v>8.4970330952544637E-2</v>
      </c>
      <c r="BI755" s="2">
        <v>8.4593878877262704E-2</v>
      </c>
      <c r="BJ755" s="2">
        <v>5.7447105462779965E-2</v>
      </c>
      <c r="BK755" s="2">
        <v>8.5153852345557474E-2</v>
      </c>
      <c r="BL755" s="2">
        <v>7.4158058913035174E-2</v>
      </c>
      <c r="BM755" s="2">
        <v>7.5718189192107169E-2</v>
      </c>
      <c r="BN755" s="2">
        <v>7.3955559365675619E-2</v>
      </c>
    </row>
    <row r="756" spans="1:66" x14ac:dyDescent="0.25">
      <c r="A756" s="8">
        <v>5374</v>
      </c>
      <c r="B756" s="8" t="s">
        <v>240</v>
      </c>
      <c r="C756" s="5">
        <v>0</v>
      </c>
      <c r="D756" s="5">
        <f>+$C756*BC756</f>
        <v>0</v>
      </c>
      <c r="E756" s="5">
        <f>+$C756*BD756</f>
        <v>0</v>
      </c>
      <c r="F756" s="5">
        <f>+$C756*BE756</f>
        <v>0</v>
      </c>
      <c r="G756" s="5">
        <f>+$C756*BF756</f>
        <v>0</v>
      </c>
      <c r="H756" s="5">
        <f>+$C756*BG756</f>
        <v>0</v>
      </c>
      <c r="I756" s="5">
        <f>+$C756*BH756</f>
        <v>0</v>
      </c>
      <c r="J756" s="5">
        <f>+$C756*BI756</f>
        <v>0</v>
      </c>
      <c r="K756" s="5">
        <f>+$C756*BJ756</f>
        <v>0</v>
      </c>
      <c r="L756" s="5">
        <f>+$C756*BK756</f>
        <v>0</v>
      </c>
      <c r="M756" s="5">
        <f>+$C756*BL756</f>
        <v>0</v>
      </c>
      <c r="N756" s="5">
        <f>+$C756*BM756</f>
        <v>0</v>
      </c>
      <c r="O756" s="5">
        <f>+$C756*BN756</f>
        <v>0</v>
      </c>
      <c r="P756" s="5">
        <v>0</v>
      </c>
      <c r="Q756" s="5">
        <f>+$P756*BC756</f>
        <v>0</v>
      </c>
      <c r="R756" s="5">
        <f>+$P756*BD756</f>
        <v>0</v>
      </c>
      <c r="S756" s="5">
        <f>+$P756*BE756</f>
        <v>0</v>
      </c>
      <c r="T756" s="5">
        <f>+$P756*BF756</f>
        <v>0</v>
      </c>
      <c r="U756" s="5">
        <f>+$P756*BG756</f>
        <v>0</v>
      </c>
      <c r="V756" s="5">
        <f>+$P756*BH756</f>
        <v>0</v>
      </c>
      <c r="W756" s="5">
        <f>+$P756*BI756</f>
        <v>0</v>
      </c>
      <c r="X756" s="5">
        <f>+$P756*BJ756</f>
        <v>0</v>
      </c>
      <c r="Y756" s="5">
        <f>+$P756*BK756</f>
        <v>0</v>
      </c>
      <c r="Z756" s="5">
        <f>+$P756*BL756</f>
        <v>0</v>
      </c>
      <c r="AA756" s="5">
        <f>+$P756*BM756</f>
        <v>0</v>
      </c>
      <c r="AB756" s="5">
        <f>+$P756*BN756</f>
        <v>0</v>
      </c>
      <c r="AC756" s="5">
        <v>0</v>
      </c>
      <c r="AD756" s="5">
        <f>+$AC756*BC756</f>
        <v>0</v>
      </c>
      <c r="AE756" s="5">
        <f>+$AC756*BD756</f>
        <v>0</v>
      </c>
      <c r="AF756" s="5">
        <f>+$AC756*BE756</f>
        <v>0</v>
      </c>
      <c r="AG756" s="5">
        <f>+$AC756*BF756</f>
        <v>0</v>
      </c>
      <c r="AH756" s="5">
        <f>+$AC756*BG756</f>
        <v>0</v>
      </c>
      <c r="AI756" s="5">
        <f>+$AC756*BH756</f>
        <v>0</v>
      </c>
      <c r="AJ756" s="5">
        <f>+$AC756*BI756</f>
        <v>0</v>
      </c>
      <c r="AK756" s="5">
        <f>+$AC756*BJ756</f>
        <v>0</v>
      </c>
      <c r="AL756" s="5">
        <f>+$AC756*BK756</f>
        <v>0</v>
      </c>
      <c r="AM756" s="5">
        <f>+$AC756*BL756</f>
        <v>0</v>
      </c>
      <c r="AN756" s="5">
        <f>+$AC756*BM756</f>
        <v>0</v>
      </c>
      <c r="AO756" s="5">
        <f>+$AC756*BN756</f>
        <v>0</v>
      </c>
      <c r="AP756" s="5">
        <f>+AC756+P756+C756</f>
        <v>0</v>
      </c>
      <c r="AQ756" s="1">
        <v>0.5885983352616988</v>
      </c>
      <c r="AR756" s="1">
        <v>0.70390834030738314</v>
      </c>
      <c r="AS756" s="1">
        <v>0.62296403960041447</v>
      </c>
      <c r="AT756" s="1">
        <v>0.47187128913243326</v>
      </c>
      <c r="AU756" s="1">
        <v>0.68432573949542641</v>
      </c>
      <c r="AV756" s="1">
        <v>0.56080418428679468</v>
      </c>
      <c r="AW756" s="1">
        <v>0.55831960058993391</v>
      </c>
      <c r="AX756" s="1">
        <v>0.37915089605434782</v>
      </c>
      <c r="AY756" s="1">
        <v>0.5620154254806794</v>
      </c>
      <c r="AZ756" s="1">
        <v>0.48944318882603222</v>
      </c>
      <c r="BA756" s="1">
        <v>0.49974004866790733</v>
      </c>
      <c r="BB756" s="1">
        <v>0.48810669181345911</v>
      </c>
      <c r="BC756" s="2">
        <v>8.9181565948742242E-2</v>
      </c>
      <c r="BD756" s="2">
        <v>0.10665277883445198</v>
      </c>
      <c r="BE756" s="2">
        <v>9.438849084854764E-2</v>
      </c>
      <c r="BF756" s="2">
        <v>7.149564986855049E-2</v>
      </c>
      <c r="BG756" s="2">
        <v>0.10368571810536763</v>
      </c>
      <c r="BH756" s="2">
        <v>8.4970330952544637E-2</v>
      </c>
      <c r="BI756" s="2">
        <v>8.4593878877262704E-2</v>
      </c>
      <c r="BJ756" s="2">
        <v>5.7447105462779965E-2</v>
      </c>
      <c r="BK756" s="2">
        <v>8.5153852345557474E-2</v>
      </c>
      <c r="BL756" s="2">
        <v>7.4158058913035174E-2</v>
      </c>
      <c r="BM756" s="2">
        <v>7.5718189192107169E-2</v>
      </c>
      <c r="BN756" s="2">
        <v>7.3955559365675619E-2</v>
      </c>
    </row>
    <row r="757" spans="1:66" x14ac:dyDescent="0.25">
      <c r="A757" s="8">
        <v>5377</v>
      </c>
      <c r="B757" s="8" t="s">
        <v>239</v>
      </c>
      <c r="C757" s="5">
        <v>0</v>
      </c>
      <c r="D757" s="5">
        <f>+$C757*BC757</f>
        <v>0</v>
      </c>
      <c r="E757" s="5">
        <f>+$C757*BD757</f>
        <v>0</v>
      </c>
      <c r="F757" s="5">
        <f>+$C757*BE757</f>
        <v>0</v>
      </c>
      <c r="G757" s="5">
        <f>+$C757*BF757</f>
        <v>0</v>
      </c>
      <c r="H757" s="5">
        <f>+$C757*BG757</f>
        <v>0</v>
      </c>
      <c r="I757" s="5">
        <f>+$C757*BH757</f>
        <v>0</v>
      </c>
      <c r="J757" s="5">
        <f>+$C757*BI757</f>
        <v>0</v>
      </c>
      <c r="K757" s="5">
        <f>+$C757*BJ757</f>
        <v>0</v>
      </c>
      <c r="L757" s="5">
        <f>+$C757*BK757</f>
        <v>0</v>
      </c>
      <c r="M757" s="5">
        <f>+$C757*BL757</f>
        <v>0</v>
      </c>
      <c r="N757" s="5">
        <f>+$C757*BM757</f>
        <v>0</v>
      </c>
      <c r="O757" s="5">
        <f>+$C757*BN757</f>
        <v>0</v>
      </c>
      <c r="P757" s="5">
        <v>0</v>
      </c>
      <c r="Q757" s="5">
        <f>+$P757*BC757</f>
        <v>0</v>
      </c>
      <c r="R757" s="5">
        <f>+$P757*BD757</f>
        <v>0</v>
      </c>
      <c r="S757" s="5">
        <f>+$P757*BE757</f>
        <v>0</v>
      </c>
      <c r="T757" s="5">
        <f>+$P757*BF757</f>
        <v>0</v>
      </c>
      <c r="U757" s="5">
        <f>+$P757*BG757</f>
        <v>0</v>
      </c>
      <c r="V757" s="5">
        <f>+$P757*BH757</f>
        <v>0</v>
      </c>
      <c r="W757" s="5">
        <f>+$P757*BI757</f>
        <v>0</v>
      </c>
      <c r="X757" s="5">
        <f>+$P757*BJ757</f>
        <v>0</v>
      </c>
      <c r="Y757" s="5">
        <f>+$P757*BK757</f>
        <v>0</v>
      </c>
      <c r="Z757" s="5">
        <f>+$P757*BL757</f>
        <v>0</v>
      </c>
      <c r="AA757" s="5">
        <f>+$P757*BM757</f>
        <v>0</v>
      </c>
      <c r="AB757" s="5">
        <f>+$P757*BN757</f>
        <v>0</v>
      </c>
      <c r="AC757" s="5">
        <v>0</v>
      </c>
      <c r="AD757" s="5">
        <f>+$AC757*BC757</f>
        <v>0</v>
      </c>
      <c r="AE757" s="5">
        <f>+$AC757*BD757</f>
        <v>0</v>
      </c>
      <c r="AF757" s="5">
        <f>+$AC757*BE757</f>
        <v>0</v>
      </c>
      <c r="AG757" s="5">
        <f>+$AC757*BF757</f>
        <v>0</v>
      </c>
      <c r="AH757" s="5">
        <f>+$AC757*BG757</f>
        <v>0</v>
      </c>
      <c r="AI757" s="5">
        <f>+$AC757*BH757</f>
        <v>0</v>
      </c>
      <c r="AJ757" s="5">
        <f>+$AC757*BI757</f>
        <v>0</v>
      </c>
      <c r="AK757" s="5">
        <f>+$AC757*BJ757</f>
        <v>0</v>
      </c>
      <c r="AL757" s="5">
        <f>+$AC757*BK757</f>
        <v>0</v>
      </c>
      <c r="AM757" s="5">
        <f>+$AC757*BL757</f>
        <v>0</v>
      </c>
      <c r="AN757" s="5">
        <f>+$AC757*BM757</f>
        <v>0</v>
      </c>
      <c r="AO757" s="5">
        <f>+$AC757*BN757</f>
        <v>0</v>
      </c>
      <c r="AP757" s="5">
        <f>+AC757+P757+C757</f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2">
        <v>8.9181565948742242E-2</v>
      </c>
      <c r="BD757" s="2">
        <v>0.10665277883445198</v>
      </c>
      <c r="BE757" s="2">
        <v>9.438849084854764E-2</v>
      </c>
      <c r="BF757" s="2">
        <v>7.149564986855049E-2</v>
      </c>
      <c r="BG757" s="2">
        <v>0.10368571810536763</v>
      </c>
      <c r="BH757" s="2">
        <v>8.4970330952544637E-2</v>
      </c>
      <c r="BI757" s="2">
        <v>8.4593878877262704E-2</v>
      </c>
      <c r="BJ757" s="2">
        <v>5.7447105462779965E-2</v>
      </c>
      <c r="BK757" s="2">
        <v>8.5153852345557474E-2</v>
      </c>
      <c r="BL757" s="2">
        <v>7.4158058913035174E-2</v>
      </c>
      <c r="BM757" s="2">
        <v>7.5718189192107169E-2</v>
      </c>
      <c r="BN757" s="2">
        <v>7.3955559365675619E-2</v>
      </c>
    </row>
    <row r="758" spans="1:66" x14ac:dyDescent="0.25">
      <c r="A758" s="8">
        <v>5384</v>
      </c>
      <c r="B758" s="8" t="s">
        <v>238</v>
      </c>
      <c r="C758" s="5">
        <v>0</v>
      </c>
      <c r="D758" s="5">
        <f>+$C758*BC758</f>
        <v>0</v>
      </c>
      <c r="E758" s="5">
        <f>+$C758*BD758</f>
        <v>0</v>
      </c>
      <c r="F758" s="5">
        <f>+$C758*BE758</f>
        <v>0</v>
      </c>
      <c r="G758" s="5">
        <f>+$C758*BF758</f>
        <v>0</v>
      </c>
      <c r="H758" s="5">
        <f>+$C758*BG758</f>
        <v>0</v>
      </c>
      <c r="I758" s="5">
        <f>+$C758*BH758</f>
        <v>0</v>
      </c>
      <c r="J758" s="5">
        <f>+$C758*BI758</f>
        <v>0</v>
      </c>
      <c r="K758" s="5">
        <f>+$C758*BJ758</f>
        <v>0</v>
      </c>
      <c r="L758" s="5">
        <f>+$C758*BK758</f>
        <v>0</v>
      </c>
      <c r="M758" s="5">
        <f>+$C758*BL758</f>
        <v>0</v>
      </c>
      <c r="N758" s="5">
        <f>+$C758*BM758</f>
        <v>0</v>
      </c>
      <c r="O758" s="5">
        <f>+$C758*BN758</f>
        <v>0</v>
      </c>
      <c r="P758" s="5">
        <v>0</v>
      </c>
      <c r="Q758" s="5">
        <f>+$P758*BC758</f>
        <v>0</v>
      </c>
      <c r="R758" s="5">
        <f>+$P758*BD758</f>
        <v>0</v>
      </c>
      <c r="S758" s="5">
        <f>+$P758*BE758</f>
        <v>0</v>
      </c>
      <c r="T758" s="5">
        <f>+$P758*BF758</f>
        <v>0</v>
      </c>
      <c r="U758" s="5">
        <f>+$P758*BG758</f>
        <v>0</v>
      </c>
      <c r="V758" s="5">
        <f>+$P758*BH758</f>
        <v>0</v>
      </c>
      <c r="W758" s="5">
        <f>+$P758*BI758</f>
        <v>0</v>
      </c>
      <c r="X758" s="5">
        <f>+$P758*BJ758</f>
        <v>0</v>
      </c>
      <c r="Y758" s="5">
        <f>+$P758*BK758</f>
        <v>0</v>
      </c>
      <c r="Z758" s="5">
        <f>+$P758*BL758</f>
        <v>0</v>
      </c>
      <c r="AA758" s="5">
        <f>+$P758*BM758</f>
        <v>0</v>
      </c>
      <c r="AB758" s="5">
        <f>+$P758*BN758</f>
        <v>0</v>
      </c>
      <c r="AC758" s="5">
        <v>0</v>
      </c>
      <c r="AD758" s="5">
        <f>+$AC758*BC758</f>
        <v>0</v>
      </c>
      <c r="AE758" s="5">
        <f>+$AC758*BD758</f>
        <v>0</v>
      </c>
      <c r="AF758" s="5">
        <f>+$AC758*BE758</f>
        <v>0</v>
      </c>
      <c r="AG758" s="5">
        <f>+$AC758*BF758</f>
        <v>0</v>
      </c>
      <c r="AH758" s="5">
        <f>+$AC758*BG758</f>
        <v>0</v>
      </c>
      <c r="AI758" s="5">
        <f>+$AC758*BH758</f>
        <v>0</v>
      </c>
      <c r="AJ758" s="5">
        <f>+$AC758*BI758</f>
        <v>0</v>
      </c>
      <c r="AK758" s="5">
        <f>+$AC758*BJ758</f>
        <v>0</v>
      </c>
      <c r="AL758" s="5">
        <f>+$AC758*BK758</f>
        <v>0</v>
      </c>
      <c r="AM758" s="5">
        <f>+$AC758*BL758</f>
        <v>0</v>
      </c>
      <c r="AN758" s="5">
        <f>+$AC758*BM758</f>
        <v>0</v>
      </c>
      <c r="AO758" s="5">
        <f>+$AC758*BN758</f>
        <v>0</v>
      </c>
      <c r="AP758" s="5">
        <f>+AC758+P758+C758</f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2">
        <v>8.9181565948742242E-2</v>
      </c>
      <c r="BD758" s="2">
        <v>0.10665277883445198</v>
      </c>
      <c r="BE758" s="2">
        <v>9.438849084854764E-2</v>
      </c>
      <c r="BF758" s="2">
        <v>7.149564986855049E-2</v>
      </c>
      <c r="BG758" s="2">
        <v>0.10368571810536763</v>
      </c>
      <c r="BH758" s="2">
        <v>8.4970330952544637E-2</v>
      </c>
      <c r="BI758" s="2">
        <v>8.4593878877262704E-2</v>
      </c>
      <c r="BJ758" s="2">
        <v>5.7447105462779965E-2</v>
      </c>
      <c r="BK758" s="2">
        <v>8.5153852345557474E-2</v>
      </c>
      <c r="BL758" s="2">
        <v>7.4158058913035174E-2</v>
      </c>
      <c r="BM758" s="2">
        <v>7.5718189192107169E-2</v>
      </c>
      <c r="BN758" s="2">
        <v>7.3955559365675619E-2</v>
      </c>
    </row>
    <row r="759" spans="1:66" x14ac:dyDescent="0.25">
      <c r="A759" s="8">
        <v>5385</v>
      </c>
      <c r="B759" s="8" t="s">
        <v>237</v>
      </c>
      <c r="C759" s="5">
        <v>0</v>
      </c>
      <c r="D759" s="5">
        <f>+$C759*BC759</f>
        <v>0</v>
      </c>
      <c r="E759" s="5">
        <f>+$C759*BD759</f>
        <v>0</v>
      </c>
      <c r="F759" s="5">
        <f>+$C759*BE759</f>
        <v>0</v>
      </c>
      <c r="G759" s="5">
        <f>+$C759*BF759</f>
        <v>0</v>
      </c>
      <c r="H759" s="5">
        <f>+$C759*BG759</f>
        <v>0</v>
      </c>
      <c r="I759" s="5">
        <f>+$C759*BH759</f>
        <v>0</v>
      </c>
      <c r="J759" s="5">
        <f>+$C759*BI759</f>
        <v>0</v>
      </c>
      <c r="K759" s="5">
        <f>+$C759*BJ759</f>
        <v>0</v>
      </c>
      <c r="L759" s="5">
        <f>+$C759*BK759</f>
        <v>0</v>
      </c>
      <c r="M759" s="5">
        <f>+$C759*BL759</f>
        <v>0</v>
      </c>
      <c r="N759" s="5">
        <f>+$C759*BM759</f>
        <v>0</v>
      </c>
      <c r="O759" s="5">
        <f>+$C759*BN759</f>
        <v>0</v>
      </c>
      <c r="P759" s="5">
        <v>0</v>
      </c>
      <c r="Q759" s="5">
        <f>+$P759*BC759</f>
        <v>0</v>
      </c>
      <c r="R759" s="5">
        <f>+$P759*BD759</f>
        <v>0</v>
      </c>
      <c r="S759" s="5">
        <f>+$P759*BE759</f>
        <v>0</v>
      </c>
      <c r="T759" s="5">
        <f>+$P759*BF759</f>
        <v>0</v>
      </c>
      <c r="U759" s="5">
        <f>+$P759*BG759</f>
        <v>0</v>
      </c>
      <c r="V759" s="5">
        <f>+$P759*BH759</f>
        <v>0</v>
      </c>
      <c r="W759" s="5">
        <f>+$P759*BI759</f>
        <v>0</v>
      </c>
      <c r="X759" s="5">
        <f>+$P759*BJ759</f>
        <v>0</v>
      </c>
      <c r="Y759" s="5">
        <f>+$P759*BK759</f>
        <v>0</v>
      </c>
      <c r="Z759" s="5">
        <f>+$P759*BL759</f>
        <v>0</v>
      </c>
      <c r="AA759" s="5">
        <f>+$P759*BM759</f>
        <v>0</v>
      </c>
      <c r="AB759" s="5">
        <f>+$P759*BN759</f>
        <v>0</v>
      </c>
      <c r="AC759" s="5">
        <v>0</v>
      </c>
      <c r="AD759" s="5">
        <f>+$AC759*BC759</f>
        <v>0</v>
      </c>
      <c r="AE759" s="5">
        <f>+$AC759*BD759</f>
        <v>0</v>
      </c>
      <c r="AF759" s="5">
        <f>+$AC759*BE759</f>
        <v>0</v>
      </c>
      <c r="AG759" s="5">
        <f>+$AC759*BF759</f>
        <v>0</v>
      </c>
      <c r="AH759" s="5">
        <f>+$AC759*BG759</f>
        <v>0</v>
      </c>
      <c r="AI759" s="5">
        <f>+$AC759*BH759</f>
        <v>0</v>
      </c>
      <c r="AJ759" s="5">
        <f>+$AC759*BI759</f>
        <v>0</v>
      </c>
      <c r="AK759" s="5">
        <f>+$AC759*BJ759</f>
        <v>0</v>
      </c>
      <c r="AL759" s="5">
        <f>+$AC759*BK759</f>
        <v>0</v>
      </c>
      <c r="AM759" s="5">
        <f>+$AC759*BL759</f>
        <v>0</v>
      </c>
      <c r="AN759" s="5">
        <f>+$AC759*BM759</f>
        <v>0</v>
      </c>
      <c r="AO759" s="5">
        <f>+$AC759*BN759</f>
        <v>0</v>
      </c>
      <c r="AP759" s="5">
        <f>+AC759+P759+C759</f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2">
        <v>8.9181565948742242E-2</v>
      </c>
      <c r="BD759" s="2">
        <v>0.10665277883445198</v>
      </c>
      <c r="BE759" s="2">
        <v>9.438849084854764E-2</v>
      </c>
      <c r="BF759" s="2">
        <v>7.149564986855049E-2</v>
      </c>
      <c r="BG759" s="2">
        <v>0.10368571810536763</v>
      </c>
      <c r="BH759" s="2">
        <v>8.4970330952544637E-2</v>
      </c>
      <c r="BI759" s="2">
        <v>8.4593878877262704E-2</v>
      </c>
      <c r="BJ759" s="2">
        <v>5.7447105462779965E-2</v>
      </c>
      <c r="BK759" s="2">
        <v>8.5153852345557474E-2</v>
      </c>
      <c r="BL759" s="2">
        <v>7.4158058913035174E-2</v>
      </c>
      <c r="BM759" s="2">
        <v>7.5718189192107169E-2</v>
      </c>
      <c r="BN759" s="2">
        <v>7.3955559365675619E-2</v>
      </c>
    </row>
    <row r="760" spans="1:66" x14ac:dyDescent="0.25">
      <c r="A760" s="8">
        <v>5387</v>
      </c>
      <c r="B760" s="8" t="s">
        <v>236</v>
      </c>
      <c r="C760" s="5">
        <v>0</v>
      </c>
      <c r="D760" s="5">
        <f>+$C760*BC760</f>
        <v>0</v>
      </c>
      <c r="E760" s="5">
        <f>+$C760*BD760</f>
        <v>0</v>
      </c>
      <c r="F760" s="5">
        <f>+$C760*BE760</f>
        <v>0</v>
      </c>
      <c r="G760" s="5">
        <f>+$C760*BF760</f>
        <v>0</v>
      </c>
      <c r="H760" s="5">
        <f>+$C760*BG760</f>
        <v>0</v>
      </c>
      <c r="I760" s="5">
        <f>+$C760*BH760</f>
        <v>0</v>
      </c>
      <c r="J760" s="5">
        <f>+$C760*BI760</f>
        <v>0</v>
      </c>
      <c r="K760" s="5">
        <f>+$C760*BJ760</f>
        <v>0</v>
      </c>
      <c r="L760" s="5">
        <f>+$C760*BK760</f>
        <v>0</v>
      </c>
      <c r="M760" s="5">
        <f>+$C760*BL760</f>
        <v>0</v>
      </c>
      <c r="N760" s="5">
        <f>+$C760*BM760</f>
        <v>0</v>
      </c>
      <c r="O760" s="5">
        <f>+$C760*BN760</f>
        <v>0</v>
      </c>
      <c r="P760" s="5">
        <v>0</v>
      </c>
      <c r="Q760" s="5">
        <f>+$P760*BC760</f>
        <v>0</v>
      </c>
      <c r="R760" s="5">
        <f>+$P760*BD760</f>
        <v>0</v>
      </c>
      <c r="S760" s="5">
        <f>+$P760*BE760</f>
        <v>0</v>
      </c>
      <c r="T760" s="5">
        <f>+$P760*BF760</f>
        <v>0</v>
      </c>
      <c r="U760" s="5">
        <f>+$P760*BG760</f>
        <v>0</v>
      </c>
      <c r="V760" s="5">
        <f>+$P760*BH760</f>
        <v>0</v>
      </c>
      <c r="W760" s="5">
        <f>+$P760*BI760</f>
        <v>0</v>
      </c>
      <c r="X760" s="5">
        <f>+$P760*BJ760</f>
        <v>0</v>
      </c>
      <c r="Y760" s="5">
        <f>+$P760*BK760</f>
        <v>0</v>
      </c>
      <c r="Z760" s="5">
        <f>+$P760*BL760</f>
        <v>0</v>
      </c>
      <c r="AA760" s="5">
        <f>+$P760*BM760</f>
        <v>0</v>
      </c>
      <c r="AB760" s="5">
        <f>+$P760*BN760</f>
        <v>0</v>
      </c>
      <c r="AC760" s="5">
        <v>0</v>
      </c>
      <c r="AD760" s="5">
        <f>+$AC760*BC760</f>
        <v>0</v>
      </c>
      <c r="AE760" s="5">
        <f>+$AC760*BD760</f>
        <v>0</v>
      </c>
      <c r="AF760" s="5">
        <f>+$AC760*BE760</f>
        <v>0</v>
      </c>
      <c r="AG760" s="5">
        <f>+$AC760*BF760</f>
        <v>0</v>
      </c>
      <c r="AH760" s="5">
        <f>+$AC760*BG760</f>
        <v>0</v>
      </c>
      <c r="AI760" s="5">
        <f>+$AC760*BH760</f>
        <v>0</v>
      </c>
      <c r="AJ760" s="5">
        <f>+$AC760*BI760</f>
        <v>0</v>
      </c>
      <c r="AK760" s="5">
        <f>+$AC760*BJ760</f>
        <v>0</v>
      </c>
      <c r="AL760" s="5">
        <f>+$AC760*BK760</f>
        <v>0</v>
      </c>
      <c r="AM760" s="5">
        <f>+$AC760*BL760</f>
        <v>0</v>
      </c>
      <c r="AN760" s="5">
        <f>+$AC760*BM760</f>
        <v>0</v>
      </c>
      <c r="AO760" s="5">
        <f>+$AC760*BN760</f>
        <v>0</v>
      </c>
      <c r="AP760" s="5">
        <f>+AC760+P760+C760</f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2">
        <v>8.9181565948742242E-2</v>
      </c>
      <c r="BD760" s="2">
        <v>0.10665277883445198</v>
      </c>
      <c r="BE760" s="2">
        <v>9.438849084854764E-2</v>
      </c>
      <c r="BF760" s="2">
        <v>7.149564986855049E-2</v>
      </c>
      <c r="BG760" s="2">
        <v>0.10368571810536763</v>
      </c>
      <c r="BH760" s="2">
        <v>8.4970330952544637E-2</v>
      </c>
      <c r="BI760" s="2">
        <v>8.4593878877262704E-2</v>
      </c>
      <c r="BJ760" s="2">
        <v>5.7447105462779965E-2</v>
      </c>
      <c r="BK760" s="2">
        <v>8.5153852345557474E-2</v>
      </c>
      <c r="BL760" s="2">
        <v>7.4158058913035174E-2</v>
      </c>
      <c r="BM760" s="2">
        <v>7.5718189192107169E-2</v>
      </c>
      <c r="BN760" s="2">
        <v>7.3955559365675619E-2</v>
      </c>
    </row>
    <row r="761" spans="1:66" x14ac:dyDescent="0.25">
      <c r="A761" s="8">
        <v>5389</v>
      </c>
      <c r="B761" s="8" t="s">
        <v>235</v>
      </c>
      <c r="C761" s="5">
        <v>0</v>
      </c>
      <c r="D761" s="5">
        <f>+$C761*BC761</f>
        <v>0</v>
      </c>
      <c r="E761" s="5">
        <f>+$C761*BD761</f>
        <v>0</v>
      </c>
      <c r="F761" s="5">
        <f>+$C761*BE761</f>
        <v>0</v>
      </c>
      <c r="G761" s="5">
        <f>+$C761*BF761</f>
        <v>0</v>
      </c>
      <c r="H761" s="5">
        <f>+$C761*BG761</f>
        <v>0</v>
      </c>
      <c r="I761" s="5">
        <f>+$C761*BH761</f>
        <v>0</v>
      </c>
      <c r="J761" s="5">
        <f>+$C761*BI761</f>
        <v>0</v>
      </c>
      <c r="K761" s="5">
        <f>+$C761*BJ761</f>
        <v>0</v>
      </c>
      <c r="L761" s="5">
        <f>+$C761*BK761</f>
        <v>0</v>
      </c>
      <c r="M761" s="5">
        <f>+$C761*BL761</f>
        <v>0</v>
      </c>
      <c r="N761" s="5">
        <f>+$C761*BM761</f>
        <v>0</v>
      </c>
      <c r="O761" s="5">
        <f>+$C761*BN761</f>
        <v>0</v>
      </c>
      <c r="P761" s="5">
        <v>0</v>
      </c>
      <c r="Q761" s="5">
        <f>+$P761*BC761</f>
        <v>0</v>
      </c>
      <c r="R761" s="5">
        <f>+$P761*BD761</f>
        <v>0</v>
      </c>
      <c r="S761" s="5">
        <f>+$P761*BE761</f>
        <v>0</v>
      </c>
      <c r="T761" s="5">
        <f>+$P761*BF761</f>
        <v>0</v>
      </c>
      <c r="U761" s="5">
        <f>+$P761*BG761</f>
        <v>0</v>
      </c>
      <c r="V761" s="5">
        <f>+$P761*BH761</f>
        <v>0</v>
      </c>
      <c r="W761" s="5">
        <f>+$P761*BI761</f>
        <v>0</v>
      </c>
      <c r="X761" s="5">
        <f>+$P761*BJ761</f>
        <v>0</v>
      </c>
      <c r="Y761" s="5">
        <f>+$P761*BK761</f>
        <v>0</v>
      </c>
      <c r="Z761" s="5">
        <f>+$P761*BL761</f>
        <v>0</v>
      </c>
      <c r="AA761" s="5">
        <f>+$P761*BM761</f>
        <v>0</v>
      </c>
      <c r="AB761" s="5">
        <f>+$P761*BN761</f>
        <v>0</v>
      </c>
      <c r="AC761" s="5">
        <v>0</v>
      </c>
      <c r="AD761" s="5">
        <f>+$AC761*BC761</f>
        <v>0</v>
      </c>
      <c r="AE761" s="5">
        <f>+$AC761*BD761</f>
        <v>0</v>
      </c>
      <c r="AF761" s="5">
        <f>+$AC761*BE761</f>
        <v>0</v>
      </c>
      <c r="AG761" s="5">
        <f>+$AC761*BF761</f>
        <v>0</v>
      </c>
      <c r="AH761" s="5">
        <f>+$AC761*BG761</f>
        <v>0</v>
      </c>
      <c r="AI761" s="5">
        <f>+$AC761*BH761</f>
        <v>0</v>
      </c>
      <c r="AJ761" s="5">
        <f>+$AC761*BI761</f>
        <v>0</v>
      </c>
      <c r="AK761" s="5">
        <f>+$AC761*BJ761</f>
        <v>0</v>
      </c>
      <c r="AL761" s="5">
        <f>+$AC761*BK761</f>
        <v>0</v>
      </c>
      <c r="AM761" s="5">
        <f>+$AC761*BL761</f>
        <v>0</v>
      </c>
      <c r="AN761" s="5">
        <f>+$AC761*BM761</f>
        <v>0</v>
      </c>
      <c r="AO761" s="5">
        <f>+$AC761*BN761</f>
        <v>0</v>
      </c>
      <c r="AP761" s="5">
        <f>+AC761+P761+C761</f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2">
        <v>8.9181565948742242E-2</v>
      </c>
      <c r="BD761" s="2">
        <v>0.10665277883445198</v>
      </c>
      <c r="BE761" s="2">
        <v>9.438849084854764E-2</v>
      </c>
      <c r="BF761" s="2">
        <v>7.149564986855049E-2</v>
      </c>
      <c r="BG761" s="2">
        <v>0.10368571810536763</v>
      </c>
      <c r="BH761" s="2">
        <v>8.4970330952544637E-2</v>
      </c>
      <c r="BI761" s="2">
        <v>8.4593878877262704E-2</v>
      </c>
      <c r="BJ761" s="2">
        <v>5.7447105462779965E-2</v>
      </c>
      <c r="BK761" s="2">
        <v>8.5153852345557474E-2</v>
      </c>
      <c r="BL761" s="2">
        <v>7.4158058913035174E-2</v>
      </c>
      <c r="BM761" s="2">
        <v>7.5718189192107169E-2</v>
      </c>
      <c r="BN761" s="2">
        <v>7.3955559365675619E-2</v>
      </c>
    </row>
    <row r="762" spans="1:66" x14ac:dyDescent="0.25">
      <c r="A762" s="8">
        <v>5399</v>
      </c>
      <c r="B762" s="8" t="s">
        <v>234</v>
      </c>
      <c r="C762" s="5">
        <v>0</v>
      </c>
      <c r="D762" s="5">
        <f>+$C762*BC762</f>
        <v>0</v>
      </c>
      <c r="E762" s="5">
        <f>+$C762*BD762</f>
        <v>0</v>
      </c>
      <c r="F762" s="5">
        <f>+$C762*BE762</f>
        <v>0</v>
      </c>
      <c r="G762" s="5">
        <f>+$C762*BF762</f>
        <v>0</v>
      </c>
      <c r="H762" s="5">
        <f>+$C762*BG762</f>
        <v>0</v>
      </c>
      <c r="I762" s="5">
        <f>+$C762*BH762</f>
        <v>0</v>
      </c>
      <c r="J762" s="5">
        <f>+$C762*BI762</f>
        <v>0</v>
      </c>
      <c r="K762" s="5">
        <f>+$C762*BJ762</f>
        <v>0</v>
      </c>
      <c r="L762" s="5">
        <f>+$C762*BK762</f>
        <v>0</v>
      </c>
      <c r="M762" s="5">
        <f>+$C762*BL762</f>
        <v>0</v>
      </c>
      <c r="N762" s="5">
        <f>+$C762*BM762</f>
        <v>0</v>
      </c>
      <c r="O762" s="5">
        <f>+$C762*BN762</f>
        <v>0</v>
      </c>
      <c r="P762" s="5">
        <v>0</v>
      </c>
      <c r="Q762" s="5">
        <f>+$P762*BC762</f>
        <v>0</v>
      </c>
      <c r="R762" s="5">
        <f>+$P762*BD762</f>
        <v>0</v>
      </c>
      <c r="S762" s="5">
        <f>+$P762*BE762</f>
        <v>0</v>
      </c>
      <c r="T762" s="5">
        <f>+$P762*BF762</f>
        <v>0</v>
      </c>
      <c r="U762" s="5">
        <f>+$P762*BG762</f>
        <v>0</v>
      </c>
      <c r="V762" s="5">
        <f>+$P762*BH762</f>
        <v>0</v>
      </c>
      <c r="W762" s="5">
        <f>+$P762*BI762</f>
        <v>0</v>
      </c>
      <c r="X762" s="5">
        <f>+$P762*BJ762</f>
        <v>0</v>
      </c>
      <c r="Y762" s="5">
        <f>+$P762*BK762</f>
        <v>0</v>
      </c>
      <c r="Z762" s="5">
        <f>+$P762*BL762</f>
        <v>0</v>
      </c>
      <c r="AA762" s="5">
        <f>+$P762*BM762</f>
        <v>0</v>
      </c>
      <c r="AB762" s="5">
        <f>+$P762*BN762</f>
        <v>0</v>
      </c>
      <c r="AC762" s="5">
        <v>0</v>
      </c>
      <c r="AD762" s="5">
        <f>+$AC762*BC762</f>
        <v>0</v>
      </c>
      <c r="AE762" s="5">
        <f>+$AC762*BD762</f>
        <v>0</v>
      </c>
      <c r="AF762" s="5">
        <f>+$AC762*BE762</f>
        <v>0</v>
      </c>
      <c r="AG762" s="5">
        <f>+$AC762*BF762</f>
        <v>0</v>
      </c>
      <c r="AH762" s="5">
        <f>+$AC762*BG762</f>
        <v>0</v>
      </c>
      <c r="AI762" s="5">
        <f>+$AC762*BH762</f>
        <v>0</v>
      </c>
      <c r="AJ762" s="5">
        <f>+$AC762*BI762</f>
        <v>0</v>
      </c>
      <c r="AK762" s="5">
        <f>+$AC762*BJ762</f>
        <v>0</v>
      </c>
      <c r="AL762" s="5">
        <f>+$AC762*BK762</f>
        <v>0</v>
      </c>
      <c r="AM762" s="5">
        <f>+$AC762*BL762</f>
        <v>0</v>
      </c>
      <c r="AN762" s="5">
        <f>+$AC762*BM762</f>
        <v>0</v>
      </c>
      <c r="AO762" s="5">
        <f>+$AC762*BN762</f>
        <v>0</v>
      </c>
      <c r="AP762" s="5">
        <f>+AC762+P762+C762</f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2">
        <v>8.9181565948742242E-2</v>
      </c>
      <c r="BD762" s="2">
        <v>0.10665277883445198</v>
      </c>
      <c r="BE762" s="2">
        <v>9.438849084854764E-2</v>
      </c>
      <c r="BF762" s="2">
        <v>7.149564986855049E-2</v>
      </c>
      <c r="BG762" s="2">
        <v>0.10368571810536763</v>
      </c>
      <c r="BH762" s="2">
        <v>8.4970330952544637E-2</v>
      </c>
      <c r="BI762" s="2">
        <v>8.4593878877262704E-2</v>
      </c>
      <c r="BJ762" s="2">
        <v>5.7447105462779965E-2</v>
      </c>
      <c r="BK762" s="2">
        <v>8.5153852345557474E-2</v>
      </c>
      <c r="BL762" s="2">
        <v>7.4158058913035174E-2</v>
      </c>
      <c r="BM762" s="2">
        <v>7.5718189192107169E-2</v>
      </c>
      <c r="BN762" s="2">
        <v>7.3955559365675619E-2</v>
      </c>
    </row>
    <row r="763" spans="1:66" x14ac:dyDescent="0.25">
      <c r="A763" s="8">
        <v>5401</v>
      </c>
      <c r="B763" s="8" t="s">
        <v>233</v>
      </c>
      <c r="C763" s="5">
        <v>0</v>
      </c>
      <c r="D763" s="5">
        <f>+$C763*BC763</f>
        <v>0</v>
      </c>
      <c r="E763" s="5">
        <f>+$C763*BD763</f>
        <v>0</v>
      </c>
      <c r="F763" s="5">
        <f>+$C763*BE763</f>
        <v>0</v>
      </c>
      <c r="G763" s="5">
        <f>+$C763*BF763</f>
        <v>0</v>
      </c>
      <c r="H763" s="5">
        <f>+$C763*BG763</f>
        <v>0</v>
      </c>
      <c r="I763" s="5">
        <f>+$C763*BH763</f>
        <v>0</v>
      </c>
      <c r="J763" s="5">
        <f>+$C763*BI763</f>
        <v>0</v>
      </c>
      <c r="K763" s="5">
        <f>+$C763*BJ763</f>
        <v>0</v>
      </c>
      <c r="L763" s="5">
        <f>+$C763*BK763</f>
        <v>0</v>
      </c>
      <c r="M763" s="5">
        <f>+$C763*BL763</f>
        <v>0</v>
      </c>
      <c r="N763" s="5">
        <f>+$C763*BM763</f>
        <v>0</v>
      </c>
      <c r="O763" s="5">
        <f>+$C763*BN763</f>
        <v>0</v>
      </c>
      <c r="P763" s="5">
        <v>0</v>
      </c>
      <c r="Q763" s="5">
        <f>+$P763*BC763</f>
        <v>0</v>
      </c>
      <c r="R763" s="5">
        <f>+$P763*BD763</f>
        <v>0</v>
      </c>
      <c r="S763" s="5">
        <f>+$P763*BE763</f>
        <v>0</v>
      </c>
      <c r="T763" s="5">
        <f>+$P763*BF763</f>
        <v>0</v>
      </c>
      <c r="U763" s="5">
        <f>+$P763*BG763</f>
        <v>0</v>
      </c>
      <c r="V763" s="5">
        <f>+$P763*BH763</f>
        <v>0</v>
      </c>
      <c r="W763" s="5">
        <f>+$P763*BI763</f>
        <v>0</v>
      </c>
      <c r="X763" s="5">
        <f>+$P763*BJ763</f>
        <v>0</v>
      </c>
      <c r="Y763" s="5">
        <f>+$P763*BK763</f>
        <v>0</v>
      </c>
      <c r="Z763" s="5">
        <f>+$P763*BL763</f>
        <v>0</v>
      </c>
      <c r="AA763" s="5">
        <f>+$P763*BM763</f>
        <v>0</v>
      </c>
      <c r="AB763" s="5">
        <f>+$P763*BN763</f>
        <v>0</v>
      </c>
      <c r="AC763" s="5">
        <v>0</v>
      </c>
      <c r="AD763" s="5">
        <f>+$AC763*BC763</f>
        <v>0</v>
      </c>
      <c r="AE763" s="5">
        <f>+$AC763*BD763</f>
        <v>0</v>
      </c>
      <c r="AF763" s="5">
        <f>+$AC763*BE763</f>
        <v>0</v>
      </c>
      <c r="AG763" s="5">
        <f>+$AC763*BF763</f>
        <v>0</v>
      </c>
      <c r="AH763" s="5">
        <f>+$AC763*BG763</f>
        <v>0</v>
      </c>
      <c r="AI763" s="5">
        <f>+$AC763*BH763</f>
        <v>0</v>
      </c>
      <c r="AJ763" s="5">
        <f>+$AC763*BI763</f>
        <v>0</v>
      </c>
      <c r="AK763" s="5">
        <f>+$AC763*BJ763</f>
        <v>0</v>
      </c>
      <c r="AL763" s="5">
        <f>+$AC763*BK763</f>
        <v>0</v>
      </c>
      <c r="AM763" s="5">
        <f>+$AC763*BL763</f>
        <v>0</v>
      </c>
      <c r="AN763" s="5">
        <f>+$AC763*BM763</f>
        <v>0</v>
      </c>
      <c r="AO763" s="5">
        <f>+$AC763*BN763</f>
        <v>0</v>
      </c>
      <c r="AP763" s="5">
        <f>+AC763+P763+C763</f>
        <v>0</v>
      </c>
      <c r="AQ763" s="1">
        <v>29.675166069443982</v>
      </c>
      <c r="AR763" s="1">
        <v>35.488712157163896</v>
      </c>
      <c r="AS763" s="1">
        <v>31.407770329854227</v>
      </c>
      <c r="AT763" s="1">
        <v>23.790177493760176</v>
      </c>
      <c r="AU763" s="1">
        <v>34.501422699561076</v>
      </c>
      <c r="AV763" s="1">
        <v>28.273877624459228</v>
      </c>
      <c r="AW763" s="1">
        <v>28.148613196409165</v>
      </c>
      <c r="AX763" s="1">
        <v>19.115524342740034</v>
      </c>
      <c r="AY763" s="1">
        <v>28.334944367984249</v>
      </c>
      <c r="AZ763" s="1">
        <v>24.676094103312455</v>
      </c>
      <c r="BA763" s="1">
        <v>25.19522745367366</v>
      </c>
      <c r="BB763" s="1">
        <v>24.608712378928562</v>
      </c>
      <c r="BC763" s="2">
        <v>8.9181565948742242E-2</v>
      </c>
      <c r="BD763" s="2">
        <v>0.10665277883445198</v>
      </c>
      <c r="BE763" s="2">
        <v>9.438849084854764E-2</v>
      </c>
      <c r="BF763" s="2">
        <v>7.149564986855049E-2</v>
      </c>
      <c r="BG763" s="2">
        <v>0.10368571810536763</v>
      </c>
      <c r="BH763" s="2">
        <v>8.4970330952544637E-2</v>
      </c>
      <c r="BI763" s="2">
        <v>8.4593878877262704E-2</v>
      </c>
      <c r="BJ763" s="2">
        <v>5.7447105462779965E-2</v>
      </c>
      <c r="BK763" s="2">
        <v>8.5153852345557474E-2</v>
      </c>
      <c r="BL763" s="2">
        <v>7.4158058913035174E-2</v>
      </c>
      <c r="BM763" s="2">
        <v>7.5718189192107169E-2</v>
      </c>
      <c r="BN763" s="2">
        <v>7.3955559365675619E-2</v>
      </c>
    </row>
    <row r="764" spans="1:66" x14ac:dyDescent="0.25">
      <c r="A764" s="8">
        <v>5414</v>
      </c>
      <c r="B764" s="8" t="s">
        <v>232</v>
      </c>
      <c r="C764" s="5">
        <v>0</v>
      </c>
      <c r="D764" s="5">
        <f>+$C764*BC764</f>
        <v>0</v>
      </c>
      <c r="E764" s="5">
        <f>+$C764*BD764</f>
        <v>0</v>
      </c>
      <c r="F764" s="5">
        <f>+$C764*BE764</f>
        <v>0</v>
      </c>
      <c r="G764" s="5">
        <f>+$C764*BF764</f>
        <v>0</v>
      </c>
      <c r="H764" s="5">
        <f>+$C764*BG764</f>
        <v>0</v>
      </c>
      <c r="I764" s="5">
        <f>+$C764*BH764</f>
        <v>0</v>
      </c>
      <c r="J764" s="5">
        <f>+$C764*BI764</f>
        <v>0</v>
      </c>
      <c r="K764" s="5">
        <f>+$C764*BJ764</f>
        <v>0</v>
      </c>
      <c r="L764" s="5">
        <f>+$C764*BK764</f>
        <v>0</v>
      </c>
      <c r="M764" s="5">
        <f>+$C764*BL764</f>
        <v>0</v>
      </c>
      <c r="N764" s="5">
        <f>+$C764*BM764</f>
        <v>0</v>
      </c>
      <c r="O764" s="5">
        <f>+$C764*BN764</f>
        <v>0</v>
      </c>
      <c r="P764" s="5">
        <v>0</v>
      </c>
      <c r="Q764" s="5">
        <f>+$P764*BC764</f>
        <v>0</v>
      </c>
      <c r="R764" s="5">
        <f>+$P764*BD764</f>
        <v>0</v>
      </c>
      <c r="S764" s="5">
        <f>+$P764*BE764</f>
        <v>0</v>
      </c>
      <c r="T764" s="5">
        <f>+$P764*BF764</f>
        <v>0</v>
      </c>
      <c r="U764" s="5">
        <f>+$P764*BG764</f>
        <v>0</v>
      </c>
      <c r="V764" s="5">
        <f>+$P764*BH764</f>
        <v>0</v>
      </c>
      <c r="W764" s="5">
        <f>+$P764*BI764</f>
        <v>0</v>
      </c>
      <c r="X764" s="5">
        <f>+$P764*BJ764</f>
        <v>0</v>
      </c>
      <c r="Y764" s="5">
        <f>+$P764*BK764</f>
        <v>0</v>
      </c>
      <c r="Z764" s="5">
        <f>+$P764*BL764</f>
        <v>0</v>
      </c>
      <c r="AA764" s="5">
        <f>+$P764*BM764</f>
        <v>0</v>
      </c>
      <c r="AB764" s="5">
        <f>+$P764*BN764</f>
        <v>0</v>
      </c>
      <c r="AC764" s="5">
        <v>0</v>
      </c>
      <c r="AD764" s="5">
        <f>+$AC764*BC764</f>
        <v>0</v>
      </c>
      <c r="AE764" s="5">
        <f>+$AC764*BD764</f>
        <v>0</v>
      </c>
      <c r="AF764" s="5">
        <f>+$AC764*BE764</f>
        <v>0</v>
      </c>
      <c r="AG764" s="5">
        <f>+$AC764*BF764</f>
        <v>0</v>
      </c>
      <c r="AH764" s="5">
        <f>+$AC764*BG764</f>
        <v>0</v>
      </c>
      <c r="AI764" s="5">
        <f>+$AC764*BH764</f>
        <v>0</v>
      </c>
      <c r="AJ764" s="5">
        <f>+$AC764*BI764</f>
        <v>0</v>
      </c>
      <c r="AK764" s="5">
        <f>+$AC764*BJ764</f>
        <v>0</v>
      </c>
      <c r="AL764" s="5">
        <f>+$AC764*BK764</f>
        <v>0</v>
      </c>
      <c r="AM764" s="5">
        <f>+$AC764*BL764</f>
        <v>0</v>
      </c>
      <c r="AN764" s="5">
        <f>+$AC764*BM764</f>
        <v>0</v>
      </c>
      <c r="AO764" s="5">
        <f>+$AC764*BN764</f>
        <v>0</v>
      </c>
      <c r="AP764" s="5">
        <f>+AC764+P764+C764</f>
        <v>0</v>
      </c>
      <c r="AQ764" s="1">
        <v>58.565534358539033</v>
      </c>
      <c r="AR764" s="1">
        <v>70.038879860584629</v>
      </c>
      <c r="AS764" s="1">
        <v>61.984921940241243</v>
      </c>
      <c r="AT764" s="1">
        <v>46.951193268677109</v>
      </c>
      <c r="AU764" s="1">
        <v>68.090411079794919</v>
      </c>
      <c r="AV764" s="1">
        <v>55.800016336536068</v>
      </c>
      <c r="AW764" s="1">
        <v>55.552800258698419</v>
      </c>
      <c r="AX764" s="1">
        <v>37.725514157407609</v>
      </c>
      <c r="AY764" s="1">
        <v>55.920534835327594</v>
      </c>
      <c r="AZ764" s="1">
        <v>48.699597288190205</v>
      </c>
      <c r="BA764" s="1">
        <v>49.724134842456785</v>
      </c>
      <c r="BB764" s="1">
        <v>48.56661583543918</v>
      </c>
      <c r="BC764" s="2">
        <v>8.9181565948742242E-2</v>
      </c>
      <c r="BD764" s="2">
        <v>0.10665277883445198</v>
      </c>
      <c r="BE764" s="2">
        <v>9.438849084854764E-2</v>
      </c>
      <c r="BF764" s="2">
        <v>7.149564986855049E-2</v>
      </c>
      <c r="BG764" s="2">
        <v>0.10368571810536763</v>
      </c>
      <c r="BH764" s="2">
        <v>8.4970330952544637E-2</v>
      </c>
      <c r="BI764" s="2">
        <v>8.4593878877262704E-2</v>
      </c>
      <c r="BJ764" s="2">
        <v>5.7447105462779965E-2</v>
      </c>
      <c r="BK764" s="2">
        <v>8.5153852345557474E-2</v>
      </c>
      <c r="BL764" s="2">
        <v>7.4158058913035174E-2</v>
      </c>
      <c r="BM764" s="2">
        <v>7.5718189192107169E-2</v>
      </c>
      <c r="BN764" s="2">
        <v>7.3955559365675619E-2</v>
      </c>
    </row>
    <row r="765" spans="1:66" x14ac:dyDescent="0.25">
      <c r="A765" s="8">
        <v>5427</v>
      </c>
      <c r="B765" s="8" t="s">
        <v>231</v>
      </c>
      <c r="C765" s="5">
        <v>0</v>
      </c>
      <c r="D765" s="5">
        <f>+$C765*BC765</f>
        <v>0</v>
      </c>
      <c r="E765" s="5">
        <f>+$C765*BD765</f>
        <v>0</v>
      </c>
      <c r="F765" s="5">
        <f>+$C765*BE765</f>
        <v>0</v>
      </c>
      <c r="G765" s="5">
        <f>+$C765*BF765</f>
        <v>0</v>
      </c>
      <c r="H765" s="5">
        <f>+$C765*BG765</f>
        <v>0</v>
      </c>
      <c r="I765" s="5">
        <f>+$C765*BH765</f>
        <v>0</v>
      </c>
      <c r="J765" s="5">
        <f>+$C765*BI765</f>
        <v>0</v>
      </c>
      <c r="K765" s="5">
        <f>+$C765*BJ765</f>
        <v>0</v>
      </c>
      <c r="L765" s="5">
        <f>+$C765*BK765</f>
        <v>0</v>
      </c>
      <c r="M765" s="5">
        <f>+$C765*BL765</f>
        <v>0</v>
      </c>
      <c r="N765" s="5">
        <f>+$C765*BM765</f>
        <v>0</v>
      </c>
      <c r="O765" s="5">
        <f>+$C765*BN765</f>
        <v>0</v>
      </c>
      <c r="P765" s="5">
        <v>0</v>
      </c>
      <c r="Q765" s="5">
        <f>+$P765*BC765</f>
        <v>0</v>
      </c>
      <c r="R765" s="5">
        <f>+$P765*BD765</f>
        <v>0</v>
      </c>
      <c r="S765" s="5">
        <f>+$P765*BE765</f>
        <v>0</v>
      </c>
      <c r="T765" s="5">
        <f>+$P765*BF765</f>
        <v>0</v>
      </c>
      <c r="U765" s="5">
        <f>+$P765*BG765</f>
        <v>0</v>
      </c>
      <c r="V765" s="5">
        <f>+$P765*BH765</f>
        <v>0</v>
      </c>
      <c r="W765" s="5">
        <f>+$P765*BI765</f>
        <v>0</v>
      </c>
      <c r="X765" s="5">
        <f>+$P765*BJ765</f>
        <v>0</v>
      </c>
      <c r="Y765" s="5">
        <f>+$P765*BK765</f>
        <v>0</v>
      </c>
      <c r="Z765" s="5">
        <f>+$P765*BL765</f>
        <v>0</v>
      </c>
      <c r="AA765" s="5">
        <f>+$P765*BM765</f>
        <v>0</v>
      </c>
      <c r="AB765" s="5">
        <f>+$P765*BN765</f>
        <v>0</v>
      </c>
      <c r="AC765" s="5">
        <v>0</v>
      </c>
      <c r="AD765" s="5">
        <f>+$AC765*BC765</f>
        <v>0</v>
      </c>
      <c r="AE765" s="5">
        <f>+$AC765*BD765</f>
        <v>0</v>
      </c>
      <c r="AF765" s="5">
        <f>+$AC765*BE765</f>
        <v>0</v>
      </c>
      <c r="AG765" s="5">
        <f>+$AC765*BF765</f>
        <v>0</v>
      </c>
      <c r="AH765" s="5">
        <f>+$AC765*BG765</f>
        <v>0</v>
      </c>
      <c r="AI765" s="5">
        <f>+$AC765*BH765</f>
        <v>0</v>
      </c>
      <c r="AJ765" s="5">
        <f>+$AC765*BI765</f>
        <v>0</v>
      </c>
      <c r="AK765" s="5">
        <f>+$AC765*BJ765</f>
        <v>0</v>
      </c>
      <c r="AL765" s="5">
        <f>+$AC765*BK765</f>
        <v>0</v>
      </c>
      <c r="AM765" s="5">
        <f>+$AC765*BL765</f>
        <v>0</v>
      </c>
      <c r="AN765" s="5">
        <f>+$AC765*BM765</f>
        <v>0</v>
      </c>
      <c r="AO765" s="5">
        <f>+$AC765*BN765</f>
        <v>0</v>
      </c>
      <c r="AP765" s="5">
        <f>+AC765+P765+C765</f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2">
        <v>8.9181565948742242E-2</v>
      </c>
      <c r="BD765" s="2">
        <v>0.10665277883445198</v>
      </c>
      <c r="BE765" s="2">
        <v>9.438849084854764E-2</v>
      </c>
      <c r="BF765" s="2">
        <v>7.149564986855049E-2</v>
      </c>
      <c r="BG765" s="2">
        <v>0.10368571810536763</v>
      </c>
      <c r="BH765" s="2">
        <v>8.4970330952544637E-2</v>
      </c>
      <c r="BI765" s="2">
        <v>8.4593878877262704E-2</v>
      </c>
      <c r="BJ765" s="2">
        <v>5.7447105462779965E-2</v>
      </c>
      <c r="BK765" s="2">
        <v>8.5153852345557474E-2</v>
      </c>
      <c r="BL765" s="2">
        <v>7.4158058913035174E-2</v>
      </c>
      <c r="BM765" s="2">
        <v>7.5718189192107169E-2</v>
      </c>
      <c r="BN765" s="2">
        <v>7.3955559365675619E-2</v>
      </c>
    </row>
    <row r="766" spans="1:66" x14ac:dyDescent="0.25">
      <c r="A766" s="8">
        <v>5430</v>
      </c>
      <c r="B766" s="8" t="s">
        <v>230</v>
      </c>
      <c r="C766" s="5">
        <v>0</v>
      </c>
      <c r="D766" s="5">
        <f>+$C766*BC766</f>
        <v>0</v>
      </c>
      <c r="E766" s="5">
        <f>+$C766*BD766</f>
        <v>0</v>
      </c>
      <c r="F766" s="5">
        <f>+$C766*BE766</f>
        <v>0</v>
      </c>
      <c r="G766" s="5">
        <f>+$C766*BF766</f>
        <v>0</v>
      </c>
      <c r="H766" s="5">
        <f>+$C766*BG766</f>
        <v>0</v>
      </c>
      <c r="I766" s="5">
        <f>+$C766*BH766</f>
        <v>0</v>
      </c>
      <c r="J766" s="5">
        <f>+$C766*BI766</f>
        <v>0</v>
      </c>
      <c r="K766" s="5">
        <f>+$C766*BJ766</f>
        <v>0</v>
      </c>
      <c r="L766" s="5">
        <f>+$C766*BK766</f>
        <v>0</v>
      </c>
      <c r="M766" s="5">
        <f>+$C766*BL766</f>
        <v>0</v>
      </c>
      <c r="N766" s="5">
        <f>+$C766*BM766</f>
        <v>0</v>
      </c>
      <c r="O766" s="5">
        <f>+$C766*BN766</f>
        <v>0</v>
      </c>
      <c r="P766" s="5">
        <v>0</v>
      </c>
      <c r="Q766" s="5">
        <f>+$P766*BC766</f>
        <v>0</v>
      </c>
      <c r="R766" s="5">
        <f>+$P766*BD766</f>
        <v>0</v>
      </c>
      <c r="S766" s="5">
        <f>+$P766*BE766</f>
        <v>0</v>
      </c>
      <c r="T766" s="5">
        <f>+$P766*BF766</f>
        <v>0</v>
      </c>
      <c r="U766" s="5">
        <f>+$P766*BG766</f>
        <v>0</v>
      </c>
      <c r="V766" s="5">
        <f>+$P766*BH766</f>
        <v>0</v>
      </c>
      <c r="W766" s="5">
        <f>+$P766*BI766</f>
        <v>0</v>
      </c>
      <c r="X766" s="5">
        <f>+$P766*BJ766</f>
        <v>0</v>
      </c>
      <c r="Y766" s="5">
        <f>+$P766*BK766</f>
        <v>0</v>
      </c>
      <c r="Z766" s="5">
        <f>+$P766*BL766</f>
        <v>0</v>
      </c>
      <c r="AA766" s="5">
        <f>+$P766*BM766</f>
        <v>0</v>
      </c>
      <c r="AB766" s="5">
        <f>+$P766*BN766</f>
        <v>0</v>
      </c>
      <c r="AC766" s="5">
        <v>0</v>
      </c>
      <c r="AD766" s="5">
        <f>+$AC766*BC766</f>
        <v>0</v>
      </c>
      <c r="AE766" s="5">
        <f>+$AC766*BD766</f>
        <v>0</v>
      </c>
      <c r="AF766" s="5">
        <f>+$AC766*BE766</f>
        <v>0</v>
      </c>
      <c r="AG766" s="5">
        <f>+$AC766*BF766</f>
        <v>0</v>
      </c>
      <c r="AH766" s="5">
        <f>+$AC766*BG766</f>
        <v>0</v>
      </c>
      <c r="AI766" s="5">
        <f>+$AC766*BH766</f>
        <v>0</v>
      </c>
      <c r="AJ766" s="5">
        <f>+$AC766*BI766</f>
        <v>0</v>
      </c>
      <c r="AK766" s="5">
        <f>+$AC766*BJ766</f>
        <v>0</v>
      </c>
      <c r="AL766" s="5">
        <f>+$AC766*BK766</f>
        <v>0</v>
      </c>
      <c r="AM766" s="5">
        <f>+$AC766*BL766</f>
        <v>0</v>
      </c>
      <c r="AN766" s="5">
        <f>+$AC766*BM766</f>
        <v>0</v>
      </c>
      <c r="AO766" s="5">
        <f>+$AC766*BN766</f>
        <v>0</v>
      </c>
      <c r="AP766" s="5">
        <f>+AC766+P766+C766</f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2">
        <v>8.9181565948742242E-2</v>
      </c>
      <c r="BD766" s="2">
        <v>0.10665277883445198</v>
      </c>
      <c r="BE766" s="2">
        <v>9.438849084854764E-2</v>
      </c>
      <c r="BF766" s="2">
        <v>7.149564986855049E-2</v>
      </c>
      <c r="BG766" s="2">
        <v>0.10368571810536763</v>
      </c>
      <c r="BH766" s="2">
        <v>8.4970330952544637E-2</v>
      </c>
      <c r="BI766" s="2">
        <v>8.4593878877262704E-2</v>
      </c>
      <c r="BJ766" s="2">
        <v>5.7447105462779965E-2</v>
      </c>
      <c r="BK766" s="2">
        <v>8.5153852345557474E-2</v>
      </c>
      <c r="BL766" s="2">
        <v>7.4158058913035174E-2</v>
      </c>
      <c r="BM766" s="2">
        <v>7.5718189192107169E-2</v>
      </c>
      <c r="BN766" s="2">
        <v>7.3955559365675619E-2</v>
      </c>
    </row>
    <row r="767" spans="1:66" x14ac:dyDescent="0.25">
      <c r="A767" s="8">
        <v>5433</v>
      </c>
      <c r="B767" s="8" t="s">
        <v>229</v>
      </c>
      <c r="C767" s="5">
        <v>0</v>
      </c>
      <c r="D767" s="5">
        <f>+$C767*BC767</f>
        <v>0</v>
      </c>
      <c r="E767" s="5">
        <f>+$C767*BD767</f>
        <v>0</v>
      </c>
      <c r="F767" s="5">
        <f>+$C767*BE767</f>
        <v>0</v>
      </c>
      <c r="G767" s="5">
        <f>+$C767*BF767</f>
        <v>0</v>
      </c>
      <c r="H767" s="5">
        <f>+$C767*BG767</f>
        <v>0</v>
      </c>
      <c r="I767" s="5">
        <f>+$C767*BH767</f>
        <v>0</v>
      </c>
      <c r="J767" s="5">
        <f>+$C767*BI767</f>
        <v>0</v>
      </c>
      <c r="K767" s="5">
        <f>+$C767*BJ767</f>
        <v>0</v>
      </c>
      <c r="L767" s="5">
        <f>+$C767*BK767</f>
        <v>0</v>
      </c>
      <c r="M767" s="5">
        <f>+$C767*BL767</f>
        <v>0</v>
      </c>
      <c r="N767" s="5">
        <f>+$C767*BM767</f>
        <v>0</v>
      </c>
      <c r="O767" s="5">
        <f>+$C767*BN767</f>
        <v>0</v>
      </c>
      <c r="P767" s="5">
        <v>0</v>
      </c>
      <c r="Q767" s="5">
        <f>+$P767*BC767</f>
        <v>0</v>
      </c>
      <c r="R767" s="5">
        <f>+$P767*BD767</f>
        <v>0</v>
      </c>
      <c r="S767" s="5">
        <f>+$P767*BE767</f>
        <v>0</v>
      </c>
      <c r="T767" s="5">
        <f>+$P767*BF767</f>
        <v>0</v>
      </c>
      <c r="U767" s="5">
        <f>+$P767*BG767</f>
        <v>0</v>
      </c>
      <c r="V767" s="5">
        <f>+$P767*BH767</f>
        <v>0</v>
      </c>
      <c r="W767" s="5">
        <f>+$P767*BI767</f>
        <v>0</v>
      </c>
      <c r="X767" s="5">
        <f>+$P767*BJ767</f>
        <v>0</v>
      </c>
      <c r="Y767" s="5">
        <f>+$P767*BK767</f>
        <v>0</v>
      </c>
      <c r="Z767" s="5">
        <f>+$P767*BL767</f>
        <v>0</v>
      </c>
      <c r="AA767" s="5">
        <f>+$P767*BM767</f>
        <v>0</v>
      </c>
      <c r="AB767" s="5">
        <f>+$P767*BN767</f>
        <v>0</v>
      </c>
      <c r="AC767" s="5">
        <v>0</v>
      </c>
      <c r="AD767" s="5">
        <f>+$AC767*BC767</f>
        <v>0</v>
      </c>
      <c r="AE767" s="5">
        <f>+$AC767*BD767</f>
        <v>0</v>
      </c>
      <c r="AF767" s="5">
        <f>+$AC767*BE767</f>
        <v>0</v>
      </c>
      <c r="AG767" s="5">
        <f>+$AC767*BF767</f>
        <v>0</v>
      </c>
      <c r="AH767" s="5">
        <f>+$AC767*BG767</f>
        <v>0</v>
      </c>
      <c r="AI767" s="5">
        <f>+$AC767*BH767</f>
        <v>0</v>
      </c>
      <c r="AJ767" s="5">
        <f>+$AC767*BI767</f>
        <v>0</v>
      </c>
      <c r="AK767" s="5">
        <f>+$AC767*BJ767</f>
        <v>0</v>
      </c>
      <c r="AL767" s="5">
        <f>+$AC767*BK767</f>
        <v>0</v>
      </c>
      <c r="AM767" s="5">
        <f>+$AC767*BL767</f>
        <v>0</v>
      </c>
      <c r="AN767" s="5">
        <f>+$AC767*BM767</f>
        <v>0</v>
      </c>
      <c r="AO767" s="5">
        <f>+$AC767*BN767</f>
        <v>0</v>
      </c>
      <c r="AP767" s="5">
        <f>+AC767+P767+C767</f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2">
        <v>8.9181565948742242E-2</v>
      </c>
      <c r="BD767" s="2">
        <v>0.10665277883445198</v>
      </c>
      <c r="BE767" s="2">
        <v>9.438849084854764E-2</v>
      </c>
      <c r="BF767" s="2">
        <v>7.149564986855049E-2</v>
      </c>
      <c r="BG767" s="2">
        <v>0.10368571810536763</v>
      </c>
      <c r="BH767" s="2">
        <v>8.4970330952544637E-2</v>
      </c>
      <c r="BI767" s="2">
        <v>8.4593878877262704E-2</v>
      </c>
      <c r="BJ767" s="2">
        <v>5.7447105462779965E-2</v>
      </c>
      <c r="BK767" s="2">
        <v>8.5153852345557474E-2</v>
      </c>
      <c r="BL767" s="2">
        <v>7.4158058913035174E-2</v>
      </c>
      <c r="BM767" s="2">
        <v>7.5718189192107169E-2</v>
      </c>
      <c r="BN767" s="2">
        <v>7.3955559365675619E-2</v>
      </c>
    </row>
    <row r="768" spans="1:66" x14ac:dyDescent="0.25">
      <c r="A768" s="8">
        <v>5453</v>
      </c>
      <c r="B768" s="8" t="s">
        <v>228</v>
      </c>
      <c r="C768" s="5">
        <v>0</v>
      </c>
      <c r="D768" s="5">
        <f>+$C768*BC768</f>
        <v>0</v>
      </c>
      <c r="E768" s="5">
        <f>+$C768*BD768</f>
        <v>0</v>
      </c>
      <c r="F768" s="5">
        <f>+$C768*BE768</f>
        <v>0</v>
      </c>
      <c r="G768" s="5">
        <f>+$C768*BF768</f>
        <v>0</v>
      </c>
      <c r="H768" s="5">
        <f>+$C768*BG768</f>
        <v>0</v>
      </c>
      <c r="I768" s="5">
        <f>+$C768*BH768</f>
        <v>0</v>
      </c>
      <c r="J768" s="5">
        <f>+$C768*BI768</f>
        <v>0</v>
      </c>
      <c r="K768" s="5">
        <f>+$C768*BJ768</f>
        <v>0</v>
      </c>
      <c r="L768" s="5">
        <f>+$C768*BK768</f>
        <v>0</v>
      </c>
      <c r="M768" s="5">
        <f>+$C768*BL768</f>
        <v>0</v>
      </c>
      <c r="N768" s="5">
        <f>+$C768*BM768</f>
        <v>0</v>
      </c>
      <c r="O768" s="5">
        <f>+$C768*BN768</f>
        <v>0</v>
      </c>
      <c r="P768" s="5">
        <v>0</v>
      </c>
      <c r="Q768" s="5">
        <f>+$P768*BC768</f>
        <v>0</v>
      </c>
      <c r="R768" s="5">
        <f>+$P768*BD768</f>
        <v>0</v>
      </c>
      <c r="S768" s="5">
        <f>+$P768*BE768</f>
        <v>0</v>
      </c>
      <c r="T768" s="5">
        <f>+$P768*BF768</f>
        <v>0</v>
      </c>
      <c r="U768" s="5">
        <f>+$P768*BG768</f>
        <v>0</v>
      </c>
      <c r="V768" s="5">
        <f>+$P768*BH768</f>
        <v>0</v>
      </c>
      <c r="W768" s="5">
        <f>+$P768*BI768</f>
        <v>0</v>
      </c>
      <c r="X768" s="5">
        <f>+$P768*BJ768</f>
        <v>0</v>
      </c>
      <c r="Y768" s="5">
        <f>+$P768*BK768</f>
        <v>0</v>
      </c>
      <c r="Z768" s="5">
        <f>+$P768*BL768</f>
        <v>0</v>
      </c>
      <c r="AA768" s="5">
        <f>+$P768*BM768</f>
        <v>0</v>
      </c>
      <c r="AB768" s="5">
        <f>+$P768*BN768</f>
        <v>0</v>
      </c>
      <c r="AC768" s="5">
        <v>0</v>
      </c>
      <c r="AD768" s="5">
        <f>+$AC768*BC768</f>
        <v>0</v>
      </c>
      <c r="AE768" s="5">
        <f>+$AC768*BD768</f>
        <v>0</v>
      </c>
      <c r="AF768" s="5">
        <f>+$AC768*BE768</f>
        <v>0</v>
      </c>
      <c r="AG768" s="5">
        <f>+$AC768*BF768</f>
        <v>0</v>
      </c>
      <c r="AH768" s="5">
        <f>+$AC768*BG768</f>
        <v>0</v>
      </c>
      <c r="AI768" s="5">
        <f>+$AC768*BH768</f>
        <v>0</v>
      </c>
      <c r="AJ768" s="5">
        <f>+$AC768*BI768</f>
        <v>0</v>
      </c>
      <c r="AK768" s="5">
        <f>+$AC768*BJ768</f>
        <v>0</v>
      </c>
      <c r="AL768" s="5">
        <f>+$AC768*BK768</f>
        <v>0</v>
      </c>
      <c r="AM768" s="5">
        <f>+$AC768*BL768</f>
        <v>0</v>
      </c>
      <c r="AN768" s="5">
        <f>+$AC768*BM768</f>
        <v>0</v>
      </c>
      <c r="AO768" s="5">
        <f>+$AC768*BN768</f>
        <v>0</v>
      </c>
      <c r="AP768" s="5">
        <f>+AC768+P768+C768</f>
        <v>0</v>
      </c>
      <c r="AQ768" s="1">
        <v>49.427545203601156</v>
      </c>
      <c r="AR768" s="1">
        <v>59.110702877312498</v>
      </c>
      <c r="AS768" s="1">
        <v>52.313405225444804</v>
      </c>
      <c r="AT768" s="1">
        <v>39.625391504896079</v>
      </c>
      <c r="AU768" s="1">
        <v>57.466253974128428</v>
      </c>
      <c r="AV768" s="1">
        <v>47.093531375483579</v>
      </c>
      <c r="AW768" s="1">
        <v>46.884888459539695</v>
      </c>
      <c r="AX768" s="1">
        <v>31.839196496163854</v>
      </c>
      <c r="AY768" s="1">
        <v>47.195245354740045</v>
      </c>
      <c r="AZ768" s="1">
        <v>41.100991781666053</v>
      </c>
      <c r="BA768" s="1">
        <v>41.965670586887519</v>
      </c>
      <c r="BB768" s="1">
        <v>40.988759445035228</v>
      </c>
      <c r="BC768" s="2">
        <v>8.9181565948742242E-2</v>
      </c>
      <c r="BD768" s="2">
        <v>0.10665277883445198</v>
      </c>
      <c r="BE768" s="2">
        <v>9.438849084854764E-2</v>
      </c>
      <c r="BF768" s="2">
        <v>7.149564986855049E-2</v>
      </c>
      <c r="BG768" s="2">
        <v>0.10368571810536763</v>
      </c>
      <c r="BH768" s="2">
        <v>8.4970330952544637E-2</v>
      </c>
      <c r="BI768" s="2">
        <v>8.4593878877262704E-2</v>
      </c>
      <c r="BJ768" s="2">
        <v>5.7447105462779965E-2</v>
      </c>
      <c r="BK768" s="2">
        <v>8.5153852345557474E-2</v>
      </c>
      <c r="BL768" s="2">
        <v>7.4158058913035174E-2</v>
      </c>
      <c r="BM768" s="2">
        <v>7.5718189192107169E-2</v>
      </c>
      <c r="BN768" s="2">
        <v>7.3955559365675619E-2</v>
      </c>
    </row>
    <row r="769" spans="1:66" x14ac:dyDescent="0.25">
      <c r="A769" s="8">
        <v>5460</v>
      </c>
      <c r="B769" s="8" t="s">
        <v>227</v>
      </c>
      <c r="C769" s="5">
        <v>0</v>
      </c>
      <c r="D769" s="5">
        <f>+$C769*BC769</f>
        <v>0</v>
      </c>
      <c r="E769" s="5">
        <f>+$C769*BD769</f>
        <v>0</v>
      </c>
      <c r="F769" s="5">
        <f>+$C769*BE769</f>
        <v>0</v>
      </c>
      <c r="G769" s="5">
        <f>+$C769*BF769</f>
        <v>0</v>
      </c>
      <c r="H769" s="5">
        <f>+$C769*BG769</f>
        <v>0</v>
      </c>
      <c r="I769" s="5">
        <f>+$C769*BH769</f>
        <v>0</v>
      </c>
      <c r="J769" s="5">
        <f>+$C769*BI769</f>
        <v>0</v>
      </c>
      <c r="K769" s="5">
        <f>+$C769*BJ769</f>
        <v>0</v>
      </c>
      <c r="L769" s="5">
        <f>+$C769*BK769</f>
        <v>0</v>
      </c>
      <c r="M769" s="5">
        <f>+$C769*BL769</f>
        <v>0</v>
      </c>
      <c r="N769" s="5">
        <f>+$C769*BM769</f>
        <v>0</v>
      </c>
      <c r="O769" s="5">
        <f>+$C769*BN769</f>
        <v>0</v>
      </c>
      <c r="P769" s="5">
        <v>0</v>
      </c>
      <c r="Q769" s="5">
        <f>+$P769*BC769</f>
        <v>0</v>
      </c>
      <c r="R769" s="5">
        <f>+$P769*BD769</f>
        <v>0</v>
      </c>
      <c r="S769" s="5">
        <f>+$P769*BE769</f>
        <v>0</v>
      </c>
      <c r="T769" s="5">
        <f>+$P769*BF769</f>
        <v>0</v>
      </c>
      <c r="U769" s="5">
        <f>+$P769*BG769</f>
        <v>0</v>
      </c>
      <c r="V769" s="5">
        <f>+$P769*BH769</f>
        <v>0</v>
      </c>
      <c r="W769" s="5">
        <f>+$P769*BI769</f>
        <v>0</v>
      </c>
      <c r="X769" s="5">
        <f>+$P769*BJ769</f>
        <v>0</v>
      </c>
      <c r="Y769" s="5">
        <f>+$P769*BK769</f>
        <v>0</v>
      </c>
      <c r="Z769" s="5">
        <f>+$P769*BL769</f>
        <v>0</v>
      </c>
      <c r="AA769" s="5">
        <f>+$P769*BM769</f>
        <v>0</v>
      </c>
      <c r="AB769" s="5">
        <f>+$P769*BN769</f>
        <v>0</v>
      </c>
      <c r="AC769" s="5">
        <v>0</v>
      </c>
      <c r="AD769" s="5">
        <f>+$AC769*BC769</f>
        <v>0</v>
      </c>
      <c r="AE769" s="5">
        <f>+$AC769*BD769</f>
        <v>0</v>
      </c>
      <c r="AF769" s="5">
        <f>+$AC769*BE769</f>
        <v>0</v>
      </c>
      <c r="AG769" s="5">
        <f>+$AC769*BF769</f>
        <v>0</v>
      </c>
      <c r="AH769" s="5">
        <f>+$AC769*BG769</f>
        <v>0</v>
      </c>
      <c r="AI769" s="5">
        <f>+$AC769*BH769</f>
        <v>0</v>
      </c>
      <c r="AJ769" s="5">
        <f>+$AC769*BI769</f>
        <v>0</v>
      </c>
      <c r="AK769" s="5">
        <f>+$AC769*BJ769</f>
        <v>0</v>
      </c>
      <c r="AL769" s="5">
        <f>+$AC769*BK769</f>
        <v>0</v>
      </c>
      <c r="AM769" s="5">
        <f>+$AC769*BL769</f>
        <v>0</v>
      </c>
      <c r="AN769" s="5">
        <f>+$AC769*BM769</f>
        <v>0</v>
      </c>
      <c r="AO769" s="5">
        <f>+$AC769*BN769</f>
        <v>0</v>
      </c>
      <c r="AP769" s="5">
        <f>+AC769+P769+C769</f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2">
        <v>8.9181565948742242E-2</v>
      </c>
      <c r="BD769" s="2">
        <v>0.10665277883445198</v>
      </c>
      <c r="BE769" s="2">
        <v>9.438849084854764E-2</v>
      </c>
      <c r="BF769" s="2">
        <v>7.149564986855049E-2</v>
      </c>
      <c r="BG769" s="2">
        <v>0.10368571810536763</v>
      </c>
      <c r="BH769" s="2">
        <v>8.4970330952544637E-2</v>
      </c>
      <c r="BI769" s="2">
        <v>8.4593878877262704E-2</v>
      </c>
      <c r="BJ769" s="2">
        <v>5.7447105462779965E-2</v>
      </c>
      <c r="BK769" s="2">
        <v>8.5153852345557474E-2</v>
      </c>
      <c r="BL769" s="2">
        <v>7.4158058913035174E-2</v>
      </c>
      <c r="BM769" s="2">
        <v>7.5718189192107169E-2</v>
      </c>
      <c r="BN769" s="2">
        <v>7.3955559365675619E-2</v>
      </c>
    </row>
    <row r="770" spans="1:66" x14ac:dyDescent="0.25">
      <c r="A770" s="8">
        <v>5464</v>
      </c>
      <c r="B770" s="8" t="s">
        <v>226</v>
      </c>
      <c r="C770" s="5">
        <v>0</v>
      </c>
      <c r="D770" s="5">
        <f>+$C770*BC770</f>
        <v>0</v>
      </c>
      <c r="E770" s="5">
        <f>+$C770*BD770</f>
        <v>0</v>
      </c>
      <c r="F770" s="5">
        <f>+$C770*BE770</f>
        <v>0</v>
      </c>
      <c r="G770" s="5">
        <f>+$C770*BF770</f>
        <v>0</v>
      </c>
      <c r="H770" s="5">
        <f>+$C770*BG770</f>
        <v>0</v>
      </c>
      <c r="I770" s="5">
        <f>+$C770*BH770</f>
        <v>0</v>
      </c>
      <c r="J770" s="5">
        <f>+$C770*BI770</f>
        <v>0</v>
      </c>
      <c r="K770" s="5">
        <f>+$C770*BJ770</f>
        <v>0</v>
      </c>
      <c r="L770" s="5">
        <f>+$C770*BK770</f>
        <v>0</v>
      </c>
      <c r="M770" s="5">
        <f>+$C770*BL770</f>
        <v>0</v>
      </c>
      <c r="N770" s="5">
        <f>+$C770*BM770</f>
        <v>0</v>
      </c>
      <c r="O770" s="5">
        <f>+$C770*BN770</f>
        <v>0</v>
      </c>
      <c r="P770" s="5">
        <v>0</v>
      </c>
      <c r="Q770" s="5">
        <f>+$P770*BC770</f>
        <v>0</v>
      </c>
      <c r="R770" s="5">
        <f>+$P770*BD770</f>
        <v>0</v>
      </c>
      <c r="S770" s="5">
        <f>+$P770*BE770</f>
        <v>0</v>
      </c>
      <c r="T770" s="5">
        <f>+$P770*BF770</f>
        <v>0</v>
      </c>
      <c r="U770" s="5">
        <f>+$P770*BG770</f>
        <v>0</v>
      </c>
      <c r="V770" s="5">
        <f>+$P770*BH770</f>
        <v>0</v>
      </c>
      <c r="W770" s="5">
        <f>+$P770*BI770</f>
        <v>0</v>
      </c>
      <c r="X770" s="5">
        <f>+$P770*BJ770</f>
        <v>0</v>
      </c>
      <c r="Y770" s="5">
        <f>+$P770*BK770</f>
        <v>0</v>
      </c>
      <c r="Z770" s="5">
        <f>+$P770*BL770</f>
        <v>0</v>
      </c>
      <c r="AA770" s="5">
        <f>+$P770*BM770</f>
        <v>0</v>
      </c>
      <c r="AB770" s="5">
        <f>+$P770*BN770</f>
        <v>0</v>
      </c>
      <c r="AC770" s="5">
        <v>0</v>
      </c>
      <c r="AD770" s="5">
        <f>+$AC770*BC770</f>
        <v>0</v>
      </c>
      <c r="AE770" s="5">
        <f>+$AC770*BD770</f>
        <v>0</v>
      </c>
      <c r="AF770" s="5">
        <f>+$AC770*BE770</f>
        <v>0</v>
      </c>
      <c r="AG770" s="5">
        <f>+$AC770*BF770</f>
        <v>0</v>
      </c>
      <c r="AH770" s="5">
        <f>+$AC770*BG770</f>
        <v>0</v>
      </c>
      <c r="AI770" s="5">
        <f>+$AC770*BH770</f>
        <v>0</v>
      </c>
      <c r="AJ770" s="5">
        <f>+$AC770*BI770</f>
        <v>0</v>
      </c>
      <c r="AK770" s="5">
        <f>+$AC770*BJ770</f>
        <v>0</v>
      </c>
      <c r="AL770" s="5">
        <f>+$AC770*BK770</f>
        <v>0</v>
      </c>
      <c r="AM770" s="5">
        <f>+$AC770*BL770</f>
        <v>0</v>
      </c>
      <c r="AN770" s="5">
        <f>+$AC770*BM770</f>
        <v>0</v>
      </c>
      <c r="AO770" s="5">
        <f>+$AC770*BN770</f>
        <v>0</v>
      </c>
      <c r="AP770" s="5">
        <f>+AC770+P770+C770</f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2">
        <v>8.9181565948742242E-2</v>
      </c>
      <c r="BD770" s="2">
        <v>0.10665277883445198</v>
      </c>
      <c r="BE770" s="2">
        <v>9.438849084854764E-2</v>
      </c>
      <c r="BF770" s="2">
        <v>7.149564986855049E-2</v>
      </c>
      <c r="BG770" s="2">
        <v>0.10368571810536763</v>
      </c>
      <c r="BH770" s="2">
        <v>8.4970330952544637E-2</v>
      </c>
      <c r="BI770" s="2">
        <v>8.4593878877262704E-2</v>
      </c>
      <c r="BJ770" s="2">
        <v>5.7447105462779965E-2</v>
      </c>
      <c r="BK770" s="2">
        <v>8.5153852345557474E-2</v>
      </c>
      <c r="BL770" s="2">
        <v>7.4158058913035174E-2</v>
      </c>
      <c r="BM770" s="2">
        <v>7.5718189192107169E-2</v>
      </c>
      <c r="BN770" s="2">
        <v>7.3955559365675619E-2</v>
      </c>
    </row>
    <row r="771" spans="1:66" x14ac:dyDescent="0.25">
      <c r="A771" s="8">
        <v>5475</v>
      </c>
      <c r="B771" s="8" t="s">
        <v>225</v>
      </c>
      <c r="C771" s="5">
        <v>0</v>
      </c>
      <c r="D771" s="5">
        <f>+$C771*BC771</f>
        <v>0</v>
      </c>
      <c r="E771" s="5">
        <f>+$C771*BD771</f>
        <v>0</v>
      </c>
      <c r="F771" s="5">
        <f>+$C771*BE771</f>
        <v>0</v>
      </c>
      <c r="G771" s="5">
        <f>+$C771*BF771</f>
        <v>0</v>
      </c>
      <c r="H771" s="5">
        <f>+$C771*BG771</f>
        <v>0</v>
      </c>
      <c r="I771" s="5">
        <f>+$C771*BH771</f>
        <v>0</v>
      </c>
      <c r="J771" s="5">
        <f>+$C771*BI771</f>
        <v>0</v>
      </c>
      <c r="K771" s="5">
        <f>+$C771*BJ771</f>
        <v>0</v>
      </c>
      <c r="L771" s="5">
        <f>+$C771*BK771</f>
        <v>0</v>
      </c>
      <c r="M771" s="5">
        <f>+$C771*BL771</f>
        <v>0</v>
      </c>
      <c r="N771" s="5">
        <f>+$C771*BM771</f>
        <v>0</v>
      </c>
      <c r="O771" s="5">
        <f>+$C771*BN771</f>
        <v>0</v>
      </c>
      <c r="P771" s="5">
        <v>0</v>
      </c>
      <c r="Q771" s="5">
        <f>+$P771*BC771</f>
        <v>0</v>
      </c>
      <c r="R771" s="5">
        <f>+$P771*BD771</f>
        <v>0</v>
      </c>
      <c r="S771" s="5">
        <f>+$P771*BE771</f>
        <v>0</v>
      </c>
      <c r="T771" s="5">
        <f>+$P771*BF771</f>
        <v>0</v>
      </c>
      <c r="U771" s="5">
        <f>+$P771*BG771</f>
        <v>0</v>
      </c>
      <c r="V771" s="5">
        <f>+$P771*BH771</f>
        <v>0</v>
      </c>
      <c r="W771" s="5">
        <f>+$P771*BI771</f>
        <v>0</v>
      </c>
      <c r="X771" s="5">
        <f>+$P771*BJ771</f>
        <v>0</v>
      </c>
      <c r="Y771" s="5">
        <f>+$P771*BK771</f>
        <v>0</v>
      </c>
      <c r="Z771" s="5">
        <f>+$P771*BL771</f>
        <v>0</v>
      </c>
      <c r="AA771" s="5">
        <f>+$P771*BM771</f>
        <v>0</v>
      </c>
      <c r="AB771" s="5">
        <f>+$P771*BN771</f>
        <v>0</v>
      </c>
      <c r="AC771" s="5">
        <v>0</v>
      </c>
      <c r="AD771" s="5">
        <f>+$AC771*BC771</f>
        <v>0</v>
      </c>
      <c r="AE771" s="5">
        <f>+$AC771*BD771</f>
        <v>0</v>
      </c>
      <c r="AF771" s="5">
        <f>+$AC771*BE771</f>
        <v>0</v>
      </c>
      <c r="AG771" s="5">
        <f>+$AC771*BF771</f>
        <v>0</v>
      </c>
      <c r="AH771" s="5">
        <f>+$AC771*BG771</f>
        <v>0</v>
      </c>
      <c r="AI771" s="5">
        <f>+$AC771*BH771</f>
        <v>0</v>
      </c>
      <c r="AJ771" s="5">
        <f>+$AC771*BI771</f>
        <v>0</v>
      </c>
      <c r="AK771" s="5">
        <f>+$AC771*BJ771</f>
        <v>0</v>
      </c>
      <c r="AL771" s="5">
        <f>+$AC771*BK771</f>
        <v>0</v>
      </c>
      <c r="AM771" s="5">
        <f>+$AC771*BL771</f>
        <v>0</v>
      </c>
      <c r="AN771" s="5">
        <f>+$AC771*BM771</f>
        <v>0</v>
      </c>
      <c r="AO771" s="5">
        <f>+$AC771*BN771</f>
        <v>0</v>
      </c>
      <c r="AP771" s="5">
        <f>+AC771+P771+C771</f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2">
        <v>8.9181565948742242E-2</v>
      </c>
      <c r="BD771" s="2">
        <v>0.10665277883445198</v>
      </c>
      <c r="BE771" s="2">
        <v>9.438849084854764E-2</v>
      </c>
      <c r="BF771" s="2">
        <v>7.149564986855049E-2</v>
      </c>
      <c r="BG771" s="2">
        <v>0.10368571810536763</v>
      </c>
      <c r="BH771" s="2">
        <v>8.4970330952544637E-2</v>
      </c>
      <c r="BI771" s="2">
        <v>8.4593878877262704E-2</v>
      </c>
      <c r="BJ771" s="2">
        <v>5.7447105462779965E-2</v>
      </c>
      <c r="BK771" s="2">
        <v>8.5153852345557474E-2</v>
      </c>
      <c r="BL771" s="2">
        <v>7.4158058913035174E-2</v>
      </c>
      <c r="BM771" s="2">
        <v>7.5718189192107169E-2</v>
      </c>
      <c r="BN771" s="2">
        <v>7.3955559365675619E-2</v>
      </c>
    </row>
    <row r="772" spans="1:66" x14ac:dyDescent="0.25">
      <c r="A772" s="8">
        <v>5476</v>
      </c>
      <c r="B772" s="8" t="s">
        <v>224</v>
      </c>
      <c r="C772" s="5">
        <v>0</v>
      </c>
      <c r="D772" s="5">
        <f>+$C772*BC772</f>
        <v>0</v>
      </c>
      <c r="E772" s="5">
        <f>+$C772*BD772</f>
        <v>0</v>
      </c>
      <c r="F772" s="5">
        <f>+$C772*BE772</f>
        <v>0</v>
      </c>
      <c r="G772" s="5">
        <f>+$C772*BF772</f>
        <v>0</v>
      </c>
      <c r="H772" s="5">
        <f>+$C772*BG772</f>
        <v>0</v>
      </c>
      <c r="I772" s="5">
        <f>+$C772*BH772</f>
        <v>0</v>
      </c>
      <c r="J772" s="5">
        <f>+$C772*BI772</f>
        <v>0</v>
      </c>
      <c r="K772" s="5">
        <f>+$C772*BJ772</f>
        <v>0</v>
      </c>
      <c r="L772" s="5">
        <f>+$C772*BK772</f>
        <v>0</v>
      </c>
      <c r="M772" s="5">
        <f>+$C772*BL772</f>
        <v>0</v>
      </c>
      <c r="N772" s="5">
        <f>+$C772*BM772</f>
        <v>0</v>
      </c>
      <c r="O772" s="5">
        <f>+$C772*BN772</f>
        <v>0</v>
      </c>
      <c r="P772" s="5">
        <v>0</v>
      </c>
      <c r="Q772" s="5">
        <f>+$P772*BC772</f>
        <v>0</v>
      </c>
      <c r="R772" s="5">
        <f>+$P772*BD772</f>
        <v>0</v>
      </c>
      <c r="S772" s="5">
        <f>+$P772*BE772</f>
        <v>0</v>
      </c>
      <c r="T772" s="5">
        <f>+$P772*BF772</f>
        <v>0</v>
      </c>
      <c r="U772" s="5">
        <f>+$P772*BG772</f>
        <v>0</v>
      </c>
      <c r="V772" s="5">
        <f>+$P772*BH772</f>
        <v>0</v>
      </c>
      <c r="W772" s="5">
        <f>+$P772*BI772</f>
        <v>0</v>
      </c>
      <c r="X772" s="5">
        <f>+$P772*BJ772</f>
        <v>0</v>
      </c>
      <c r="Y772" s="5">
        <f>+$P772*BK772</f>
        <v>0</v>
      </c>
      <c r="Z772" s="5">
        <f>+$P772*BL772</f>
        <v>0</v>
      </c>
      <c r="AA772" s="5">
        <f>+$P772*BM772</f>
        <v>0</v>
      </c>
      <c r="AB772" s="5">
        <f>+$P772*BN772</f>
        <v>0</v>
      </c>
      <c r="AC772" s="5">
        <v>0</v>
      </c>
      <c r="AD772" s="5">
        <f>+$AC772*BC772</f>
        <v>0</v>
      </c>
      <c r="AE772" s="5">
        <f>+$AC772*BD772</f>
        <v>0</v>
      </c>
      <c r="AF772" s="5">
        <f>+$AC772*BE772</f>
        <v>0</v>
      </c>
      <c r="AG772" s="5">
        <f>+$AC772*BF772</f>
        <v>0</v>
      </c>
      <c r="AH772" s="5">
        <f>+$AC772*BG772</f>
        <v>0</v>
      </c>
      <c r="AI772" s="5">
        <f>+$AC772*BH772</f>
        <v>0</v>
      </c>
      <c r="AJ772" s="5">
        <f>+$AC772*BI772</f>
        <v>0</v>
      </c>
      <c r="AK772" s="5">
        <f>+$AC772*BJ772</f>
        <v>0</v>
      </c>
      <c r="AL772" s="5">
        <f>+$AC772*BK772</f>
        <v>0</v>
      </c>
      <c r="AM772" s="5">
        <f>+$AC772*BL772</f>
        <v>0</v>
      </c>
      <c r="AN772" s="5">
        <f>+$AC772*BM772</f>
        <v>0</v>
      </c>
      <c r="AO772" s="5">
        <f>+$AC772*BN772</f>
        <v>0</v>
      </c>
      <c r="AP772" s="5">
        <f>+AC772+P772+C772</f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2">
        <v>8.9181565948742242E-2</v>
      </c>
      <c r="BD772" s="2">
        <v>0.10665277883445198</v>
      </c>
      <c r="BE772" s="2">
        <v>9.438849084854764E-2</v>
      </c>
      <c r="BF772" s="2">
        <v>7.149564986855049E-2</v>
      </c>
      <c r="BG772" s="2">
        <v>0.10368571810536763</v>
      </c>
      <c r="BH772" s="2">
        <v>8.4970330952544637E-2</v>
      </c>
      <c r="BI772" s="2">
        <v>8.4593878877262704E-2</v>
      </c>
      <c r="BJ772" s="2">
        <v>5.7447105462779965E-2</v>
      </c>
      <c r="BK772" s="2">
        <v>8.5153852345557474E-2</v>
      </c>
      <c r="BL772" s="2">
        <v>7.4158058913035174E-2</v>
      </c>
      <c r="BM772" s="2">
        <v>7.5718189192107169E-2</v>
      </c>
      <c r="BN772" s="2">
        <v>7.3955559365675619E-2</v>
      </c>
    </row>
    <row r="773" spans="1:66" x14ac:dyDescent="0.25">
      <c r="A773" s="8">
        <v>5478</v>
      </c>
      <c r="B773" s="8" t="s">
        <v>223</v>
      </c>
      <c r="C773" s="5">
        <v>0</v>
      </c>
      <c r="D773" s="5">
        <f>+$C773*BC773</f>
        <v>0</v>
      </c>
      <c r="E773" s="5">
        <f>+$C773*BD773</f>
        <v>0</v>
      </c>
      <c r="F773" s="5">
        <f>+$C773*BE773</f>
        <v>0</v>
      </c>
      <c r="G773" s="5">
        <f>+$C773*BF773</f>
        <v>0</v>
      </c>
      <c r="H773" s="5">
        <f>+$C773*BG773</f>
        <v>0</v>
      </c>
      <c r="I773" s="5">
        <f>+$C773*BH773</f>
        <v>0</v>
      </c>
      <c r="J773" s="5">
        <f>+$C773*BI773</f>
        <v>0</v>
      </c>
      <c r="K773" s="5">
        <f>+$C773*BJ773</f>
        <v>0</v>
      </c>
      <c r="L773" s="5">
        <f>+$C773*BK773</f>
        <v>0</v>
      </c>
      <c r="M773" s="5">
        <f>+$C773*BL773</f>
        <v>0</v>
      </c>
      <c r="N773" s="5">
        <f>+$C773*BM773</f>
        <v>0</v>
      </c>
      <c r="O773" s="5">
        <f>+$C773*BN773</f>
        <v>0</v>
      </c>
      <c r="P773" s="5">
        <v>0</v>
      </c>
      <c r="Q773" s="5">
        <f>+$P773*BC773</f>
        <v>0</v>
      </c>
      <c r="R773" s="5">
        <f>+$P773*BD773</f>
        <v>0</v>
      </c>
      <c r="S773" s="5">
        <f>+$P773*BE773</f>
        <v>0</v>
      </c>
      <c r="T773" s="5">
        <f>+$P773*BF773</f>
        <v>0</v>
      </c>
      <c r="U773" s="5">
        <f>+$P773*BG773</f>
        <v>0</v>
      </c>
      <c r="V773" s="5">
        <f>+$P773*BH773</f>
        <v>0</v>
      </c>
      <c r="W773" s="5">
        <f>+$P773*BI773</f>
        <v>0</v>
      </c>
      <c r="X773" s="5">
        <f>+$P773*BJ773</f>
        <v>0</v>
      </c>
      <c r="Y773" s="5">
        <f>+$P773*BK773</f>
        <v>0</v>
      </c>
      <c r="Z773" s="5">
        <f>+$P773*BL773</f>
        <v>0</v>
      </c>
      <c r="AA773" s="5">
        <f>+$P773*BM773</f>
        <v>0</v>
      </c>
      <c r="AB773" s="5">
        <f>+$P773*BN773</f>
        <v>0</v>
      </c>
      <c r="AC773" s="5">
        <v>0</v>
      </c>
      <c r="AD773" s="5">
        <f>+$AC773*BC773</f>
        <v>0</v>
      </c>
      <c r="AE773" s="5">
        <f>+$AC773*BD773</f>
        <v>0</v>
      </c>
      <c r="AF773" s="5">
        <f>+$AC773*BE773</f>
        <v>0</v>
      </c>
      <c r="AG773" s="5">
        <f>+$AC773*BF773</f>
        <v>0</v>
      </c>
      <c r="AH773" s="5">
        <f>+$AC773*BG773</f>
        <v>0</v>
      </c>
      <c r="AI773" s="5">
        <f>+$AC773*BH773</f>
        <v>0</v>
      </c>
      <c r="AJ773" s="5">
        <f>+$AC773*BI773</f>
        <v>0</v>
      </c>
      <c r="AK773" s="5">
        <f>+$AC773*BJ773</f>
        <v>0</v>
      </c>
      <c r="AL773" s="5">
        <f>+$AC773*BK773</f>
        <v>0</v>
      </c>
      <c r="AM773" s="5">
        <f>+$AC773*BL773</f>
        <v>0</v>
      </c>
      <c r="AN773" s="5">
        <f>+$AC773*BM773</f>
        <v>0</v>
      </c>
      <c r="AO773" s="5">
        <f>+$AC773*BN773</f>
        <v>0</v>
      </c>
      <c r="AP773" s="5">
        <f>+AC773+P773+C773</f>
        <v>0</v>
      </c>
      <c r="AQ773" s="1">
        <v>58.859833526169879</v>
      </c>
      <c r="AR773" s="1">
        <v>70.390834030738304</v>
      </c>
      <c r="AS773" s="1">
        <v>62.296403960041445</v>
      </c>
      <c r="AT773" s="1">
        <v>47.18712891324332</v>
      </c>
      <c r="AU773" s="1">
        <v>68.432573949542629</v>
      </c>
      <c r="AV773" s="1">
        <v>56.080418428679458</v>
      </c>
      <c r="AW773" s="1">
        <v>55.831960058993381</v>
      </c>
      <c r="AX773" s="1">
        <v>37.91508960543478</v>
      </c>
      <c r="AY773" s="1">
        <v>56.201542548067934</v>
      </c>
      <c r="AZ773" s="1">
        <v>48.944318882603213</v>
      </c>
      <c r="BA773" s="1">
        <v>49.974004866790729</v>
      </c>
      <c r="BB773" s="1">
        <v>48.810669181345908</v>
      </c>
      <c r="BC773" s="2">
        <v>8.9181565948742242E-2</v>
      </c>
      <c r="BD773" s="2">
        <v>0.10665277883445198</v>
      </c>
      <c r="BE773" s="2">
        <v>9.438849084854764E-2</v>
      </c>
      <c r="BF773" s="2">
        <v>7.149564986855049E-2</v>
      </c>
      <c r="BG773" s="2">
        <v>0.10368571810536763</v>
      </c>
      <c r="BH773" s="2">
        <v>8.4970330952544637E-2</v>
      </c>
      <c r="BI773" s="2">
        <v>8.4593878877262704E-2</v>
      </c>
      <c r="BJ773" s="2">
        <v>5.7447105462779965E-2</v>
      </c>
      <c r="BK773" s="2">
        <v>8.5153852345557474E-2</v>
      </c>
      <c r="BL773" s="2">
        <v>7.4158058913035174E-2</v>
      </c>
      <c r="BM773" s="2">
        <v>7.5718189192107169E-2</v>
      </c>
      <c r="BN773" s="2">
        <v>7.3955559365675619E-2</v>
      </c>
    </row>
    <row r="774" spans="1:66" x14ac:dyDescent="0.25">
      <c r="A774" s="8">
        <v>5479</v>
      </c>
      <c r="B774" s="8" t="s">
        <v>222</v>
      </c>
      <c r="C774" s="5">
        <v>0</v>
      </c>
      <c r="D774" s="5">
        <f>+$C774*BC774</f>
        <v>0</v>
      </c>
      <c r="E774" s="5">
        <f>+$C774*BD774</f>
        <v>0</v>
      </c>
      <c r="F774" s="5">
        <f>+$C774*BE774</f>
        <v>0</v>
      </c>
      <c r="G774" s="5">
        <f>+$C774*BF774</f>
        <v>0</v>
      </c>
      <c r="H774" s="5">
        <f>+$C774*BG774</f>
        <v>0</v>
      </c>
      <c r="I774" s="5">
        <f>+$C774*BH774</f>
        <v>0</v>
      </c>
      <c r="J774" s="5">
        <f>+$C774*BI774</f>
        <v>0</v>
      </c>
      <c r="K774" s="5">
        <f>+$C774*BJ774</f>
        <v>0</v>
      </c>
      <c r="L774" s="5">
        <f>+$C774*BK774</f>
        <v>0</v>
      </c>
      <c r="M774" s="5">
        <f>+$C774*BL774</f>
        <v>0</v>
      </c>
      <c r="N774" s="5">
        <f>+$C774*BM774</f>
        <v>0</v>
      </c>
      <c r="O774" s="5">
        <f>+$C774*BN774</f>
        <v>0</v>
      </c>
      <c r="P774" s="5">
        <v>0</v>
      </c>
      <c r="Q774" s="5">
        <f>+$P774*BC774</f>
        <v>0</v>
      </c>
      <c r="R774" s="5">
        <f>+$P774*BD774</f>
        <v>0</v>
      </c>
      <c r="S774" s="5">
        <f>+$P774*BE774</f>
        <v>0</v>
      </c>
      <c r="T774" s="5">
        <f>+$P774*BF774</f>
        <v>0</v>
      </c>
      <c r="U774" s="5">
        <f>+$P774*BG774</f>
        <v>0</v>
      </c>
      <c r="V774" s="5">
        <f>+$P774*BH774</f>
        <v>0</v>
      </c>
      <c r="W774" s="5">
        <f>+$P774*BI774</f>
        <v>0</v>
      </c>
      <c r="X774" s="5">
        <f>+$P774*BJ774</f>
        <v>0</v>
      </c>
      <c r="Y774" s="5">
        <f>+$P774*BK774</f>
        <v>0</v>
      </c>
      <c r="Z774" s="5">
        <f>+$P774*BL774</f>
        <v>0</v>
      </c>
      <c r="AA774" s="5">
        <f>+$P774*BM774</f>
        <v>0</v>
      </c>
      <c r="AB774" s="5">
        <f>+$P774*BN774</f>
        <v>0</v>
      </c>
      <c r="AC774" s="5">
        <v>0</v>
      </c>
      <c r="AD774" s="5">
        <f>+$AC774*BC774</f>
        <v>0</v>
      </c>
      <c r="AE774" s="5">
        <f>+$AC774*BD774</f>
        <v>0</v>
      </c>
      <c r="AF774" s="5">
        <f>+$AC774*BE774</f>
        <v>0</v>
      </c>
      <c r="AG774" s="5">
        <f>+$AC774*BF774</f>
        <v>0</v>
      </c>
      <c r="AH774" s="5">
        <f>+$AC774*BG774</f>
        <v>0</v>
      </c>
      <c r="AI774" s="5">
        <f>+$AC774*BH774</f>
        <v>0</v>
      </c>
      <c r="AJ774" s="5">
        <f>+$AC774*BI774</f>
        <v>0</v>
      </c>
      <c r="AK774" s="5">
        <f>+$AC774*BJ774</f>
        <v>0</v>
      </c>
      <c r="AL774" s="5">
        <f>+$AC774*BK774</f>
        <v>0</v>
      </c>
      <c r="AM774" s="5">
        <f>+$AC774*BL774</f>
        <v>0</v>
      </c>
      <c r="AN774" s="5">
        <f>+$AC774*BM774</f>
        <v>0</v>
      </c>
      <c r="AO774" s="5">
        <f>+$AC774*BN774</f>
        <v>0</v>
      </c>
      <c r="AP774" s="5">
        <f>+AC774+P774+C774</f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2">
        <v>8.9181565948742242E-2</v>
      </c>
      <c r="BD774" s="2">
        <v>0.10665277883445198</v>
      </c>
      <c r="BE774" s="2">
        <v>9.438849084854764E-2</v>
      </c>
      <c r="BF774" s="2">
        <v>7.149564986855049E-2</v>
      </c>
      <c r="BG774" s="2">
        <v>0.10368571810536763</v>
      </c>
      <c r="BH774" s="2">
        <v>8.4970330952544637E-2</v>
      </c>
      <c r="BI774" s="2">
        <v>8.4593878877262704E-2</v>
      </c>
      <c r="BJ774" s="2">
        <v>5.7447105462779965E-2</v>
      </c>
      <c r="BK774" s="2">
        <v>8.5153852345557474E-2</v>
      </c>
      <c r="BL774" s="2">
        <v>7.4158058913035174E-2</v>
      </c>
      <c r="BM774" s="2">
        <v>7.5718189192107169E-2</v>
      </c>
      <c r="BN774" s="2">
        <v>7.3955559365675619E-2</v>
      </c>
    </row>
    <row r="775" spans="1:66" x14ac:dyDescent="0.25">
      <c r="A775" s="8">
        <v>5485</v>
      </c>
      <c r="B775" s="8" t="s">
        <v>221</v>
      </c>
      <c r="C775" s="5">
        <v>0</v>
      </c>
      <c r="D775" s="5">
        <f>+$C775*BC775</f>
        <v>0</v>
      </c>
      <c r="E775" s="5">
        <f>+$C775*BD775</f>
        <v>0</v>
      </c>
      <c r="F775" s="5">
        <f>+$C775*BE775</f>
        <v>0</v>
      </c>
      <c r="G775" s="5">
        <f>+$C775*BF775</f>
        <v>0</v>
      </c>
      <c r="H775" s="5">
        <f>+$C775*BG775</f>
        <v>0</v>
      </c>
      <c r="I775" s="5">
        <f>+$C775*BH775</f>
        <v>0</v>
      </c>
      <c r="J775" s="5">
        <f>+$C775*BI775</f>
        <v>0</v>
      </c>
      <c r="K775" s="5">
        <f>+$C775*BJ775</f>
        <v>0</v>
      </c>
      <c r="L775" s="5">
        <f>+$C775*BK775</f>
        <v>0</v>
      </c>
      <c r="M775" s="5">
        <f>+$C775*BL775</f>
        <v>0</v>
      </c>
      <c r="N775" s="5">
        <f>+$C775*BM775</f>
        <v>0</v>
      </c>
      <c r="O775" s="5">
        <f>+$C775*BN775</f>
        <v>0</v>
      </c>
      <c r="P775" s="5">
        <v>0</v>
      </c>
      <c r="Q775" s="5">
        <f>+$P775*BC775</f>
        <v>0</v>
      </c>
      <c r="R775" s="5">
        <f>+$P775*BD775</f>
        <v>0</v>
      </c>
      <c r="S775" s="5">
        <f>+$P775*BE775</f>
        <v>0</v>
      </c>
      <c r="T775" s="5">
        <f>+$P775*BF775</f>
        <v>0</v>
      </c>
      <c r="U775" s="5">
        <f>+$P775*BG775</f>
        <v>0</v>
      </c>
      <c r="V775" s="5">
        <f>+$P775*BH775</f>
        <v>0</v>
      </c>
      <c r="W775" s="5">
        <f>+$P775*BI775</f>
        <v>0</v>
      </c>
      <c r="X775" s="5">
        <f>+$P775*BJ775</f>
        <v>0</v>
      </c>
      <c r="Y775" s="5">
        <f>+$P775*BK775</f>
        <v>0</v>
      </c>
      <c r="Z775" s="5">
        <f>+$P775*BL775</f>
        <v>0</v>
      </c>
      <c r="AA775" s="5">
        <f>+$P775*BM775</f>
        <v>0</v>
      </c>
      <c r="AB775" s="5">
        <f>+$P775*BN775</f>
        <v>0</v>
      </c>
      <c r="AC775" s="5">
        <v>0</v>
      </c>
      <c r="AD775" s="5">
        <f>+$AC775*BC775</f>
        <v>0</v>
      </c>
      <c r="AE775" s="5">
        <f>+$AC775*BD775</f>
        <v>0</v>
      </c>
      <c r="AF775" s="5">
        <f>+$AC775*BE775</f>
        <v>0</v>
      </c>
      <c r="AG775" s="5">
        <f>+$AC775*BF775</f>
        <v>0</v>
      </c>
      <c r="AH775" s="5">
        <f>+$AC775*BG775</f>
        <v>0</v>
      </c>
      <c r="AI775" s="5">
        <f>+$AC775*BH775</f>
        <v>0</v>
      </c>
      <c r="AJ775" s="5">
        <f>+$AC775*BI775</f>
        <v>0</v>
      </c>
      <c r="AK775" s="5">
        <f>+$AC775*BJ775</f>
        <v>0</v>
      </c>
      <c r="AL775" s="5">
        <f>+$AC775*BK775</f>
        <v>0</v>
      </c>
      <c r="AM775" s="5">
        <f>+$AC775*BL775</f>
        <v>0</v>
      </c>
      <c r="AN775" s="5">
        <f>+$AC775*BM775</f>
        <v>0</v>
      </c>
      <c r="AO775" s="5">
        <f>+$AC775*BN775</f>
        <v>0</v>
      </c>
      <c r="AP775" s="5">
        <f>+AC775+P775+C775</f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2">
        <v>8.9181565948742242E-2</v>
      </c>
      <c r="BD775" s="2">
        <v>0.10665277883445198</v>
      </c>
      <c r="BE775" s="2">
        <v>9.438849084854764E-2</v>
      </c>
      <c r="BF775" s="2">
        <v>7.149564986855049E-2</v>
      </c>
      <c r="BG775" s="2">
        <v>0.10368571810536763</v>
      </c>
      <c r="BH775" s="2">
        <v>8.4970330952544637E-2</v>
      </c>
      <c r="BI775" s="2">
        <v>8.4593878877262704E-2</v>
      </c>
      <c r="BJ775" s="2">
        <v>5.7447105462779965E-2</v>
      </c>
      <c r="BK775" s="2">
        <v>8.5153852345557474E-2</v>
      </c>
      <c r="BL775" s="2">
        <v>7.4158058913035174E-2</v>
      </c>
      <c r="BM775" s="2">
        <v>7.5718189192107169E-2</v>
      </c>
      <c r="BN775" s="2">
        <v>7.3955559365675619E-2</v>
      </c>
    </row>
    <row r="776" spans="1:66" x14ac:dyDescent="0.25">
      <c r="A776" s="8">
        <v>5489</v>
      </c>
      <c r="B776" s="8" t="s">
        <v>220</v>
      </c>
      <c r="C776" s="5">
        <v>0</v>
      </c>
      <c r="D776" s="5">
        <f>+$C776*BC776</f>
        <v>0</v>
      </c>
      <c r="E776" s="5">
        <f>+$C776*BD776</f>
        <v>0</v>
      </c>
      <c r="F776" s="5">
        <f>+$C776*BE776</f>
        <v>0</v>
      </c>
      <c r="G776" s="5">
        <f>+$C776*BF776</f>
        <v>0</v>
      </c>
      <c r="H776" s="5">
        <f>+$C776*BG776</f>
        <v>0</v>
      </c>
      <c r="I776" s="5">
        <f>+$C776*BH776</f>
        <v>0</v>
      </c>
      <c r="J776" s="5">
        <f>+$C776*BI776</f>
        <v>0</v>
      </c>
      <c r="K776" s="5">
        <f>+$C776*BJ776</f>
        <v>0</v>
      </c>
      <c r="L776" s="5">
        <f>+$C776*BK776</f>
        <v>0</v>
      </c>
      <c r="M776" s="5">
        <f>+$C776*BL776</f>
        <v>0</v>
      </c>
      <c r="N776" s="5">
        <f>+$C776*BM776</f>
        <v>0</v>
      </c>
      <c r="O776" s="5">
        <f>+$C776*BN776</f>
        <v>0</v>
      </c>
      <c r="P776" s="5">
        <v>0</v>
      </c>
      <c r="Q776" s="5">
        <f>+$P776*BC776</f>
        <v>0</v>
      </c>
      <c r="R776" s="5">
        <f>+$P776*BD776</f>
        <v>0</v>
      </c>
      <c r="S776" s="5">
        <f>+$P776*BE776</f>
        <v>0</v>
      </c>
      <c r="T776" s="5">
        <f>+$P776*BF776</f>
        <v>0</v>
      </c>
      <c r="U776" s="5">
        <f>+$P776*BG776</f>
        <v>0</v>
      </c>
      <c r="V776" s="5">
        <f>+$P776*BH776</f>
        <v>0</v>
      </c>
      <c r="W776" s="5">
        <f>+$P776*BI776</f>
        <v>0</v>
      </c>
      <c r="X776" s="5">
        <f>+$P776*BJ776</f>
        <v>0</v>
      </c>
      <c r="Y776" s="5">
        <f>+$P776*BK776</f>
        <v>0</v>
      </c>
      <c r="Z776" s="5">
        <f>+$P776*BL776</f>
        <v>0</v>
      </c>
      <c r="AA776" s="5">
        <f>+$P776*BM776</f>
        <v>0</v>
      </c>
      <c r="AB776" s="5">
        <f>+$P776*BN776</f>
        <v>0</v>
      </c>
      <c r="AC776" s="5">
        <v>0</v>
      </c>
      <c r="AD776" s="5">
        <f>+$AC776*BC776</f>
        <v>0</v>
      </c>
      <c r="AE776" s="5">
        <f>+$AC776*BD776</f>
        <v>0</v>
      </c>
      <c r="AF776" s="5">
        <f>+$AC776*BE776</f>
        <v>0</v>
      </c>
      <c r="AG776" s="5">
        <f>+$AC776*BF776</f>
        <v>0</v>
      </c>
      <c r="AH776" s="5">
        <f>+$AC776*BG776</f>
        <v>0</v>
      </c>
      <c r="AI776" s="5">
        <f>+$AC776*BH776</f>
        <v>0</v>
      </c>
      <c r="AJ776" s="5">
        <f>+$AC776*BI776</f>
        <v>0</v>
      </c>
      <c r="AK776" s="5">
        <f>+$AC776*BJ776</f>
        <v>0</v>
      </c>
      <c r="AL776" s="5">
        <f>+$AC776*BK776</f>
        <v>0</v>
      </c>
      <c r="AM776" s="5">
        <f>+$AC776*BL776</f>
        <v>0</v>
      </c>
      <c r="AN776" s="5">
        <f>+$AC776*BM776</f>
        <v>0</v>
      </c>
      <c r="AO776" s="5">
        <f>+$AC776*BN776</f>
        <v>0</v>
      </c>
      <c r="AP776" s="5">
        <f>+AC776+P776+C776</f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2">
        <v>8.9181565948742242E-2</v>
      </c>
      <c r="BD776" s="2">
        <v>0.10665277883445198</v>
      </c>
      <c r="BE776" s="2">
        <v>9.438849084854764E-2</v>
      </c>
      <c r="BF776" s="2">
        <v>7.149564986855049E-2</v>
      </c>
      <c r="BG776" s="2">
        <v>0.10368571810536763</v>
      </c>
      <c r="BH776" s="2">
        <v>8.4970330952544637E-2</v>
      </c>
      <c r="BI776" s="2">
        <v>8.4593878877262704E-2</v>
      </c>
      <c r="BJ776" s="2">
        <v>5.7447105462779965E-2</v>
      </c>
      <c r="BK776" s="2">
        <v>8.5153852345557474E-2</v>
      </c>
      <c r="BL776" s="2">
        <v>7.4158058913035174E-2</v>
      </c>
      <c r="BM776" s="2">
        <v>7.5718189192107169E-2</v>
      </c>
      <c r="BN776" s="2">
        <v>7.3955559365675619E-2</v>
      </c>
    </row>
    <row r="777" spans="1:66" x14ac:dyDescent="0.25">
      <c r="A777" s="8">
        <v>5492</v>
      </c>
      <c r="B777" s="8" t="s">
        <v>219</v>
      </c>
      <c r="C777" s="5">
        <v>0</v>
      </c>
      <c r="D777" s="5">
        <f>+$C777*BC777</f>
        <v>0</v>
      </c>
      <c r="E777" s="5">
        <f>+$C777*BD777</f>
        <v>0</v>
      </c>
      <c r="F777" s="5">
        <f>+$C777*BE777</f>
        <v>0</v>
      </c>
      <c r="G777" s="5">
        <f>+$C777*BF777</f>
        <v>0</v>
      </c>
      <c r="H777" s="5">
        <f>+$C777*BG777</f>
        <v>0</v>
      </c>
      <c r="I777" s="5">
        <f>+$C777*BH777</f>
        <v>0</v>
      </c>
      <c r="J777" s="5">
        <f>+$C777*BI777</f>
        <v>0</v>
      </c>
      <c r="K777" s="5">
        <f>+$C777*BJ777</f>
        <v>0</v>
      </c>
      <c r="L777" s="5">
        <f>+$C777*BK777</f>
        <v>0</v>
      </c>
      <c r="M777" s="5">
        <f>+$C777*BL777</f>
        <v>0</v>
      </c>
      <c r="N777" s="5">
        <f>+$C777*BM777</f>
        <v>0</v>
      </c>
      <c r="O777" s="5">
        <f>+$C777*BN777</f>
        <v>0</v>
      </c>
      <c r="P777" s="5">
        <v>0</v>
      </c>
      <c r="Q777" s="5">
        <f>+$P777*BC777</f>
        <v>0</v>
      </c>
      <c r="R777" s="5">
        <f>+$P777*BD777</f>
        <v>0</v>
      </c>
      <c r="S777" s="5">
        <f>+$P777*BE777</f>
        <v>0</v>
      </c>
      <c r="T777" s="5">
        <f>+$P777*BF777</f>
        <v>0</v>
      </c>
      <c r="U777" s="5">
        <f>+$P777*BG777</f>
        <v>0</v>
      </c>
      <c r="V777" s="5">
        <f>+$P777*BH777</f>
        <v>0</v>
      </c>
      <c r="W777" s="5">
        <f>+$P777*BI777</f>
        <v>0</v>
      </c>
      <c r="X777" s="5">
        <f>+$P777*BJ777</f>
        <v>0</v>
      </c>
      <c r="Y777" s="5">
        <f>+$P777*BK777</f>
        <v>0</v>
      </c>
      <c r="Z777" s="5">
        <f>+$P777*BL777</f>
        <v>0</v>
      </c>
      <c r="AA777" s="5">
        <f>+$P777*BM777</f>
        <v>0</v>
      </c>
      <c r="AB777" s="5">
        <f>+$P777*BN777</f>
        <v>0</v>
      </c>
      <c r="AC777" s="5">
        <v>0</v>
      </c>
      <c r="AD777" s="5">
        <f>+$AC777*BC777</f>
        <v>0</v>
      </c>
      <c r="AE777" s="5">
        <f>+$AC777*BD777</f>
        <v>0</v>
      </c>
      <c r="AF777" s="5">
        <f>+$AC777*BE777</f>
        <v>0</v>
      </c>
      <c r="AG777" s="5">
        <f>+$AC777*BF777</f>
        <v>0</v>
      </c>
      <c r="AH777" s="5">
        <f>+$AC777*BG777</f>
        <v>0</v>
      </c>
      <c r="AI777" s="5">
        <f>+$AC777*BH777</f>
        <v>0</v>
      </c>
      <c r="AJ777" s="5">
        <f>+$AC777*BI777</f>
        <v>0</v>
      </c>
      <c r="AK777" s="5">
        <f>+$AC777*BJ777</f>
        <v>0</v>
      </c>
      <c r="AL777" s="5">
        <f>+$AC777*BK777</f>
        <v>0</v>
      </c>
      <c r="AM777" s="5">
        <f>+$AC777*BL777</f>
        <v>0</v>
      </c>
      <c r="AN777" s="5">
        <f>+$AC777*BM777</f>
        <v>0</v>
      </c>
      <c r="AO777" s="5">
        <f>+$AC777*BN777</f>
        <v>0</v>
      </c>
      <c r="AP777" s="5">
        <f>+AC777+P777+C777</f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2">
        <v>8.9181565948742242E-2</v>
      </c>
      <c r="BD777" s="2">
        <v>0.10665277883445198</v>
      </c>
      <c r="BE777" s="2">
        <v>9.438849084854764E-2</v>
      </c>
      <c r="BF777" s="2">
        <v>7.149564986855049E-2</v>
      </c>
      <c r="BG777" s="2">
        <v>0.10368571810536763</v>
      </c>
      <c r="BH777" s="2">
        <v>8.4970330952544637E-2</v>
      </c>
      <c r="BI777" s="2">
        <v>8.4593878877262704E-2</v>
      </c>
      <c r="BJ777" s="2">
        <v>5.7447105462779965E-2</v>
      </c>
      <c r="BK777" s="2">
        <v>8.5153852345557474E-2</v>
      </c>
      <c r="BL777" s="2">
        <v>7.4158058913035174E-2</v>
      </c>
      <c r="BM777" s="2">
        <v>7.5718189192107169E-2</v>
      </c>
      <c r="BN777" s="2">
        <v>7.3955559365675619E-2</v>
      </c>
    </row>
    <row r="778" spans="1:66" x14ac:dyDescent="0.25">
      <c r="A778" s="8">
        <v>5493</v>
      </c>
      <c r="B778" s="8" t="s">
        <v>218</v>
      </c>
      <c r="C778" s="5">
        <v>0</v>
      </c>
      <c r="D778" s="5">
        <f>+$C778*BC778</f>
        <v>0</v>
      </c>
      <c r="E778" s="5">
        <f>+$C778*BD778</f>
        <v>0</v>
      </c>
      <c r="F778" s="5">
        <f>+$C778*BE778</f>
        <v>0</v>
      </c>
      <c r="G778" s="5">
        <f>+$C778*BF778</f>
        <v>0</v>
      </c>
      <c r="H778" s="5">
        <f>+$C778*BG778</f>
        <v>0</v>
      </c>
      <c r="I778" s="5">
        <f>+$C778*BH778</f>
        <v>0</v>
      </c>
      <c r="J778" s="5">
        <f>+$C778*BI778</f>
        <v>0</v>
      </c>
      <c r="K778" s="5">
        <f>+$C778*BJ778</f>
        <v>0</v>
      </c>
      <c r="L778" s="5">
        <f>+$C778*BK778</f>
        <v>0</v>
      </c>
      <c r="M778" s="5">
        <f>+$C778*BL778</f>
        <v>0</v>
      </c>
      <c r="N778" s="5">
        <f>+$C778*BM778</f>
        <v>0</v>
      </c>
      <c r="O778" s="5">
        <f>+$C778*BN778</f>
        <v>0</v>
      </c>
      <c r="P778" s="5">
        <v>0</v>
      </c>
      <c r="Q778" s="5">
        <f>+$P778*BC778</f>
        <v>0</v>
      </c>
      <c r="R778" s="5">
        <f>+$P778*BD778</f>
        <v>0</v>
      </c>
      <c r="S778" s="5">
        <f>+$P778*BE778</f>
        <v>0</v>
      </c>
      <c r="T778" s="5">
        <f>+$P778*BF778</f>
        <v>0</v>
      </c>
      <c r="U778" s="5">
        <f>+$P778*BG778</f>
        <v>0</v>
      </c>
      <c r="V778" s="5">
        <f>+$P778*BH778</f>
        <v>0</v>
      </c>
      <c r="W778" s="5">
        <f>+$P778*BI778</f>
        <v>0</v>
      </c>
      <c r="X778" s="5">
        <f>+$P778*BJ778</f>
        <v>0</v>
      </c>
      <c r="Y778" s="5">
        <f>+$P778*BK778</f>
        <v>0</v>
      </c>
      <c r="Z778" s="5">
        <f>+$P778*BL778</f>
        <v>0</v>
      </c>
      <c r="AA778" s="5">
        <f>+$P778*BM778</f>
        <v>0</v>
      </c>
      <c r="AB778" s="5">
        <f>+$P778*BN778</f>
        <v>0</v>
      </c>
      <c r="AC778" s="5">
        <v>0</v>
      </c>
      <c r="AD778" s="5">
        <f>+$AC778*BC778</f>
        <v>0</v>
      </c>
      <c r="AE778" s="5">
        <f>+$AC778*BD778</f>
        <v>0</v>
      </c>
      <c r="AF778" s="5">
        <f>+$AC778*BE778</f>
        <v>0</v>
      </c>
      <c r="AG778" s="5">
        <f>+$AC778*BF778</f>
        <v>0</v>
      </c>
      <c r="AH778" s="5">
        <f>+$AC778*BG778</f>
        <v>0</v>
      </c>
      <c r="AI778" s="5">
        <f>+$AC778*BH778</f>
        <v>0</v>
      </c>
      <c r="AJ778" s="5">
        <f>+$AC778*BI778</f>
        <v>0</v>
      </c>
      <c r="AK778" s="5">
        <f>+$AC778*BJ778</f>
        <v>0</v>
      </c>
      <c r="AL778" s="5">
        <f>+$AC778*BK778</f>
        <v>0</v>
      </c>
      <c r="AM778" s="5">
        <f>+$AC778*BL778</f>
        <v>0</v>
      </c>
      <c r="AN778" s="5">
        <f>+$AC778*BM778</f>
        <v>0</v>
      </c>
      <c r="AO778" s="5">
        <f>+$AC778*BN778</f>
        <v>0</v>
      </c>
      <c r="AP778" s="5">
        <f>+AC778+P778+C778</f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2">
        <v>8.9181565948742242E-2</v>
      </c>
      <c r="BD778" s="2">
        <v>0.10665277883445198</v>
      </c>
      <c r="BE778" s="2">
        <v>9.438849084854764E-2</v>
      </c>
      <c r="BF778" s="2">
        <v>7.149564986855049E-2</v>
      </c>
      <c r="BG778" s="2">
        <v>0.10368571810536763</v>
      </c>
      <c r="BH778" s="2">
        <v>8.4970330952544637E-2</v>
      </c>
      <c r="BI778" s="2">
        <v>8.4593878877262704E-2</v>
      </c>
      <c r="BJ778" s="2">
        <v>5.7447105462779965E-2</v>
      </c>
      <c r="BK778" s="2">
        <v>8.5153852345557474E-2</v>
      </c>
      <c r="BL778" s="2">
        <v>7.4158058913035174E-2</v>
      </c>
      <c r="BM778" s="2">
        <v>7.5718189192107169E-2</v>
      </c>
      <c r="BN778" s="2">
        <v>7.3955559365675619E-2</v>
      </c>
    </row>
    <row r="779" spans="1:66" x14ac:dyDescent="0.25">
      <c r="A779" s="8">
        <v>5494</v>
      </c>
      <c r="B779" s="8" t="s">
        <v>217</v>
      </c>
      <c r="C779" s="5">
        <v>0</v>
      </c>
      <c r="D779" s="5">
        <f>+$C779*BC779</f>
        <v>0</v>
      </c>
      <c r="E779" s="5">
        <f>+$C779*BD779</f>
        <v>0</v>
      </c>
      <c r="F779" s="5">
        <f>+$C779*BE779</f>
        <v>0</v>
      </c>
      <c r="G779" s="5">
        <f>+$C779*BF779</f>
        <v>0</v>
      </c>
      <c r="H779" s="5">
        <f>+$C779*BG779</f>
        <v>0</v>
      </c>
      <c r="I779" s="5">
        <f>+$C779*BH779</f>
        <v>0</v>
      </c>
      <c r="J779" s="5">
        <f>+$C779*BI779</f>
        <v>0</v>
      </c>
      <c r="K779" s="5">
        <f>+$C779*BJ779</f>
        <v>0</v>
      </c>
      <c r="L779" s="5">
        <f>+$C779*BK779</f>
        <v>0</v>
      </c>
      <c r="M779" s="5">
        <f>+$C779*BL779</f>
        <v>0</v>
      </c>
      <c r="N779" s="5">
        <f>+$C779*BM779</f>
        <v>0</v>
      </c>
      <c r="O779" s="5">
        <f>+$C779*BN779</f>
        <v>0</v>
      </c>
      <c r="P779" s="5">
        <v>0</v>
      </c>
      <c r="Q779" s="5">
        <f>+$P779*BC779</f>
        <v>0</v>
      </c>
      <c r="R779" s="5">
        <f>+$P779*BD779</f>
        <v>0</v>
      </c>
      <c r="S779" s="5">
        <f>+$P779*BE779</f>
        <v>0</v>
      </c>
      <c r="T779" s="5">
        <f>+$P779*BF779</f>
        <v>0</v>
      </c>
      <c r="U779" s="5">
        <f>+$P779*BG779</f>
        <v>0</v>
      </c>
      <c r="V779" s="5">
        <f>+$P779*BH779</f>
        <v>0</v>
      </c>
      <c r="W779" s="5">
        <f>+$P779*BI779</f>
        <v>0</v>
      </c>
      <c r="X779" s="5">
        <f>+$P779*BJ779</f>
        <v>0</v>
      </c>
      <c r="Y779" s="5">
        <f>+$P779*BK779</f>
        <v>0</v>
      </c>
      <c r="Z779" s="5">
        <f>+$P779*BL779</f>
        <v>0</v>
      </c>
      <c r="AA779" s="5">
        <f>+$P779*BM779</f>
        <v>0</v>
      </c>
      <c r="AB779" s="5">
        <f>+$P779*BN779</f>
        <v>0</v>
      </c>
      <c r="AC779" s="5">
        <v>0</v>
      </c>
      <c r="AD779" s="5">
        <f>+$AC779*BC779</f>
        <v>0</v>
      </c>
      <c r="AE779" s="5">
        <f>+$AC779*BD779</f>
        <v>0</v>
      </c>
      <c r="AF779" s="5">
        <f>+$AC779*BE779</f>
        <v>0</v>
      </c>
      <c r="AG779" s="5">
        <f>+$AC779*BF779</f>
        <v>0</v>
      </c>
      <c r="AH779" s="5">
        <f>+$AC779*BG779</f>
        <v>0</v>
      </c>
      <c r="AI779" s="5">
        <f>+$AC779*BH779</f>
        <v>0</v>
      </c>
      <c r="AJ779" s="5">
        <f>+$AC779*BI779</f>
        <v>0</v>
      </c>
      <c r="AK779" s="5">
        <f>+$AC779*BJ779</f>
        <v>0</v>
      </c>
      <c r="AL779" s="5">
        <f>+$AC779*BK779</f>
        <v>0</v>
      </c>
      <c r="AM779" s="5">
        <f>+$AC779*BL779</f>
        <v>0</v>
      </c>
      <c r="AN779" s="5">
        <f>+$AC779*BM779</f>
        <v>0</v>
      </c>
      <c r="AO779" s="5">
        <f>+$AC779*BN779</f>
        <v>0</v>
      </c>
      <c r="AP779" s="5">
        <f>+AC779+P779+C779</f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2">
        <v>8.9181565948742242E-2</v>
      </c>
      <c r="BD779" s="2">
        <v>0.10665277883445198</v>
      </c>
      <c r="BE779" s="2">
        <v>9.438849084854764E-2</v>
      </c>
      <c r="BF779" s="2">
        <v>7.149564986855049E-2</v>
      </c>
      <c r="BG779" s="2">
        <v>0.10368571810536763</v>
      </c>
      <c r="BH779" s="2">
        <v>8.4970330952544637E-2</v>
      </c>
      <c r="BI779" s="2">
        <v>8.4593878877262704E-2</v>
      </c>
      <c r="BJ779" s="2">
        <v>5.7447105462779965E-2</v>
      </c>
      <c r="BK779" s="2">
        <v>8.5153852345557474E-2</v>
      </c>
      <c r="BL779" s="2">
        <v>7.4158058913035174E-2</v>
      </c>
      <c r="BM779" s="2">
        <v>7.5718189192107169E-2</v>
      </c>
      <c r="BN779" s="2">
        <v>7.3955559365675619E-2</v>
      </c>
    </row>
    <row r="780" spans="1:66" x14ac:dyDescent="0.25">
      <c r="A780" s="8">
        <v>5495</v>
      </c>
      <c r="B780" s="8" t="s">
        <v>216</v>
      </c>
      <c r="C780" s="5">
        <v>0</v>
      </c>
      <c r="D780" s="5">
        <f>+$C780*BC780</f>
        <v>0</v>
      </c>
      <c r="E780" s="5">
        <f>+$C780*BD780</f>
        <v>0</v>
      </c>
      <c r="F780" s="5">
        <f>+$C780*BE780</f>
        <v>0</v>
      </c>
      <c r="G780" s="5">
        <f>+$C780*BF780</f>
        <v>0</v>
      </c>
      <c r="H780" s="5">
        <f>+$C780*BG780</f>
        <v>0</v>
      </c>
      <c r="I780" s="5">
        <f>+$C780*BH780</f>
        <v>0</v>
      </c>
      <c r="J780" s="5">
        <f>+$C780*BI780</f>
        <v>0</v>
      </c>
      <c r="K780" s="5">
        <f>+$C780*BJ780</f>
        <v>0</v>
      </c>
      <c r="L780" s="5">
        <f>+$C780*BK780</f>
        <v>0</v>
      </c>
      <c r="M780" s="5">
        <f>+$C780*BL780</f>
        <v>0</v>
      </c>
      <c r="N780" s="5">
        <f>+$C780*BM780</f>
        <v>0</v>
      </c>
      <c r="O780" s="5">
        <f>+$C780*BN780</f>
        <v>0</v>
      </c>
      <c r="P780" s="5">
        <v>0</v>
      </c>
      <c r="Q780" s="5">
        <f>+$P780*BC780</f>
        <v>0</v>
      </c>
      <c r="R780" s="5">
        <f>+$P780*BD780</f>
        <v>0</v>
      </c>
      <c r="S780" s="5">
        <f>+$P780*BE780</f>
        <v>0</v>
      </c>
      <c r="T780" s="5">
        <f>+$P780*BF780</f>
        <v>0</v>
      </c>
      <c r="U780" s="5">
        <f>+$P780*BG780</f>
        <v>0</v>
      </c>
      <c r="V780" s="5">
        <f>+$P780*BH780</f>
        <v>0</v>
      </c>
      <c r="W780" s="5">
        <f>+$P780*BI780</f>
        <v>0</v>
      </c>
      <c r="X780" s="5">
        <f>+$P780*BJ780</f>
        <v>0</v>
      </c>
      <c r="Y780" s="5">
        <f>+$P780*BK780</f>
        <v>0</v>
      </c>
      <c r="Z780" s="5">
        <f>+$P780*BL780</f>
        <v>0</v>
      </c>
      <c r="AA780" s="5">
        <f>+$P780*BM780</f>
        <v>0</v>
      </c>
      <c r="AB780" s="5">
        <f>+$P780*BN780</f>
        <v>0</v>
      </c>
      <c r="AC780" s="5">
        <v>0</v>
      </c>
      <c r="AD780" s="5">
        <f>+$AC780*BC780</f>
        <v>0</v>
      </c>
      <c r="AE780" s="5">
        <f>+$AC780*BD780</f>
        <v>0</v>
      </c>
      <c r="AF780" s="5">
        <f>+$AC780*BE780</f>
        <v>0</v>
      </c>
      <c r="AG780" s="5">
        <f>+$AC780*BF780</f>
        <v>0</v>
      </c>
      <c r="AH780" s="5">
        <f>+$AC780*BG780</f>
        <v>0</v>
      </c>
      <c r="AI780" s="5">
        <f>+$AC780*BH780</f>
        <v>0</v>
      </c>
      <c r="AJ780" s="5">
        <f>+$AC780*BI780</f>
        <v>0</v>
      </c>
      <c r="AK780" s="5">
        <f>+$AC780*BJ780</f>
        <v>0</v>
      </c>
      <c r="AL780" s="5">
        <f>+$AC780*BK780</f>
        <v>0</v>
      </c>
      <c r="AM780" s="5">
        <f>+$AC780*BL780</f>
        <v>0</v>
      </c>
      <c r="AN780" s="5">
        <f>+$AC780*BM780</f>
        <v>0</v>
      </c>
      <c r="AO780" s="5">
        <f>+$AC780*BN780</f>
        <v>0</v>
      </c>
      <c r="AP780" s="5">
        <f>+AC780+P780+C780</f>
        <v>0</v>
      </c>
      <c r="AQ780" s="1">
        <v>41.545232497221576</v>
      </c>
      <c r="AR780" s="1">
        <v>49.684197020029458</v>
      </c>
      <c r="AS780" s="1">
        <v>43.97087846179592</v>
      </c>
      <c r="AT780" s="1">
        <v>33.306248491264249</v>
      </c>
      <c r="AU780" s="1">
        <v>48.30199177938551</v>
      </c>
      <c r="AV780" s="1">
        <v>39.583428674242924</v>
      </c>
      <c r="AW780" s="1">
        <v>39.408058474972833</v>
      </c>
      <c r="AX780" s="1">
        <v>26.761734079836049</v>
      </c>
      <c r="AY780" s="1">
        <v>39.668922115177949</v>
      </c>
      <c r="AZ780" s="1">
        <v>34.546531744637434</v>
      </c>
      <c r="BA780" s="1">
        <v>35.273318435143125</v>
      </c>
      <c r="BB780" s="1">
        <v>34.452197330499992</v>
      </c>
      <c r="BC780" s="2">
        <v>8.9181565948742242E-2</v>
      </c>
      <c r="BD780" s="2">
        <v>0.10665277883445198</v>
      </c>
      <c r="BE780" s="2">
        <v>9.438849084854764E-2</v>
      </c>
      <c r="BF780" s="2">
        <v>7.149564986855049E-2</v>
      </c>
      <c r="BG780" s="2">
        <v>0.10368571810536763</v>
      </c>
      <c r="BH780" s="2">
        <v>8.4970330952544637E-2</v>
      </c>
      <c r="BI780" s="2">
        <v>8.4593878877262704E-2</v>
      </c>
      <c r="BJ780" s="2">
        <v>5.7447105462779965E-2</v>
      </c>
      <c r="BK780" s="2">
        <v>8.5153852345557474E-2</v>
      </c>
      <c r="BL780" s="2">
        <v>7.4158058913035174E-2</v>
      </c>
      <c r="BM780" s="2">
        <v>7.5718189192107169E-2</v>
      </c>
      <c r="BN780" s="2">
        <v>7.3955559365675619E-2</v>
      </c>
    </row>
    <row r="781" spans="1:66" x14ac:dyDescent="0.25">
      <c r="A781" s="8">
        <v>5497</v>
      </c>
      <c r="B781" s="8" t="s">
        <v>215</v>
      </c>
      <c r="C781" s="5">
        <v>0</v>
      </c>
      <c r="D781" s="5">
        <f>+$C781*BC781</f>
        <v>0</v>
      </c>
      <c r="E781" s="5">
        <f>+$C781*BD781</f>
        <v>0</v>
      </c>
      <c r="F781" s="5">
        <f>+$C781*BE781</f>
        <v>0</v>
      </c>
      <c r="G781" s="5">
        <f>+$C781*BF781</f>
        <v>0</v>
      </c>
      <c r="H781" s="5">
        <f>+$C781*BG781</f>
        <v>0</v>
      </c>
      <c r="I781" s="5">
        <f>+$C781*BH781</f>
        <v>0</v>
      </c>
      <c r="J781" s="5">
        <f>+$C781*BI781</f>
        <v>0</v>
      </c>
      <c r="K781" s="5">
        <f>+$C781*BJ781</f>
        <v>0</v>
      </c>
      <c r="L781" s="5">
        <f>+$C781*BK781</f>
        <v>0</v>
      </c>
      <c r="M781" s="5">
        <f>+$C781*BL781</f>
        <v>0</v>
      </c>
      <c r="N781" s="5">
        <f>+$C781*BM781</f>
        <v>0</v>
      </c>
      <c r="O781" s="5">
        <f>+$C781*BN781</f>
        <v>0</v>
      </c>
      <c r="P781" s="5">
        <v>0</v>
      </c>
      <c r="Q781" s="5">
        <f>+$P781*BC781</f>
        <v>0</v>
      </c>
      <c r="R781" s="5">
        <f>+$P781*BD781</f>
        <v>0</v>
      </c>
      <c r="S781" s="5">
        <f>+$P781*BE781</f>
        <v>0</v>
      </c>
      <c r="T781" s="5">
        <f>+$P781*BF781</f>
        <v>0</v>
      </c>
      <c r="U781" s="5">
        <f>+$P781*BG781</f>
        <v>0</v>
      </c>
      <c r="V781" s="5">
        <f>+$P781*BH781</f>
        <v>0</v>
      </c>
      <c r="W781" s="5">
        <f>+$P781*BI781</f>
        <v>0</v>
      </c>
      <c r="X781" s="5">
        <f>+$P781*BJ781</f>
        <v>0</v>
      </c>
      <c r="Y781" s="5">
        <f>+$P781*BK781</f>
        <v>0</v>
      </c>
      <c r="Z781" s="5">
        <f>+$P781*BL781</f>
        <v>0</v>
      </c>
      <c r="AA781" s="5">
        <f>+$P781*BM781</f>
        <v>0</v>
      </c>
      <c r="AB781" s="5">
        <f>+$P781*BN781</f>
        <v>0</v>
      </c>
      <c r="AC781" s="5">
        <v>0</v>
      </c>
      <c r="AD781" s="5">
        <f>+$AC781*BC781</f>
        <v>0</v>
      </c>
      <c r="AE781" s="5">
        <f>+$AC781*BD781</f>
        <v>0</v>
      </c>
      <c r="AF781" s="5">
        <f>+$AC781*BE781</f>
        <v>0</v>
      </c>
      <c r="AG781" s="5">
        <f>+$AC781*BF781</f>
        <v>0</v>
      </c>
      <c r="AH781" s="5">
        <f>+$AC781*BG781</f>
        <v>0</v>
      </c>
      <c r="AI781" s="5">
        <f>+$AC781*BH781</f>
        <v>0</v>
      </c>
      <c r="AJ781" s="5">
        <f>+$AC781*BI781</f>
        <v>0</v>
      </c>
      <c r="AK781" s="5">
        <f>+$AC781*BJ781</f>
        <v>0</v>
      </c>
      <c r="AL781" s="5">
        <f>+$AC781*BK781</f>
        <v>0</v>
      </c>
      <c r="AM781" s="5">
        <f>+$AC781*BL781</f>
        <v>0</v>
      </c>
      <c r="AN781" s="5">
        <f>+$AC781*BM781</f>
        <v>0</v>
      </c>
      <c r="AO781" s="5">
        <f>+$AC781*BN781</f>
        <v>0</v>
      </c>
      <c r="AP781" s="5">
        <f>+AC781+P781+C781</f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2">
        <v>8.9181565948742242E-2</v>
      </c>
      <c r="BD781" s="2">
        <v>0.10665277883445198</v>
      </c>
      <c r="BE781" s="2">
        <v>9.438849084854764E-2</v>
      </c>
      <c r="BF781" s="2">
        <v>7.149564986855049E-2</v>
      </c>
      <c r="BG781" s="2">
        <v>0.10368571810536763</v>
      </c>
      <c r="BH781" s="2">
        <v>8.4970330952544637E-2</v>
      </c>
      <c r="BI781" s="2">
        <v>8.4593878877262704E-2</v>
      </c>
      <c r="BJ781" s="2">
        <v>5.7447105462779965E-2</v>
      </c>
      <c r="BK781" s="2">
        <v>8.5153852345557474E-2</v>
      </c>
      <c r="BL781" s="2">
        <v>7.4158058913035174E-2</v>
      </c>
      <c r="BM781" s="2">
        <v>7.5718189192107169E-2</v>
      </c>
      <c r="BN781" s="2">
        <v>7.3955559365675619E-2</v>
      </c>
    </row>
    <row r="782" spans="1:66" x14ac:dyDescent="0.25">
      <c r="A782" s="8">
        <v>5498</v>
      </c>
      <c r="B782" s="8" t="s">
        <v>214</v>
      </c>
      <c r="C782" s="5">
        <v>0</v>
      </c>
      <c r="D782" s="5">
        <f>+$C782*BC782</f>
        <v>0</v>
      </c>
      <c r="E782" s="5">
        <f>+$C782*BD782</f>
        <v>0</v>
      </c>
      <c r="F782" s="5">
        <f>+$C782*BE782</f>
        <v>0</v>
      </c>
      <c r="G782" s="5">
        <f>+$C782*BF782</f>
        <v>0</v>
      </c>
      <c r="H782" s="5">
        <f>+$C782*BG782</f>
        <v>0</v>
      </c>
      <c r="I782" s="5">
        <f>+$C782*BH782</f>
        <v>0</v>
      </c>
      <c r="J782" s="5">
        <f>+$C782*BI782</f>
        <v>0</v>
      </c>
      <c r="K782" s="5">
        <f>+$C782*BJ782</f>
        <v>0</v>
      </c>
      <c r="L782" s="5">
        <f>+$C782*BK782</f>
        <v>0</v>
      </c>
      <c r="M782" s="5">
        <f>+$C782*BL782</f>
        <v>0</v>
      </c>
      <c r="N782" s="5">
        <f>+$C782*BM782</f>
        <v>0</v>
      </c>
      <c r="O782" s="5">
        <f>+$C782*BN782</f>
        <v>0</v>
      </c>
      <c r="P782" s="5">
        <v>0</v>
      </c>
      <c r="Q782" s="5">
        <f>+$P782*BC782</f>
        <v>0</v>
      </c>
      <c r="R782" s="5">
        <f>+$P782*BD782</f>
        <v>0</v>
      </c>
      <c r="S782" s="5">
        <f>+$P782*BE782</f>
        <v>0</v>
      </c>
      <c r="T782" s="5">
        <f>+$P782*BF782</f>
        <v>0</v>
      </c>
      <c r="U782" s="5">
        <f>+$P782*BG782</f>
        <v>0</v>
      </c>
      <c r="V782" s="5">
        <f>+$P782*BH782</f>
        <v>0</v>
      </c>
      <c r="W782" s="5">
        <f>+$P782*BI782</f>
        <v>0</v>
      </c>
      <c r="X782" s="5">
        <f>+$P782*BJ782</f>
        <v>0</v>
      </c>
      <c r="Y782" s="5">
        <f>+$P782*BK782</f>
        <v>0</v>
      </c>
      <c r="Z782" s="5">
        <f>+$P782*BL782</f>
        <v>0</v>
      </c>
      <c r="AA782" s="5">
        <f>+$P782*BM782</f>
        <v>0</v>
      </c>
      <c r="AB782" s="5">
        <f>+$P782*BN782</f>
        <v>0</v>
      </c>
      <c r="AC782" s="5">
        <v>0</v>
      </c>
      <c r="AD782" s="5">
        <f>+$AC782*BC782</f>
        <v>0</v>
      </c>
      <c r="AE782" s="5">
        <f>+$AC782*BD782</f>
        <v>0</v>
      </c>
      <c r="AF782" s="5">
        <f>+$AC782*BE782</f>
        <v>0</v>
      </c>
      <c r="AG782" s="5">
        <f>+$AC782*BF782</f>
        <v>0</v>
      </c>
      <c r="AH782" s="5">
        <f>+$AC782*BG782</f>
        <v>0</v>
      </c>
      <c r="AI782" s="5">
        <f>+$AC782*BH782</f>
        <v>0</v>
      </c>
      <c r="AJ782" s="5">
        <f>+$AC782*BI782</f>
        <v>0</v>
      </c>
      <c r="AK782" s="5">
        <f>+$AC782*BJ782</f>
        <v>0</v>
      </c>
      <c r="AL782" s="5">
        <f>+$AC782*BK782</f>
        <v>0</v>
      </c>
      <c r="AM782" s="5">
        <f>+$AC782*BL782</f>
        <v>0</v>
      </c>
      <c r="AN782" s="5">
        <f>+$AC782*BM782</f>
        <v>0</v>
      </c>
      <c r="AO782" s="5">
        <f>+$AC782*BN782</f>
        <v>0</v>
      </c>
      <c r="AP782" s="5">
        <f>+AC782+P782+C782</f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2">
        <v>8.9181565948742242E-2</v>
      </c>
      <c r="BD782" s="2">
        <v>0.10665277883445198</v>
      </c>
      <c r="BE782" s="2">
        <v>9.438849084854764E-2</v>
      </c>
      <c r="BF782" s="2">
        <v>7.149564986855049E-2</v>
      </c>
      <c r="BG782" s="2">
        <v>0.10368571810536763</v>
      </c>
      <c r="BH782" s="2">
        <v>8.4970330952544637E-2</v>
      </c>
      <c r="BI782" s="2">
        <v>8.4593878877262704E-2</v>
      </c>
      <c r="BJ782" s="2">
        <v>5.7447105462779965E-2</v>
      </c>
      <c r="BK782" s="2">
        <v>8.5153852345557474E-2</v>
      </c>
      <c r="BL782" s="2">
        <v>7.4158058913035174E-2</v>
      </c>
      <c r="BM782" s="2">
        <v>7.5718189192107169E-2</v>
      </c>
      <c r="BN782" s="2">
        <v>7.3955559365675619E-2</v>
      </c>
    </row>
    <row r="783" spans="1:66" x14ac:dyDescent="0.25">
      <c r="A783" s="8">
        <v>5500</v>
      </c>
      <c r="B783" s="8" t="s">
        <v>213</v>
      </c>
      <c r="C783" s="5">
        <v>0</v>
      </c>
      <c r="D783" s="5">
        <f>+$C783*BC783</f>
        <v>0</v>
      </c>
      <c r="E783" s="5">
        <f>+$C783*BD783</f>
        <v>0</v>
      </c>
      <c r="F783" s="5">
        <f>+$C783*BE783</f>
        <v>0</v>
      </c>
      <c r="G783" s="5">
        <f>+$C783*BF783</f>
        <v>0</v>
      </c>
      <c r="H783" s="5">
        <f>+$C783*BG783</f>
        <v>0</v>
      </c>
      <c r="I783" s="5">
        <f>+$C783*BH783</f>
        <v>0</v>
      </c>
      <c r="J783" s="5">
        <f>+$C783*BI783</f>
        <v>0</v>
      </c>
      <c r="K783" s="5">
        <f>+$C783*BJ783</f>
        <v>0</v>
      </c>
      <c r="L783" s="5">
        <f>+$C783*BK783</f>
        <v>0</v>
      </c>
      <c r="M783" s="5">
        <f>+$C783*BL783</f>
        <v>0</v>
      </c>
      <c r="N783" s="5">
        <f>+$C783*BM783</f>
        <v>0</v>
      </c>
      <c r="O783" s="5">
        <f>+$C783*BN783</f>
        <v>0</v>
      </c>
      <c r="P783" s="5">
        <v>0</v>
      </c>
      <c r="Q783" s="5">
        <f>+$P783*BC783</f>
        <v>0</v>
      </c>
      <c r="R783" s="5">
        <f>+$P783*BD783</f>
        <v>0</v>
      </c>
      <c r="S783" s="5">
        <f>+$P783*BE783</f>
        <v>0</v>
      </c>
      <c r="T783" s="5">
        <f>+$P783*BF783</f>
        <v>0</v>
      </c>
      <c r="U783" s="5">
        <f>+$P783*BG783</f>
        <v>0</v>
      </c>
      <c r="V783" s="5">
        <f>+$P783*BH783</f>
        <v>0</v>
      </c>
      <c r="W783" s="5">
        <f>+$P783*BI783</f>
        <v>0</v>
      </c>
      <c r="X783" s="5">
        <f>+$P783*BJ783</f>
        <v>0</v>
      </c>
      <c r="Y783" s="5">
        <f>+$P783*BK783</f>
        <v>0</v>
      </c>
      <c r="Z783" s="5">
        <f>+$P783*BL783</f>
        <v>0</v>
      </c>
      <c r="AA783" s="5">
        <f>+$P783*BM783</f>
        <v>0</v>
      </c>
      <c r="AB783" s="5">
        <f>+$P783*BN783</f>
        <v>0</v>
      </c>
      <c r="AC783" s="5">
        <v>0</v>
      </c>
      <c r="AD783" s="5">
        <f>+$AC783*BC783</f>
        <v>0</v>
      </c>
      <c r="AE783" s="5">
        <f>+$AC783*BD783</f>
        <v>0</v>
      </c>
      <c r="AF783" s="5">
        <f>+$AC783*BE783</f>
        <v>0</v>
      </c>
      <c r="AG783" s="5">
        <f>+$AC783*BF783</f>
        <v>0</v>
      </c>
      <c r="AH783" s="5">
        <f>+$AC783*BG783</f>
        <v>0</v>
      </c>
      <c r="AI783" s="5">
        <f>+$AC783*BH783</f>
        <v>0</v>
      </c>
      <c r="AJ783" s="5">
        <f>+$AC783*BI783</f>
        <v>0</v>
      </c>
      <c r="AK783" s="5">
        <f>+$AC783*BJ783</f>
        <v>0</v>
      </c>
      <c r="AL783" s="5">
        <f>+$AC783*BK783</f>
        <v>0</v>
      </c>
      <c r="AM783" s="5">
        <f>+$AC783*BL783</f>
        <v>0</v>
      </c>
      <c r="AN783" s="5">
        <f>+$AC783*BM783</f>
        <v>0</v>
      </c>
      <c r="AO783" s="5">
        <f>+$AC783*BN783</f>
        <v>0</v>
      </c>
      <c r="AP783" s="5">
        <f>+AC783+P783+C783</f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2">
        <v>8.9181565948742242E-2</v>
      </c>
      <c r="BD783" s="2">
        <v>0.10665277883445198</v>
      </c>
      <c r="BE783" s="2">
        <v>9.438849084854764E-2</v>
      </c>
      <c r="BF783" s="2">
        <v>7.149564986855049E-2</v>
      </c>
      <c r="BG783" s="2">
        <v>0.10368571810536763</v>
      </c>
      <c r="BH783" s="2">
        <v>8.4970330952544637E-2</v>
      </c>
      <c r="BI783" s="2">
        <v>8.4593878877262704E-2</v>
      </c>
      <c r="BJ783" s="2">
        <v>5.7447105462779965E-2</v>
      </c>
      <c r="BK783" s="2">
        <v>8.5153852345557474E-2</v>
      </c>
      <c r="BL783" s="2">
        <v>7.4158058913035174E-2</v>
      </c>
      <c r="BM783" s="2">
        <v>7.5718189192107169E-2</v>
      </c>
      <c r="BN783" s="2">
        <v>7.3955559365675619E-2</v>
      </c>
    </row>
    <row r="784" spans="1:66" x14ac:dyDescent="0.25">
      <c r="A784" s="8">
        <v>5502</v>
      </c>
      <c r="B784" s="8" t="s">
        <v>212</v>
      </c>
      <c r="C784" s="5">
        <v>0</v>
      </c>
      <c r="D784" s="5">
        <f>+$C784*BC784</f>
        <v>0</v>
      </c>
      <c r="E784" s="5">
        <f>+$C784*BD784</f>
        <v>0</v>
      </c>
      <c r="F784" s="5">
        <f>+$C784*BE784</f>
        <v>0</v>
      </c>
      <c r="G784" s="5">
        <f>+$C784*BF784</f>
        <v>0</v>
      </c>
      <c r="H784" s="5">
        <f>+$C784*BG784</f>
        <v>0</v>
      </c>
      <c r="I784" s="5">
        <f>+$C784*BH784</f>
        <v>0</v>
      </c>
      <c r="J784" s="5">
        <f>+$C784*BI784</f>
        <v>0</v>
      </c>
      <c r="K784" s="5">
        <f>+$C784*BJ784</f>
        <v>0</v>
      </c>
      <c r="L784" s="5">
        <f>+$C784*BK784</f>
        <v>0</v>
      </c>
      <c r="M784" s="5">
        <f>+$C784*BL784</f>
        <v>0</v>
      </c>
      <c r="N784" s="5">
        <f>+$C784*BM784</f>
        <v>0</v>
      </c>
      <c r="O784" s="5">
        <f>+$C784*BN784</f>
        <v>0</v>
      </c>
      <c r="P784" s="5">
        <v>0</v>
      </c>
      <c r="Q784" s="5">
        <f>+$P784*BC784</f>
        <v>0</v>
      </c>
      <c r="R784" s="5">
        <f>+$P784*BD784</f>
        <v>0</v>
      </c>
      <c r="S784" s="5">
        <f>+$P784*BE784</f>
        <v>0</v>
      </c>
      <c r="T784" s="5">
        <f>+$P784*BF784</f>
        <v>0</v>
      </c>
      <c r="U784" s="5">
        <f>+$P784*BG784</f>
        <v>0</v>
      </c>
      <c r="V784" s="5">
        <f>+$P784*BH784</f>
        <v>0</v>
      </c>
      <c r="W784" s="5">
        <f>+$P784*BI784</f>
        <v>0</v>
      </c>
      <c r="X784" s="5">
        <f>+$P784*BJ784</f>
        <v>0</v>
      </c>
      <c r="Y784" s="5">
        <f>+$P784*BK784</f>
        <v>0</v>
      </c>
      <c r="Z784" s="5">
        <f>+$P784*BL784</f>
        <v>0</v>
      </c>
      <c r="AA784" s="5">
        <f>+$P784*BM784</f>
        <v>0</v>
      </c>
      <c r="AB784" s="5">
        <f>+$P784*BN784</f>
        <v>0</v>
      </c>
      <c r="AC784" s="5">
        <v>0</v>
      </c>
      <c r="AD784" s="5">
        <f>+$AC784*BC784</f>
        <v>0</v>
      </c>
      <c r="AE784" s="5">
        <f>+$AC784*BD784</f>
        <v>0</v>
      </c>
      <c r="AF784" s="5">
        <f>+$AC784*BE784</f>
        <v>0</v>
      </c>
      <c r="AG784" s="5">
        <f>+$AC784*BF784</f>
        <v>0</v>
      </c>
      <c r="AH784" s="5">
        <f>+$AC784*BG784</f>
        <v>0</v>
      </c>
      <c r="AI784" s="5">
        <f>+$AC784*BH784</f>
        <v>0</v>
      </c>
      <c r="AJ784" s="5">
        <f>+$AC784*BI784</f>
        <v>0</v>
      </c>
      <c r="AK784" s="5">
        <f>+$AC784*BJ784</f>
        <v>0</v>
      </c>
      <c r="AL784" s="5">
        <f>+$AC784*BK784</f>
        <v>0</v>
      </c>
      <c r="AM784" s="5">
        <f>+$AC784*BL784</f>
        <v>0</v>
      </c>
      <c r="AN784" s="5">
        <f>+$AC784*BM784</f>
        <v>0</v>
      </c>
      <c r="AO784" s="5">
        <f>+$AC784*BN784</f>
        <v>0</v>
      </c>
      <c r="AP784" s="5">
        <f>+AC784+P784+C784</f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2">
        <v>8.9181565948742242E-2</v>
      </c>
      <c r="BD784" s="2">
        <v>0.10665277883445198</v>
      </c>
      <c r="BE784" s="2">
        <v>9.438849084854764E-2</v>
      </c>
      <c r="BF784" s="2">
        <v>7.149564986855049E-2</v>
      </c>
      <c r="BG784" s="2">
        <v>0.10368571810536763</v>
      </c>
      <c r="BH784" s="2">
        <v>8.4970330952544637E-2</v>
      </c>
      <c r="BI784" s="2">
        <v>8.4593878877262704E-2</v>
      </c>
      <c r="BJ784" s="2">
        <v>5.7447105462779965E-2</v>
      </c>
      <c r="BK784" s="2">
        <v>8.5153852345557474E-2</v>
      </c>
      <c r="BL784" s="2">
        <v>7.4158058913035174E-2</v>
      </c>
      <c r="BM784" s="2">
        <v>7.5718189192107169E-2</v>
      </c>
      <c r="BN784" s="2">
        <v>7.3955559365675619E-2</v>
      </c>
    </row>
    <row r="785" spans="1:66" x14ac:dyDescent="0.25">
      <c r="A785" s="8">
        <v>5503</v>
      </c>
      <c r="B785" s="8" t="s">
        <v>211</v>
      </c>
      <c r="C785" s="5">
        <v>0</v>
      </c>
      <c r="D785" s="5">
        <f>+$C785*BC785</f>
        <v>0</v>
      </c>
      <c r="E785" s="5">
        <f>+$C785*BD785</f>
        <v>0</v>
      </c>
      <c r="F785" s="5">
        <f>+$C785*BE785</f>
        <v>0</v>
      </c>
      <c r="G785" s="5">
        <f>+$C785*BF785</f>
        <v>0</v>
      </c>
      <c r="H785" s="5">
        <f>+$C785*BG785</f>
        <v>0</v>
      </c>
      <c r="I785" s="5">
        <f>+$C785*BH785</f>
        <v>0</v>
      </c>
      <c r="J785" s="5">
        <f>+$C785*BI785</f>
        <v>0</v>
      </c>
      <c r="K785" s="5">
        <f>+$C785*BJ785</f>
        <v>0</v>
      </c>
      <c r="L785" s="5">
        <f>+$C785*BK785</f>
        <v>0</v>
      </c>
      <c r="M785" s="5">
        <f>+$C785*BL785</f>
        <v>0</v>
      </c>
      <c r="N785" s="5">
        <f>+$C785*BM785</f>
        <v>0</v>
      </c>
      <c r="O785" s="5">
        <f>+$C785*BN785</f>
        <v>0</v>
      </c>
      <c r="P785" s="5">
        <v>0</v>
      </c>
      <c r="Q785" s="5">
        <f>+$P785*BC785</f>
        <v>0</v>
      </c>
      <c r="R785" s="5">
        <f>+$P785*BD785</f>
        <v>0</v>
      </c>
      <c r="S785" s="5">
        <f>+$P785*BE785</f>
        <v>0</v>
      </c>
      <c r="T785" s="5">
        <f>+$P785*BF785</f>
        <v>0</v>
      </c>
      <c r="U785" s="5">
        <f>+$P785*BG785</f>
        <v>0</v>
      </c>
      <c r="V785" s="5">
        <f>+$P785*BH785</f>
        <v>0</v>
      </c>
      <c r="W785" s="5">
        <f>+$P785*BI785</f>
        <v>0</v>
      </c>
      <c r="X785" s="5">
        <f>+$P785*BJ785</f>
        <v>0</v>
      </c>
      <c r="Y785" s="5">
        <f>+$P785*BK785</f>
        <v>0</v>
      </c>
      <c r="Z785" s="5">
        <f>+$P785*BL785</f>
        <v>0</v>
      </c>
      <c r="AA785" s="5">
        <f>+$P785*BM785</f>
        <v>0</v>
      </c>
      <c r="AB785" s="5">
        <f>+$P785*BN785</f>
        <v>0</v>
      </c>
      <c r="AC785" s="5">
        <v>0</v>
      </c>
      <c r="AD785" s="5">
        <f>+$AC785*BC785</f>
        <v>0</v>
      </c>
      <c r="AE785" s="5">
        <f>+$AC785*BD785</f>
        <v>0</v>
      </c>
      <c r="AF785" s="5">
        <f>+$AC785*BE785</f>
        <v>0</v>
      </c>
      <c r="AG785" s="5">
        <f>+$AC785*BF785</f>
        <v>0</v>
      </c>
      <c r="AH785" s="5">
        <f>+$AC785*BG785</f>
        <v>0</v>
      </c>
      <c r="AI785" s="5">
        <f>+$AC785*BH785</f>
        <v>0</v>
      </c>
      <c r="AJ785" s="5">
        <f>+$AC785*BI785</f>
        <v>0</v>
      </c>
      <c r="AK785" s="5">
        <f>+$AC785*BJ785</f>
        <v>0</v>
      </c>
      <c r="AL785" s="5">
        <f>+$AC785*BK785</f>
        <v>0</v>
      </c>
      <c r="AM785" s="5">
        <f>+$AC785*BL785</f>
        <v>0</v>
      </c>
      <c r="AN785" s="5">
        <f>+$AC785*BM785</f>
        <v>0</v>
      </c>
      <c r="AO785" s="5">
        <f>+$AC785*BN785</f>
        <v>0</v>
      </c>
      <c r="AP785" s="5">
        <f>+AC785+P785+C785</f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2">
        <v>8.9181565948742242E-2</v>
      </c>
      <c r="BD785" s="2">
        <v>0.10665277883445198</v>
      </c>
      <c r="BE785" s="2">
        <v>9.438849084854764E-2</v>
      </c>
      <c r="BF785" s="2">
        <v>7.149564986855049E-2</v>
      </c>
      <c r="BG785" s="2">
        <v>0.10368571810536763</v>
      </c>
      <c r="BH785" s="2">
        <v>8.4970330952544637E-2</v>
      </c>
      <c r="BI785" s="2">
        <v>8.4593878877262704E-2</v>
      </c>
      <c r="BJ785" s="2">
        <v>5.7447105462779965E-2</v>
      </c>
      <c r="BK785" s="2">
        <v>8.5153852345557474E-2</v>
      </c>
      <c r="BL785" s="2">
        <v>7.4158058913035174E-2</v>
      </c>
      <c r="BM785" s="2">
        <v>7.5718189192107169E-2</v>
      </c>
      <c r="BN785" s="2">
        <v>7.3955559365675619E-2</v>
      </c>
    </row>
    <row r="786" spans="1:66" x14ac:dyDescent="0.25">
      <c r="A786" s="8">
        <v>5507</v>
      </c>
      <c r="B786" s="8" t="s">
        <v>210</v>
      </c>
      <c r="C786" s="5">
        <v>0</v>
      </c>
      <c r="D786" s="5">
        <f>+$C786*BC786</f>
        <v>0</v>
      </c>
      <c r="E786" s="5">
        <f>+$C786*BD786</f>
        <v>0</v>
      </c>
      <c r="F786" s="5">
        <f>+$C786*BE786</f>
        <v>0</v>
      </c>
      <c r="G786" s="5">
        <f>+$C786*BF786</f>
        <v>0</v>
      </c>
      <c r="H786" s="5">
        <f>+$C786*BG786</f>
        <v>0</v>
      </c>
      <c r="I786" s="5">
        <f>+$C786*BH786</f>
        <v>0</v>
      </c>
      <c r="J786" s="5">
        <f>+$C786*BI786</f>
        <v>0</v>
      </c>
      <c r="K786" s="5">
        <f>+$C786*BJ786</f>
        <v>0</v>
      </c>
      <c r="L786" s="5">
        <f>+$C786*BK786</f>
        <v>0</v>
      </c>
      <c r="M786" s="5">
        <f>+$C786*BL786</f>
        <v>0</v>
      </c>
      <c r="N786" s="5">
        <f>+$C786*BM786</f>
        <v>0</v>
      </c>
      <c r="O786" s="5">
        <f>+$C786*BN786</f>
        <v>0</v>
      </c>
      <c r="P786" s="5">
        <v>0</v>
      </c>
      <c r="Q786" s="5">
        <f>+$P786*BC786</f>
        <v>0</v>
      </c>
      <c r="R786" s="5">
        <f>+$P786*BD786</f>
        <v>0</v>
      </c>
      <c r="S786" s="5">
        <f>+$P786*BE786</f>
        <v>0</v>
      </c>
      <c r="T786" s="5">
        <f>+$P786*BF786</f>
        <v>0</v>
      </c>
      <c r="U786" s="5">
        <f>+$P786*BG786</f>
        <v>0</v>
      </c>
      <c r="V786" s="5">
        <f>+$P786*BH786</f>
        <v>0</v>
      </c>
      <c r="W786" s="5">
        <f>+$P786*BI786</f>
        <v>0</v>
      </c>
      <c r="X786" s="5">
        <f>+$P786*BJ786</f>
        <v>0</v>
      </c>
      <c r="Y786" s="5">
        <f>+$P786*BK786</f>
        <v>0</v>
      </c>
      <c r="Z786" s="5">
        <f>+$P786*BL786</f>
        <v>0</v>
      </c>
      <c r="AA786" s="5">
        <f>+$P786*BM786</f>
        <v>0</v>
      </c>
      <c r="AB786" s="5">
        <f>+$P786*BN786</f>
        <v>0</v>
      </c>
      <c r="AC786" s="5">
        <v>0</v>
      </c>
      <c r="AD786" s="5">
        <f>+$AC786*BC786</f>
        <v>0</v>
      </c>
      <c r="AE786" s="5">
        <f>+$AC786*BD786</f>
        <v>0</v>
      </c>
      <c r="AF786" s="5">
        <f>+$AC786*BE786</f>
        <v>0</v>
      </c>
      <c r="AG786" s="5">
        <f>+$AC786*BF786</f>
        <v>0</v>
      </c>
      <c r="AH786" s="5">
        <f>+$AC786*BG786</f>
        <v>0</v>
      </c>
      <c r="AI786" s="5">
        <f>+$AC786*BH786</f>
        <v>0</v>
      </c>
      <c r="AJ786" s="5">
        <f>+$AC786*BI786</f>
        <v>0</v>
      </c>
      <c r="AK786" s="5">
        <f>+$AC786*BJ786</f>
        <v>0</v>
      </c>
      <c r="AL786" s="5">
        <f>+$AC786*BK786</f>
        <v>0</v>
      </c>
      <c r="AM786" s="5">
        <f>+$AC786*BL786</f>
        <v>0</v>
      </c>
      <c r="AN786" s="5">
        <f>+$AC786*BM786</f>
        <v>0</v>
      </c>
      <c r="AO786" s="5">
        <f>+$AC786*BN786</f>
        <v>0</v>
      </c>
      <c r="AP786" s="5">
        <f>+AC786+P786+C786</f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2">
        <v>8.9181565948742242E-2</v>
      </c>
      <c r="BD786" s="2">
        <v>0.10665277883445198</v>
      </c>
      <c r="BE786" s="2">
        <v>9.438849084854764E-2</v>
      </c>
      <c r="BF786" s="2">
        <v>7.149564986855049E-2</v>
      </c>
      <c r="BG786" s="2">
        <v>0.10368571810536763</v>
      </c>
      <c r="BH786" s="2">
        <v>8.4970330952544637E-2</v>
      </c>
      <c r="BI786" s="2">
        <v>8.4593878877262704E-2</v>
      </c>
      <c r="BJ786" s="2">
        <v>5.7447105462779965E-2</v>
      </c>
      <c r="BK786" s="2">
        <v>8.5153852345557474E-2</v>
      </c>
      <c r="BL786" s="2">
        <v>7.4158058913035174E-2</v>
      </c>
      <c r="BM786" s="2">
        <v>7.5718189192107169E-2</v>
      </c>
      <c r="BN786" s="2">
        <v>7.3955559365675619E-2</v>
      </c>
    </row>
    <row r="787" spans="1:66" x14ac:dyDescent="0.25">
      <c r="A787" s="8">
        <v>5510</v>
      </c>
      <c r="B787" s="8" t="s">
        <v>209</v>
      </c>
      <c r="C787" s="5">
        <v>0</v>
      </c>
      <c r="D787" s="5">
        <f>+$C787*BC787</f>
        <v>0</v>
      </c>
      <c r="E787" s="5">
        <f>+$C787*BD787</f>
        <v>0</v>
      </c>
      <c r="F787" s="5">
        <f>+$C787*BE787</f>
        <v>0</v>
      </c>
      <c r="G787" s="5">
        <f>+$C787*BF787</f>
        <v>0</v>
      </c>
      <c r="H787" s="5">
        <f>+$C787*BG787</f>
        <v>0</v>
      </c>
      <c r="I787" s="5">
        <f>+$C787*BH787</f>
        <v>0</v>
      </c>
      <c r="J787" s="5">
        <f>+$C787*BI787</f>
        <v>0</v>
      </c>
      <c r="K787" s="5">
        <f>+$C787*BJ787</f>
        <v>0</v>
      </c>
      <c r="L787" s="5">
        <f>+$C787*BK787</f>
        <v>0</v>
      </c>
      <c r="M787" s="5">
        <f>+$C787*BL787</f>
        <v>0</v>
      </c>
      <c r="N787" s="5">
        <f>+$C787*BM787</f>
        <v>0</v>
      </c>
      <c r="O787" s="5">
        <f>+$C787*BN787</f>
        <v>0</v>
      </c>
      <c r="P787" s="5">
        <v>0</v>
      </c>
      <c r="Q787" s="5">
        <f>+$P787*BC787</f>
        <v>0</v>
      </c>
      <c r="R787" s="5">
        <f>+$P787*BD787</f>
        <v>0</v>
      </c>
      <c r="S787" s="5">
        <f>+$P787*BE787</f>
        <v>0</v>
      </c>
      <c r="T787" s="5">
        <f>+$P787*BF787</f>
        <v>0</v>
      </c>
      <c r="U787" s="5">
        <f>+$P787*BG787</f>
        <v>0</v>
      </c>
      <c r="V787" s="5">
        <f>+$P787*BH787</f>
        <v>0</v>
      </c>
      <c r="W787" s="5">
        <f>+$P787*BI787</f>
        <v>0</v>
      </c>
      <c r="X787" s="5">
        <f>+$P787*BJ787</f>
        <v>0</v>
      </c>
      <c r="Y787" s="5">
        <f>+$P787*BK787</f>
        <v>0</v>
      </c>
      <c r="Z787" s="5">
        <f>+$P787*BL787</f>
        <v>0</v>
      </c>
      <c r="AA787" s="5">
        <f>+$P787*BM787</f>
        <v>0</v>
      </c>
      <c r="AB787" s="5">
        <f>+$P787*BN787</f>
        <v>0</v>
      </c>
      <c r="AC787" s="5">
        <v>0</v>
      </c>
      <c r="AD787" s="5">
        <f>+$AC787*BC787</f>
        <v>0</v>
      </c>
      <c r="AE787" s="5">
        <f>+$AC787*BD787</f>
        <v>0</v>
      </c>
      <c r="AF787" s="5">
        <f>+$AC787*BE787</f>
        <v>0</v>
      </c>
      <c r="AG787" s="5">
        <f>+$AC787*BF787</f>
        <v>0</v>
      </c>
      <c r="AH787" s="5">
        <f>+$AC787*BG787</f>
        <v>0</v>
      </c>
      <c r="AI787" s="5">
        <f>+$AC787*BH787</f>
        <v>0</v>
      </c>
      <c r="AJ787" s="5">
        <f>+$AC787*BI787</f>
        <v>0</v>
      </c>
      <c r="AK787" s="5">
        <f>+$AC787*BJ787</f>
        <v>0</v>
      </c>
      <c r="AL787" s="5">
        <f>+$AC787*BK787</f>
        <v>0</v>
      </c>
      <c r="AM787" s="5">
        <f>+$AC787*BL787</f>
        <v>0</v>
      </c>
      <c r="AN787" s="5">
        <f>+$AC787*BM787</f>
        <v>0</v>
      </c>
      <c r="AO787" s="5">
        <f>+$AC787*BN787</f>
        <v>0</v>
      </c>
      <c r="AP787" s="5">
        <f>+AC787+P787+C787</f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2">
        <v>8.9181565948742242E-2</v>
      </c>
      <c r="BD787" s="2">
        <v>0.10665277883445198</v>
      </c>
      <c r="BE787" s="2">
        <v>9.438849084854764E-2</v>
      </c>
      <c r="BF787" s="2">
        <v>7.149564986855049E-2</v>
      </c>
      <c r="BG787" s="2">
        <v>0.10368571810536763</v>
      </c>
      <c r="BH787" s="2">
        <v>8.4970330952544637E-2</v>
      </c>
      <c r="BI787" s="2">
        <v>8.4593878877262704E-2</v>
      </c>
      <c r="BJ787" s="2">
        <v>5.7447105462779965E-2</v>
      </c>
      <c r="BK787" s="2">
        <v>8.5153852345557474E-2</v>
      </c>
      <c r="BL787" s="2">
        <v>7.4158058913035174E-2</v>
      </c>
      <c r="BM787" s="2">
        <v>7.5718189192107169E-2</v>
      </c>
      <c r="BN787" s="2">
        <v>7.3955559365675619E-2</v>
      </c>
    </row>
    <row r="788" spans="1:66" x14ac:dyDescent="0.25">
      <c r="A788" s="8">
        <v>5511</v>
      </c>
      <c r="B788" s="8" t="s">
        <v>208</v>
      </c>
      <c r="C788" s="5">
        <v>0</v>
      </c>
      <c r="D788" s="5">
        <f>+$C788*BC788</f>
        <v>0</v>
      </c>
      <c r="E788" s="5">
        <f>+$C788*BD788</f>
        <v>0</v>
      </c>
      <c r="F788" s="5">
        <f>+$C788*BE788</f>
        <v>0</v>
      </c>
      <c r="G788" s="5">
        <f>+$C788*BF788</f>
        <v>0</v>
      </c>
      <c r="H788" s="5">
        <f>+$C788*BG788</f>
        <v>0</v>
      </c>
      <c r="I788" s="5">
        <f>+$C788*BH788</f>
        <v>0</v>
      </c>
      <c r="J788" s="5">
        <f>+$C788*BI788</f>
        <v>0</v>
      </c>
      <c r="K788" s="5">
        <f>+$C788*BJ788</f>
        <v>0</v>
      </c>
      <c r="L788" s="5">
        <f>+$C788*BK788</f>
        <v>0</v>
      </c>
      <c r="M788" s="5">
        <f>+$C788*BL788</f>
        <v>0</v>
      </c>
      <c r="N788" s="5">
        <f>+$C788*BM788</f>
        <v>0</v>
      </c>
      <c r="O788" s="5">
        <f>+$C788*BN788</f>
        <v>0</v>
      </c>
      <c r="P788" s="5">
        <v>500</v>
      </c>
      <c r="Q788" s="5">
        <f>+$P788*BC788</f>
        <v>44.590782974371123</v>
      </c>
      <c r="R788" s="5">
        <f>+$P788*BD788</f>
        <v>53.32638941722599</v>
      </c>
      <c r="S788" s="5">
        <f>+$P788*BE788</f>
        <v>47.194245424273824</v>
      </c>
      <c r="T788" s="5">
        <f>+$P788*BF788</f>
        <v>35.747824934275243</v>
      </c>
      <c r="U788" s="5">
        <f>+$P788*BG788</f>
        <v>51.842859052683814</v>
      </c>
      <c r="V788" s="5">
        <f>+$P788*BH788</f>
        <v>42.485165476272321</v>
      </c>
      <c r="W788" s="5">
        <f>+$P788*BI788</f>
        <v>42.296939438631355</v>
      </c>
      <c r="X788" s="5">
        <f>+$P788*BJ788</f>
        <v>28.723552731389983</v>
      </c>
      <c r="Y788" s="5">
        <f>+$P788*BK788</f>
        <v>42.576926172778734</v>
      </c>
      <c r="Z788" s="5">
        <f>+$P788*BL788</f>
        <v>37.079029456517588</v>
      </c>
      <c r="AA788" s="5">
        <f>+$P788*BM788</f>
        <v>37.859094596053588</v>
      </c>
      <c r="AB788" s="5">
        <f>+$P788*BN788</f>
        <v>36.977779682837813</v>
      </c>
      <c r="AC788" s="5">
        <v>0</v>
      </c>
      <c r="AD788" s="5">
        <f>+$AC788*BC788</f>
        <v>0</v>
      </c>
      <c r="AE788" s="5">
        <f>+$AC788*BD788</f>
        <v>0</v>
      </c>
      <c r="AF788" s="5">
        <f>+$AC788*BE788</f>
        <v>0</v>
      </c>
      <c r="AG788" s="5">
        <f>+$AC788*BF788</f>
        <v>0</v>
      </c>
      <c r="AH788" s="5">
        <f>+$AC788*BG788</f>
        <v>0</v>
      </c>
      <c r="AI788" s="5">
        <f>+$AC788*BH788</f>
        <v>0</v>
      </c>
      <c r="AJ788" s="5">
        <f>+$AC788*BI788</f>
        <v>0</v>
      </c>
      <c r="AK788" s="5">
        <f>+$AC788*BJ788</f>
        <v>0</v>
      </c>
      <c r="AL788" s="5">
        <f>+$AC788*BK788</f>
        <v>0</v>
      </c>
      <c r="AM788" s="5">
        <f>+$AC788*BL788</f>
        <v>0</v>
      </c>
      <c r="AN788" s="5">
        <f>+$AC788*BM788</f>
        <v>0</v>
      </c>
      <c r="AO788" s="5">
        <f>+$AC788*BN788</f>
        <v>0</v>
      </c>
      <c r="AP788" s="5">
        <f>+AC788+P788+C788</f>
        <v>500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2">
        <v>8.9181565948742242E-2</v>
      </c>
      <c r="BD788" s="2">
        <v>0.10665277883445198</v>
      </c>
      <c r="BE788" s="2">
        <v>9.438849084854764E-2</v>
      </c>
      <c r="BF788" s="2">
        <v>7.149564986855049E-2</v>
      </c>
      <c r="BG788" s="2">
        <v>0.10368571810536763</v>
      </c>
      <c r="BH788" s="2">
        <v>8.4970330952544637E-2</v>
      </c>
      <c r="BI788" s="2">
        <v>8.4593878877262704E-2</v>
      </c>
      <c r="BJ788" s="2">
        <v>5.7447105462779965E-2</v>
      </c>
      <c r="BK788" s="2">
        <v>8.5153852345557474E-2</v>
      </c>
      <c r="BL788" s="2">
        <v>7.4158058913035174E-2</v>
      </c>
      <c r="BM788" s="2">
        <v>7.5718189192107169E-2</v>
      </c>
      <c r="BN788" s="2">
        <v>7.3955559365675619E-2</v>
      </c>
    </row>
    <row r="789" spans="1:66" x14ac:dyDescent="0.25">
      <c r="A789" s="8">
        <v>5513</v>
      </c>
      <c r="B789" s="8" t="s">
        <v>207</v>
      </c>
      <c r="C789" s="5">
        <v>0</v>
      </c>
      <c r="D789" s="5">
        <f>+$C789*BC789</f>
        <v>0</v>
      </c>
      <c r="E789" s="5">
        <f>+$C789*BD789</f>
        <v>0</v>
      </c>
      <c r="F789" s="5">
        <f>+$C789*BE789</f>
        <v>0</v>
      </c>
      <c r="G789" s="5">
        <f>+$C789*BF789</f>
        <v>0</v>
      </c>
      <c r="H789" s="5">
        <f>+$C789*BG789</f>
        <v>0</v>
      </c>
      <c r="I789" s="5">
        <f>+$C789*BH789</f>
        <v>0</v>
      </c>
      <c r="J789" s="5">
        <f>+$C789*BI789</f>
        <v>0</v>
      </c>
      <c r="K789" s="5">
        <f>+$C789*BJ789</f>
        <v>0</v>
      </c>
      <c r="L789" s="5">
        <f>+$C789*BK789</f>
        <v>0</v>
      </c>
      <c r="M789" s="5">
        <f>+$C789*BL789</f>
        <v>0</v>
      </c>
      <c r="N789" s="5">
        <f>+$C789*BM789</f>
        <v>0</v>
      </c>
      <c r="O789" s="5">
        <f>+$C789*BN789</f>
        <v>0</v>
      </c>
      <c r="P789" s="5">
        <v>0</v>
      </c>
      <c r="Q789" s="5">
        <f>+$P789*BC789</f>
        <v>0</v>
      </c>
      <c r="R789" s="5">
        <f>+$P789*BD789</f>
        <v>0</v>
      </c>
      <c r="S789" s="5">
        <f>+$P789*BE789</f>
        <v>0</v>
      </c>
      <c r="T789" s="5">
        <f>+$P789*BF789</f>
        <v>0</v>
      </c>
      <c r="U789" s="5">
        <f>+$P789*BG789</f>
        <v>0</v>
      </c>
      <c r="V789" s="5">
        <f>+$P789*BH789</f>
        <v>0</v>
      </c>
      <c r="W789" s="5">
        <f>+$P789*BI789</f>
        <v>0</v>
      </c>
      <c r="X789" s="5">
        <f>+$P789*BJ789</f>
        <v>0</v>
      </c>
      <c r="Y789" s="5">
        <f>+$P789*BK789</f>
        <v>0</v>
      </c>
      <c r="Z789" s="5">
        <f>+$P789*BL789</f>
        <v>0</v>
      </c>
      <c r="AA789" s="5">
        <f>+$P789*BM789</f>
        <v>0</v>
      </c>
      <c r="AB789" s="5">
        <f>+$P789*BN789</f>
        <v>0</v>
      </c>
      <c r="AC789" s="5">
        <v>0</v>
      </c>
      <c r="AD789" s="5">
        <f>+$AC789*BC789</f>
        <v>0</v>
      </c>
      <c r="AE789" s="5">
        <f>+$AC789*BD789</f>
        <v>0</v>
      </c>
      <c r="AF789" s="5">
        <f>+$AC789*BE789</f>
        <v>0</v>
      </c>
      <c r="AG789" s="5">
        <f>+$AC789*BF789</f>
        <v>0</v>
      </c>
      <c r="AH789" s="5">
        <f>+$AC789*BG789</f>
        <v>0</v>
      </c>
      <c r="AI789" s="5">
        <f>+$AC789*BH789</f>
        <v>0</v>
      </c>
      <c r="AJ789" s="5">
        <f>+$AC789*BI789</f>
        <v>0</v>
      </c>
      <c r="AK789" s="5">
        <f>+$AC789*BJ789</f>
        <v>0</v>
      </c>
      <c r="AL789" s="5">
        <f>+$AC789*BK789</f>
        <v>0</v>
      </c>
      <c r="AM789" s="5">
        <f>+$AC789*BL789</f>
        <v>0</v>
      </c>
      <c r="AN789" s="5">
        <f>+$AC789*BM789</f>
        <v>0</v>
      </c>
      <c r="AO789" s="5">
        <f>+$AC789*BN789</f>
        <v>0</v>
      </c>
      <c r="AP789" s="5">
        <f>+AC789+P789+C789</f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2">
        <v>8.9181565948742242E-2</v>
      </c>
      <c r="BD789" s="2">
        <v>0.10665277883445198</v>
      </c>
      <c r="BE789" s="2">
        <v>9.438849084854764E-2</v>
      </c>
      <c r="BF789" s="2">
        <v>7.149564986855049E-2</v>
      </c>
      <c r="BG789" s="2">
        <v>0.10368571810536763</v>
      </c>
      <c r="BH789" s="2">
        <v>8.4970330952544637E-2</v>
      </c>
      <c r="BI789" s="2">
        <v>8.4593878877262704E-2</v>
      </c>
      <c r="BJ789" s="2">
        <v>5.7447105462779965E-2</v>
      </c>
      <c r="BK789" s="2">
        <v>8.5153852345557474E-2</v>
      </c>
      <c r="BL789" s="2">
        <v>7.4158058913035174E-2</v>
      </c>
      <c r="BM789" s="2">
        <v>7.5718189192107169E-2</v>
      </c>
      <c r="BN789" s="2">
        <v>7.3955559365675619E-2</v>
      </c>
    </row>
    <row r="790" spans="1:66" x14ac:dyDescent="0.25">
      <c r="A790" s="8">
        <v>5518</v>
      </c>
      <c r="B790" s="8" t="s">
        <v>206</v>
      </c>
      <c r="C790" s="5">
        <v>0</v>
      </c>
      <c r="D790" s="5">
        <f>+$C790*BC790</f>
        <v>0</v>
      </c>
      <c r="E790" s="5">
        <f>+$C790*BD790</f>
        <v>0</v>
      </c>
      <c r="F790" s="5">
        <f>+$C790*BE790</f>
        <v>0</v>
      </c>
      <c r="G790" s="5">
        <f>+$C790*BF790</f>
        <v>0</v>
      </c>
      <c r="H790" s="5">
        <f>+$C790*BG790</f>
        <v>0</v>
      </c>
      <c r="I790" s="5">
        <f>+$C790*BH790</f>
        <v>0</v>
      </c>
      <c r="J790" s="5">
        <f>+$C790*BI790</f>
        <v>0</v>
      </c>
      <c r="K790" s="5">
        <f>+$C790*BJ790</f>
        <v>0</v>
      </c>
      <c r="L790" s="5">
        <f>+$C790*BK790</f>
        <v>0</v>
      </c>
      <c r="M790" s="5">
        <f>+$C790*BL790</f>
        <v>0</v>
      </c>
      <c r="N790" s="5">
        <f>+$C790*BM790</f>
        <v>0</v>
      </c>
      <c r="O790" s="5">
        <f>+$C790*BN790</f>
        <v>0</v>
      </c>
      <c r="P790" s="5">
        <v>0</v>
      </c>
      <c r="Q790" s="5">
        <f>+$P790*BC790</f>
        <v>0</v>
      </c>
      <c r="R790" s="5">
        <f>+$P790*BD790</f>
        <v>0</v>
      </c>
      <c r="S790" s="5">
        <f>+$P790*BE790</f>
        <v>0</v>
      </c>
      <c r="T790" s="5">
        <f>+$P790*BF790</f>
        <v>0</v>
      </c>
      <c r="U790" s="5">
        <f>+$P790*BG790</f>
        <v>0</v>
      </c>
      <c r="V790" s="5">
        <f>+$P790*BH790</f>
        <v>0</v>
      </c>
      <c r="W790" s="5">
        <f>+$P790*BI790</f>
        <v>0</v>
      </c>
      <c r="X790" s="5">
        <f>+$P790*BJ790</f>
        <v>0</v>
      </c>
      <c r="Y790" s="5">
        <f>+$P790*BK790</f>
        <v>0</v>
      </c>
      <c r="Z790" s="5">
        <f>+$P790*BL790</f>
        <v>0</v>
      </c>
      <c r="AA790" s="5">
        <f>+$P790*BM790</f>
        <v>0</v>
      </c>
      <c r="AB790" s="5">
        <f>+$P790*BN790</f>
        <v>0</v>
      </c>
      <c r="AC790" s="5">
        <v>0</v>
      </c>
      <c r="AD790" s="5">
        <f>+$AC790*BC790</f>
        <v>0</v>
      </c>
      <c r="AE790" s="5">
        <f>+$AC790*BD790</f>
        <v>0</v>
      </c>
      <c r="AF790" s="5">
        <f>+$AC790*BE790</f>
        <v>0</v>
      </c>
      <c r="AG790" s="5">
        <f>+$AC790*BF790</f>
        <v>0</v>
      </c>
      <c r="AH790" s="5">
        <f>+$AC790*BG790</f>
        <v>0</v>
      </c>
      <c r="AI790" s="5">
        <f>+$AC790*BH790</f>
        <v>0</v>
      </c>
      <c r="AJ790" s="5">
        <f>+$AC790*BI790</f>
        <v>0</v>
      </c>
      <c r="AK790" s="5">
        <f>+$AC790*BJ790</f>
        <v>0</v>
      </c>
      <c r="AL790" s="5">
        <f>+$AC790*BK790</f>
        <v>0</v>
      </c>
      <c r="AM790" s="5">
        <f>+$AC790*BL790</f>
        <v>0</v>
      </c>
      <c r="AN790" s="5">
        <f>+$AC790*BM790</f>
        <v>0</v>
      </c>
      <c r="AO790" s="5">
        <f>+$AC790*BN790</f>
        <v>0</v>
      </c>
      <c r="AP790" s="5">
        <f>+AC790+P790+C790</f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2">
        <v>8.9181565948742242E-2</v>
      </c>
      <c r="BD790" s="2">
        <v>0.10665277883445198</v>
      </c>
      <c r="BE790" s="2">
        <v>9.438849084854764E-2</v>
      </c>
      <c r="BF790" s="2">
        <v>7.149564986855049E-2</v>
      </c>
      <c r="BG790" s="2">
        <v>0.10368571810536763</v>
      </c>
      <c r="BH790" s="2">
        <v>8.4970330952544637E-2</v>
      </c>
      <c r="BI790" s="2">
        <v>8.4593878877262704E-2</v>
      </c>
      <c r="BJ790" s="2">
        <v>5.7447105462779965E-2</v>
      </c>
      <c r="BK790" s="2">
        <v>8.5153852345557474E-2</v>
      </c>
      <c r="BL790" s="2">
        <v>7.4158058913035174E-2</v>
      </c>
      <c r="BM790" s="2">
        <v>7.5718189192107169E-2</v>
      </c>
      <c r="BN790" s="2">
        <v>7.3955559365675619E-2</v>
      </c>
    </row>
    <row r="791" spans="1:66" x14ac:dyDescent="0.25">
      <c r="A791" s="8">
        <v>5520</v>
      </c>
      <c r="B791" s="8" t="s">
        <v>205</v>
      </c>
      <c r="C791" s="5">
        <v>0</v>
      </c>
      <c r="D791" s="5">
        <f>+$C791*BC791</f>
        <v>0</v>
      </c>
      <c r="E791" s="5">
        <f>+$C791*BD791</f>
        <v>0</v>
      </c>
      <c r="F791" s="5">
        <f>+$C791*BE791</f>
        <v>0</v>
      </c>
      <c r="G791" s="5">
        <f>+$C791*BF791</f>
        <v>0</v>
      </c>
      <c r="H791" s="5">
        <f>+$C791*BG791</f>
        <v>0</v>
      </c>
      <c r="I791" s="5">
        <f>+$C791*BH791</f>
        <v>0</v>
      </c>
      <c r="J791" s="5">
        <f>+$C791*BI791</f>
        <v>0</v>
      </c>
      <c r="K791" s="5">
        <f>+$C791*BJ791</f>
        <v>0</v>
      </c>
      <c r="L791" s="5">
        <f>+$C791*BK791</f>
        <v>0</v>
      </c>
      <c r="M791" s="5">
        <f>+$C791*BL791</f>
        <v>0</v>
      </c>
      <c r="N791" s="5">
        <f>+$C791*BM791</f>
        <v>0</v>
      </c>
      <c r="O791" s="5">
        <f>+$C791*BN791</f>
        <v>0</v>
      </c>
      <c r="P791" s="5">
        <v>0</v>
      </c>
      <c r="Q791" s="5">
        <f>+$P791*BC791</f>
        <v>0</v>
      </c>
      <c r="R791" s="5">
        <f>+$P791*BD791</f>
        <v>0</v>
      </c>
      <c r="S791" s="5">
        <f>+$P791*BE791</f>
        <v>0</v>
      </c>
      <c r="T791" s="5">
        <f>+$P791*BF791</f>
        <v>0</v>
      </c>
      <c r="U791" s="5">
        <f>+$P791*BG791</f>
        <v>0</v>
      </c>
      <c r="V791" s="5">
        <f>+$P791*BH791</f>
        <v>0</v>
      </c>
      <c r="W791" s="5">
        <f>+$P791*BI791</f>
        <v>0</v>
      </c>
      <c r="X791" s="5">
        <f>+$P791*BJ791</f>
        <v>0</v>
      </c>
      <c r="Y791" s="5">
        <f>+$P791*BK791</f>
        <v>0</v>
      </c>
      <c r="Z791" s="5">
        <f>+$P791*BL791</f>
        <v>0</v>
      </c>
      <c r="AA791" s="5">
        <f>+$P791*BM791</f>
        <v>0</v>
      </c>
      <c r="AB791" s="5">
        <f>+$P791*BN791</f>
        <v>0</v>
      </c>
      <c r="AC791" s="5">
        <v>0</v>
      </c>
      <c r="AD791" s="5">
        <f>+$AC791*BC791</f>
        <v>0</v>
      </c>
      <c r="AE791" s="5">
        <f>+$AC791*BD791</f>
        <v>0</v>
      </c>
      <c r="AF791" s="5">
        <f>+$AC791*BE791</f>
        <v>0</v>
      </c>
      <c r="AG791" s="5">
        <f>+$AC791*BF791</f>
        <v>0</v>
      </c>
      <c r="AH791" s="5">
        <f>+$AC791*BG791</f>
        <v>0</v>
      </c>
      <c r="AI791" s="5">
        <f>+$AC791*BH791</f>
        <v>0</v>
      </c>
      <c r="AJ791" s="5">
        <f>+$AC791*BI791</f>
        <v>0</v>
      </c>
      <c r="AK791" s="5">
        <f>+$AC791*BJ791</f>
        <v>0</v>
      </c>
      <c r="AL791" s="5">
        <f>+$AC791*BK791</f>
        <v>0</v>
      </c>
      <c r="AM791" s="5">
        <f>+$AC791*BL791</f>
        <v>0</v>
      </c>
      <c r="AN791" s="5">
        <f>+$AC791*BM791</f>
        <v>0</v>
      </c>
      <c r="AO791" s="5">
        <f>+$AC791*BN791</f>
        <v>0</v>
      </c>
      <c r="AP791" s="5">
        <f>+AC791+P791+C791</f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2">
        <v>8.9181565948742242E-2</v>
      </c>
      <c r="BD791" s="2">
        <v>0.10665277883445198</v>
      </c>
      <c r="BE791" s="2">
        <v>9.438849084854764E-2</v>
      </c>
      <c r="BF791" s="2">
        <v>7.149564986855049E-2</v>
      </c>
      <c r="BG791" s="2">
        <v>0.10368571810536763</v>
      </c>
      <c r="BH791" s="2">
        <v>8.4970330952544637E-2</v>
      </c>
      <c r="BI791" s="2">
        <v>8.4593878877262704E-2</v>
      </c>
      <c r="BJ791" s="2">
        <v>5.7447105462779965E-2</v>
      </c>
      <c r="BK791" s="2">
        <v>8.5153852345557474E-2</v>
      </c>
      <c r="BL791" s="2">
        <v>7.4158058913035174E-2</v>
      </c>
      <c r="BM791" s="2">
        <v>7.5718189192107169E-2</v>
      </c>
      <c r="BN791" s="2">
        <v>7.3955559365675619E-2</v>
      </c>
    </row>
    <row r="792" spans="1:66" x14ac:dyDescent="0.25">
      <c r="A792" s="8">
        <v>5521</v>
      </c>
      <c r="B792" s="8" t="s">
        <v>204</v>
      </c>
      <c r="C792" s="5">
        <v>0</v>
      </c>
      <c r="D792" s="5">
        <f>+$C792*BC792</f>
        <v>0</v>
      </c>
      <c r="E792" s="5">
        <f>+$C792*BD792</f>
        <v>0</v>
      </c>
      <c r="F792" s="5">
        <f>+$C792*BE792</f>
        <v>0</v>
      </c>
      <c r="G792" s="5">
        <f>+$C792*BF792</f>
        <v>0</v>
      </c>
      <c r="H792" s="5">
        <f>+$C792*BG792</f>
        <v>0</v>
      </c>
      <c r="I792" s="5">
        <f>+$C792*BH792</f>
        <v>0</v>
      </c>
      <c r="J792" s="5">
        <f>+$C792*BI792</f>
        <v>0</v>
      </c>
      <c r="K792" s="5">
        <f>+$C792*BJ792</f>
        <v>0</v>
      </c>
      <c r="L792" s="5">
        <f>+$C792*BK792</f>
        <v>0</v>
      </c>
      <c r="M792" s="5">
        <f>+$C792*BL792</f>
        <v>0</v>
      </c>
      <c r="N792" s="5">
        <f>+$C792*BM792</f>
        <v>0</v>
      </c>
      <c r="O792" s="5">
        <f>+$C792*BN792</f>
        <v>0</v>
      </c>
      <c r="P792" s="5">
        <v>0</v>
      </c>
      <c r="Q792" s="5">
        <f>+$P792*BC792</f>
        <v>0</v>
      </c>
      <c r="R792" s="5">
        <f>+$P792*BD792</f>
        <v>0</v>
      </c>
      <c r="S792" s="5">
        <f>+$P792*BE792</f>
        <v>0</v>
      </c>
      <c r="T792" s="5">
        <f>+$P792*BF792</f>
        <v>0</v>
      </c>
      <c r="U792" s="5">
        <f>+$P792*BG792</f>
        <v>0</v>
      </c>
      <c r="V792" s="5">
        <f>+$P792*BH792</f>
        <v>0</v>
      </c>
      <c r="W792" s="5">
        <f>+$P792*BI792</f>
        <v>0</v>
      </c>
      <c r="X792" s="5">
        <f>+$P792*BJ792</f>
        <v>0</v>
      </c>
      <c r="Y792" s="5">
        <f>+$P792*BK792</f>
        <v>0</v>
      </c>
      <c r="Z792" s="5">
        <f>+$P792*BL792</f>
        <v>0</v>
      </c>
      <c r="AA792" s="5">
        <f>+$P792*BM792</f>
        <v>0</v>
      </c>
      <c r="AB792" s="5">
        <f>+$P792*BN792</f>
        <v>0</v>
      </c>
      <c r="AC792" s="5">
        <v>0</v>
      </c>
      <c r="AD792" s="5">
        <f>+$AC792*BC792</f>
        <v>0</v>
      </c>
      <c r="AE792" s="5">
        <f>+$AC792*BD792</f>
        <v>0</v>
      </c>
      <c r="AF792" s="5">
        <f>+$AC792*BE792</f>
        <v>0</v>
      </c>
      <c r="AG792" s="5">
        <f>+$AC792*BF792</f>
        <v>0</v>
      </c>
      <c r="AH792" s="5">
        <f>+$AC792*BG792</f>
        <v>0</v>
      </c>
      <c r="AI792" s="5">
        <f>+$AC792*BH792</f>
        <v>0</v>
      </c>
      <c r="AJ792" s="5">
        <f>+$AC792*BI792</f>
        <v>0</v>
      </c>
      <c r="AK792" s="5">
        <f>+$AC792*BJ792</f>
        <v>0</v>
      </c>
      <c r="AL792" s="5">
        <f>+$AC792*BK792</f>
        <v>0</v>
      </c>
      <c r="AM792" s="5">
        <f>+$AC792*BL792</f>
        <v>0</v>
      </c>
      <c r="AN792" s="5">
        <f>+$AC792*BM792</f>
        <v>0</v>
      </c>
      <c r="AO792" s="5">
        <f>+$AC792*BN792</f>
        <v>0</v>
      </c>
      <c r="AP792" s="5">
        <f>+AC792+P792+C792</f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2">
        <v>8.9181565948742242E-2</v>
      </c>
      <c r="BD792" s="2">
        <v>0.10665277883445198</v>
      </c>
      <c r="BE792" s="2">
        <v>9.438849084854764E-2</v>
      </c>
      <c r="BF792" s="2">
        <v>7.149564986855049E-2</v>
      </c>
      <c r="BG792" s="2">
        <v>0.10368571810536763</v>
      </c>
      <c r="BH792" s="2">
        <v>8.4970330952544637E-2</v>
      </c>
      <c r="BI792" s="2">
        <v>8.4593878877262704E-2</v>
      </c>
      <c r="BJ792" s="2">
        <v>5.7447105462779965E-2</v>
      </c>
      <c r="BK792" s="2">
        <v>8.5153852345557474E-2</v>
      </c>
      <c r="BL792" s="2">
        <v>7.4158058913035174E-2</v>
      </c>
      <c r="BM792" s="2">
        <v>7.5718189192107169E-2</v>
      </c>
      <c r="BN792" s="2">
        <v>7.3955559365675619E-2</v>
      </c>
    </row>
    <row r="793" spans="1:66" x14ac:dyDescent="0.25">
      <c r="A793" s="8">
        <v>5522</v>
      </c>
      <c r="B793" s="8" t="s">
        <v>203</v>
      </c>
      <c r="C793" s="5">
        <v>0</v>
      </c>
      <c r="D793" s="5">
        <f>+$C793*BC793</f>
        <v>0</v>
      </c>
      <c r="E793" s="5">
        <f>+$C793*BD793</f>
        <v>0</v>
      </c>
      <c r="F793" s="5">
        <f>+$C793*BE793</f>
        <v>0</v>
      </c>
      <c r="G793" s="5">
        <f>+$C793*BF793</f>
        <v>0</v>
      </c>
      <c r="H793" s="5">
        <f>+$C793*BG793</f>
        <v>0</v>
      </c>
      <c r="I793" s="5">
        <f>+$C793*BH793</f>
        <v>0</v>
      </c>
      <c r="J793" s="5">
        <f>+$C793*BI793</f>
        <v>0</v>
      </c>
      <c r="K793" s="5">
        <f>+$C793*BJ793</f>
        <v>0</v>
      </c>
      <c r="L793" s="5">
        <f>+$C793*BK793</f>
        <v>0</v>
      </c>
      <c r="M793" s="5">
        <f>+$C793*BL793</f>
        <v>0</v>
      </c>
      <c r="N793" s="5">
        <f>+$C793*BM793</f>
        <v>0</v>
      </c>
      <c r="O793" s="5">
        <f>+$C793*BN793</f>
        <v>0</v>
      </c>
      <c r="P793" s="5">
        <v>0</v>
      </c>
      <c r="Q793" s="5">
        <f>+$P793*BC793</f>
        <v>0</v>
      </c>
      <c r="R793" s="5">
        <f>+$P793*BD793</f>
        <v>0</v>
      </c>
      <c r="S793" s="5">
        <f>+$P793*BE793</f>
        <v>0</v>
      </c>
      <c r="T793" s="5">
        <f>+$P793*BF793</f>
        <v>0</v>
      </c>
      <c r="U793" s="5">
        <f>+$P793*BG793</f>
        <v>0</v>
      </c>
      <c r="V793" s="5">
        <f>+$P793*BH793</f>
        <v>0</v>
      </c>
      <c r="W793" s="5">
        <f>+$P793*BI793</f>
        <v>0</v>
      </c>
      <c r="X793" s="5">
        <f>+$P793*BJ793</f>
        <v>0</v>
      </c>
      <c r="Y793" s="5">
        <f>+$P793*BK793</f>
        <v>0</v>
      </c>
      <c r="Z793" s="5">
        <f>+$P793*BL793</f>
        <v>0</v>
      </c>
      <c r="AA793" s="5">
        <f>+$P793*BM793</f>
        <v>0</v>
      </c>
      <c r="AB793" s="5">
        <f>+$P793*BN793</f>
        <v>0</v>
      </c>
      <c r="AC793" s="5">
        <v>0</v>
      </c>
      <c r="AD793" s="5">
        <f>+$AC793*BC793</f>
        <v>0</v>
      </c>
      <c r="AE793" s="5">
        <f>+$AC793*BD793</f>
        <v>0</v>
      </c>
      <c r="AF793" s="5">
        <f>+$AC793*BE793</f>
        <v>0</v>
      </c>
      <c r="AG793" s="5">
        <f>+$AC793*BF793</f>
        <v>0</v>
      </c>
      <c r="AH793" s="5">
        <f>+$AC793*BG793</f>
        <v>0</v>
      </c>
      <c r="AI793" s="5">
        <f>+$AC793*BH793</f>
        <v>0</v>
      </c>
      <c r="AJ793" s="5">
        <f>+$AC793*BI793</f>
        <v>0</v>
      </c>
      <c r="AK793" s="5">
        <f>+$AC793*BJ793</f>
        <v>0</v>
      </c>
      <c r="AL793" s="5">
        <f>+$AC793*BK793</f>
        <v>0</v>
      </c>
      <c r="AM793" s="5">
        <f>+$AC793*BL793</f>
        <v>0</v>
      </c>
      <c r="AN793" s="5">
        <f>+$AC793*BM793</f>
        <v>0</v>
      </c>
      <c r="AO793" s="5">
        <f>+$AC793*BN793</f>
        <v>0</v>
      </c>
      <c r="AP793" s="5">
        <f>+AC793+P793+C793</f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2">
        <v>8.9181565948742242E-2</v>
      </c>
      <c r="BD793" s="2">
        <v>0.10665277883445198</v>
      </c>
      <c r="BE793" s="2">
        <v>9.438849084854764E-2</v>
      </c>
      <c r="BF793" s="2">
        <v>7.149564986855049E-2</v>
      </c>
      <c r="BG793" s="2">
        <v>0.10368571810536763</v>
      </c>
      <c r="BH793" s="2">
        <v>8.4970330952544637E-2</v>
      </c>
      <c r="BI793" s="2">
        <v>8.4593878877262704E-2</v>
      </c>
      <c r="BJ793" s="2">
        <v>5.7447105462779965E-2</v>
      </c>
      <c r="BK793" s="2">
        <v>8.5153852345557474E-2</v>
      </c>
      <c r="BL793" s="2">
        <v>7.4158058913035174E-2</v>
      </c>
      <c r="BM793" s="2">
        <v>7.5718189192107169E-2</v>
      </c>
      <c r="BN793" s="2">
        <v>7.3955559365675619E-2</v>
      </c>
    </row>
    <row r="794" spans="1:66" x14ac:dyDescent="0.25">
      <c r="A794" s="8">
        <v>5524</v>
      </c>
      <c r="B794" s="8" t="s">
        <v>202</v>
      </c>
      <c r="C794" s="5">
        <v>0</v>
      </c>
      <c r="D794" s="5">
        <f>+$C794*BC794</f>
        <v>0</v>
      </c>
      <c r="E794" s="5">
        <f>+$C794*BD794</f>
        <v>0</v>
      </c>
      <c r="F794" s="5">
        <f>+$C794*BE794</f>
        <v>0</v>
      </c>
      <c r="G794" s="5">
        <f>+$C794*BF794</f>
        <v>0</v>
      </c>
      <c r="H794" s="5">
        <f>+$C794*BG794</f>
        <v>0</v>
      </c>
      <c r="I794" s="5">
        <f>+$C794*BH794</f>
        <v>0</v>
      </c>
      <c r="J794" s="5">
        <f>+$C794*BI794</f>
        <v>0</v>
      </c>
      <c r="K794" s="5">
        <f>+$C794*BJ794</f>
        <v>0</v>
      </c>
      <c r="L794" s="5">
        <f>+$C794*BK794</f>
        <v>0</v>
      </c>
      <c r="M794" s="5">
        <f>+$C794*BL794</f>
        <v>0</v>
      </c>
      <c r="N794" s="5">
        <f>+$C794*BM794</f>
        <v>0</v>
      </c>
      <c r="O794" s="5">
        <f>+$C794*BN794</f>
        <v>0</v>
      </c>
      <c r="P794" s="5">
        <v>1000</v>
      </c>
      <c r="Q794" s="5">
        <f>+$P794*BC794</f>
        <v>89.181565948742247</v>
      </c>
      <c r="R794" s="5">
        <f>+$P794*BD794</f>
        <v>106.65277883445198</v>
      </c>
      <c r="S794" s="5">
        <f>+$P794*BE794</f>
        <v>94.388490848547647</v>
      </c>
      <c r="T794" s="5">
        <f>+$P794*BF794</f>
        <v>71.495649868550487</v>
      </c>
      <c r="U794" s="5">
        <f>+$P794*BG794</f>
        <v>103.68571810536763</v>
      </c>
      <c r="V794" s="5">
        <f>+$P794*BH794</f>
        <v>84.970330952544643</v>
      </c>
      <c r="W794" s="5">
        <f>+$P794*BI794</f>
        <v>84.593878877262711</v>
      </c>
      <c r="X794" s="5">
        <f>+$P794*BJ794</f>
        <v>57.447105462779966</v>
      </c>
      <c r="Y794" s="5">
        <f>+$P794*BK794</f>
        <v>85.153852345557468</v>
      </c>
      <c r="Z794" s="5">
        <f>+$P794*BL794</f>
        <v>74.158058913035177</v>
      </c>
      <c r="AA794" s="5">
        <f>+$P794*BM794</f>
        <v>75.718189192107175</v>
      </c>
      <c r="AB794" s="5">
        <f>+$P794*BN794</f>
        <v>73.955559365675626</v>
      </c>
      <c r="AC794" s="5">
        <v>0</v>
      </c>
      <c r="AD794" s="5">
        <f>+$AC794*BC794</f>
        <v>0</v>
      </c>
      <c r="AE794" s="5">
        <f>+$AC794*BD794</f>
        <v>0</v>
      </c>
      <c r="AF794" s="5">
        <f>+$AC794*BE794</f>
        <v>0</v>
      </c>
      <c r="AG794" s="5">
        <f>+$AC794*BF794</f>
        <v>0</v>
      </c>
      <c r="AH794" s="5">
        <f>+$AC794*BG794</f>
        <v>0</v>
      </c>
      <c r="AI794" s="5">
        <f>+$AC794*BH794</f>
        <v>0</v>
      </c>
      <c r="AJ794" s="5">
        <f>+$AC794*BI794</f>
        <v>0</v>
      </c>
      <c r="AK794" s="5">
        <f>+$AC794*BJ794</f>
        <v>0</v>
      </c>
      <c r="AL794" s="5">
        <f>+$AC794*BK794</f>
        <v>0</v>
      </c>
      <c r="AM794" s="5">
        <f>+$AC794*BL794</f>
        <v>0</v>
      </c>
      <c r="AN794" s="5">
        <f>+$AC794*BM794</f>
        <v>0</v>
      </c>
      <c r="AO794" s="5">
        <f>+$AC794*BN794</f>
        <v>0</v>
      </c>
      <c r="AP794" s="5">
        <f>+AC794+P794+C794</f>
        <v>1000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2">
        <v>8.9181565948742242E-2</v>
      </c>
      <c r="BD794" s="2">
        <v>0.10665277883445198</v>
      </c>
      <c r="BE794" s="2">
        <v>9.438849084854764E-2</v>
      </c>
      <c r="BF794" s="2">
        <v>7.149564986855049E-2</v>
      </c>
      <c r="BG794" s="2">
        <v>0.10368571810536763</v>
      </c>
      <c r="BH794" s="2">
        <v>8.4970330952544637E-2</v>
      </c>
      <c r="BI794" s="2">
        <v>8.4593878877262704E-2</v>
      </c>
      <c r="BJ794" s="2">
        <v>5.7447105462779965E-2</v>
      </c>
      <c r="BK794" s="2">
        <v>8.5153852345557474E-2</v>
      </c>
      <c r="BL794" s="2">
        <v>7.4158058913035174E-2</v>
      </c>
      <c r="BM794" s="2">
        <v>7.5718189192107169E-2</v>
      </c>
      <c r="BN794" s="2">
        <v>7.3955559365675619E-2</v>
      </c>
    </row>
    <row r="795" spans="1:66" x14ac:dyDescent="0.25">
      <c r="A795" s="8">
        <v>5525</v>
      </c>
      <c r="B795" s="8" t="s">
        <v>201</v>
      </c>
      <c r="C795" s="5">
        <v>0</v>
      </c>
      <c r="D795" s="5">
        <f>+$C795*BC795</f>
        <v>0</v>
      </c>
      <c r="E795" s="5">
        <f>+$C795*BD795</f>
        <v>0</v>
      </c>
      <c r="F795" s="5">
        <f>+$C795*BE795</f>
        <v>0</v>
      </c>
      <c r="G795" s="5">
        <f>+$C795*BF795</f>
        <v>0</v>
      </c>
      <c r="H795" s="5">
        <f>+$C795*BG795</f>
        <v>0</v>
      </c>
      <c r="I795" s="5">
        <f>+$C795*BH795</f>
        <v>0</v>
      </c>
      <c r="J795" s="5">
        <f>+$C795*BI795</f>
        <v>0</v>
      </c>
      <c r="K795" s="5">
        <f>+$C795*BJ795</f>
        <v>0</v>
      </c>
      <c r="L795" s="5">
        <f>+$C795*BK795</f>
        <v>0</v>
      </c>
      <c r="M795" s="5">
        <f>+$C795*BL795</f>
        <v>0</v>
      </c>
      <c r="N795" s="5">
        <f>+$C795*BM795</f>
        <v>0</v>
      </c>
      <c r="O795" s="5">
        <f>+$C795*BN795</f>
        <v>0</v>
      </c>
      <c r="P795" s="5">
        <v>0</v>
      </c>
      <c r="Q795" s="5">
        <f>+$P795*BC795</f>
        <v>0</v>
      </c>
      <c r="R795" s="5">
        <f>+$P795*BD795</f>
        <v>0</v>
      </c>
      <c r="S795" s="5">
        <f>+$P795*BE795</f>
        <v>0</v>
      </c>
      <c r="T795" s="5">
        <f>+$P795*BF795</f>
        <v>0</v>
      </c>
      <c r="U795" s="5">
        <f>+$P795*BG795</f>
        <v>0</v>
      </c>
      <c r="V795" s="5">
        <f>+$P795*BH795</f>
        <v>0</v>
      </c>
      <c r="W795" s="5">
        <f>+$P795*BI795</f>
        <v>0</v>
      </c>
      <c r="X795" s="5">
        <f>+$P795*BJ795</f>
        <v>0</v>
      </c>
      <c r="Y795" s="5">
        <f>+$P795*BK795</f>
        <v>0</v>
      </c>
      <c r="Z795" s="5">
        <f>+$P795*BL795</f>
        <v>0</v>
      </c>
      <c r="AA795" s="5">
        <f>+$P795*BM795</f>
        <v>0</v>
      </c>
      <c r="AB795" s="5">
        <f>+$P795*BN795</f>
        <v>0</v>
      </c>
      <c r="AC795" s="5">
        <v>0</v>
      </c>
      <c r="AD795" s="5">
        <f>+$AC795*BC795</f>
        <v>0</v>
      </c>
      <c r="AE795" s="5">
        <f>+$AC795*BD795</f>
        <v>0</v>
      </c>
      <c r="AF795" s="5">
        <f>+$AC795*BE795</f>
        <v>0</v>
      </c>
      <c r="AG795" s="5">
        <f>+$AC795*BF795</f>
        <v>0</v>
      </c>
      <c r="AH795" s="5">
        <f>+$AC795*BG795</f>
        <v>0</v>
      </c>
      <c r="AI795" s="5">
        <f>+$AC795*BH795</f>
        <v>0</v>
      </c>
      <c r="AJ795" s="5">
        <f>+$AC795*BI795</f>
        <v>0</v>
      </c>
      <c r="AK795" s="5">
        <f>+$AC795*BJ795</f>
        <v>0</v>
      </c>
      <c r="AL795" s="5">
        <f>+$AC795*BK795</f>
        <v>0</v>
      </c>
      <c r="AM795" s="5">
        <f>+$AC795*BL795</f>
        <v>0</v>
      </c>
      <c r="AN795" s="5">
        <f>+$AC795*BM795</f>
        <v>0</v>
      </c>
      <c r="AO795" s="5">
        <f>+$AC795*BN795</f>
        <v>0</v>
      </c>
      <c r="AP795" s="5">
        <f>+AC795+P795+C795</f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2">
        <v>8.9181565948742242E-2</v>
      </c>
      <c r="BD795" s="2">
        <v>0.10665277883445198</v>
      </c>
      <c r="BE795" s="2">
        <v>9.438849084854764E-2</v>
      </c>
      <c r="BF795" s="2">
        <v>7.149564986855049E-2</v>
      </c>
      <c r="BG795" s="2">
        <v>0.10368571810536763</v>
      </c>
      <c r="BH795" s="2">
        <v>8.4970330952544637E-2</v>
      </c>
      <c r="BI795" s="2">
        <v>8.4593878877262704E-2</v>
      </c>
      <c r="BJ795" s="2">
        <v>5.7447105462779965E-2</v>
      </c>
      <c r="BK795" s="2">
        <v>8.5153852345557474E-2</v>
      </c>
      <c r="BL795" s="2">
        <v>7.4158058913035174E-2</v>
      </c>
      <c r="BM795" s="2">
        <v>7.5718189192107169E-2</v>
      </c>
      <c r="BN795" s="2">
        <v>7.3955559365675619E-2</v>
      </c>
    </row>
    <row r="796" spans="1:66" x14ac:dyDescent="0.25">
      <c r="A796" s="8">
        <v>5527</v>
      </c>
      <c r="B796" s="8" t="s">
        <v>200</v>
      </c>
      <c r="C796" s="5">
        <v>0</v>
      </c>
      <c r="D796" s="5">
        <f>+$C796*BC796</f>
        <v>0</v>
      </c>
      <c r="E796" s="5">
        <f>+$C796*BD796</f>
        <v>0</v>
      </c>
      <c r="F796" s="5">
        <f>+$C796*BE796</f>
        <v>0</v>
      </c>
      <c r="G796" s="5">
        <f>+$C796*BF796</f>
        <v>0</v>
      </c>
      <c r="H796" s="5">
        <f>+$C796*BG796</f>
        <v>0</v>
      </c>
      <c r="I796" s="5">
        <f>+$C796*BH796</f>
        <v>0</v>
      </c>
      <c r="J796" s="5">
        <f>+$C796*BI796</f>
        <v>0</v>
      </c>
      <c r="K796" s="5">
        <f>+$C796*BJ796</f>
        <v>0</v>
      </c>
      <c r="L796" s="5">
        <f>+$C796*BK796</f>
        <v>0</v>
      </c>
      <c r="M796" s="5">
        <f>+$C796*BL796</f>
        <v>0</v>
      </c>
      <c r="N796" s="5">
        <f>+$C796*BM796</f>
        <v>0</v>
      </c>
      <c r="O796" s="5">
        <f>+$C796*BN796</f>
        <v>0</v>
      </c>
      <c r="P796" s="5">
        <v>0</v>
      </c>
      <c r="Q796" s="5">
        <f>+$P796*BC796</f>
        <v>0</v>
      </c>
      <c r="R796" s="5">
        <f>+$P796*BD796</f>
        <v>0</v>
      </c>
      <c r="S796" s="5">
        <f>+$P796*BE796</f>
        <v>0</v>
      </c>
      <c r="T796" s="5">
        <f>+$P796*BF796</f>
        <v>0</v>
      </c>
      <c r="U796" s="5">
        <f>+$P796*BG796</f>
        <v>0</v>
      </c>
      <c r="V796" s="5">
        <f>+$P796*BH796</f>
        <v>0</v>
      </c>
      <c r="W796" s="5">
        <f>+$P796*BI796</f>
        <v>0</v>
      </c>
      <c r="X796" s="5">
        <f>+$P796*BJ796</f>
        <v>0</v>
      </c>
      <c r="Y796" s="5">
        <f>+$P796*BK796</f>
        <v>0</v>
      </c>
      <c r="Z796" s="5">
        <f>+$P796*BL796</f>
        <v>0</v>
      </c>
      <c r="AA796" s="5">
        <f>+$P796*BM796</f>
        <v>0</v>
      </c>
      <c r="AB796" s="5">
        <f>+$P796*BN796</f>
        <v>0</v>
      </c>
      <c r="AC796" s="5">
        <v>0</v>
      </c>
      <c r="AD796" s="5">
        <f>+$AC796*BC796</f>
        <v>0</v>
      </c>
      <c r="AE796" s="5">
        <f>+$AC796*BD796</f>
        <v>0</v>
      </c>
      <c r="AF796" s="5">
        <f>+$AC796*BE796</f>
        <v>0</v>
      </c>
      <c r="AG796" s="5">
        <f>+$AC796*BF796</f>
        <v>0</v>
      </c>
      <c r="AH796" s="5">
        <f>+$AC796*BG796</f>
        <v>0</v>
      </c>
      <c r="AI796" s="5">
        <f>+$AC796*BH796</f>
        <v>0</v>
      </c>
      <c r="AJ796" s="5">
        <f>+$AC796*BI796</f>
        <v>0</v>
      </c>
      <c r="AK796" s="5">
        <f>+$AC796*BJ796</f>
        <v>0</v>
      </c>
      <c r="AL796" s="5">
        <f>+$AC796*BK796</f>
        <v>0</v>
      </c>
      <c r="AM796" s="5">
        <f>+$AC796*BL796</f>
        <v>0</v>
      </c>
      <c r="AN796" s="5">
        <f>+$AC796*BM796</f>
        <v>0</v>
      </c>
      <c r="AO796" s="5">
        <f>+$AC796*BN796</f>
        <v>0</v>
      </c>
      <c r="AP796" s="5">
        <f>+AC796+P796+C796</f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2">
        <v>8.9181565948742242E-2</v>
      </c>
      <c r="BD796" s="2">
        <v>0.10665277883445198</v>
      </c>
      <c r="BE796" s="2">
        <v>9.438849084854764E-2</v>
      </c>
      <c r="BF796" s="2">
        <v>7.149564986855049E-2</v>
      </c>
      <c r="BG796" s="2">
        <v>0.10368571810536763</v>
      </c>
      <c r="BH796" s="2">
        <v>8.4970330952544637E-2</v>
      </c>
      <c r="BI796" s="2">
        <v>8.4593878877262704E-2</v>
      </c>
      <c r="BJ796" s="2">
        <v>5.7447105462779965E-2</v>
      </c>
      <c r="BK796" s="2">
        <v>8.5153852345557474E-2</v>
      </c>
      <c r="BL796" s="2">
        <v>7.4158058913035174E-2</v>
      </c>
      <c r="BM796" s="2">
        <v>7.5718189192107169E-2</v>
      </c>
      <c r="BN796" s="2">
        <v>7.3955559365675619E-2</v>
      </c>
    </row>
    <row r="797" spans="1:66" x14ac:dyDescent="0.25">
      <c r="A797" s="8">
        <v>5528</v>
      </c>
      <c r="B797" s="8" t="s">
        <v>199</v>
      </c>
      <c r="C797" s="5">
        <v>0</v>
      </c>
      <c r="D797" s="5">
        <f>+$C797*BC797</f>
        <v>0</v>
      </c>
      <c r="E797" s="5">
        <f>+$C797*BD797</f>
        <v>0</v>
      </c>
      <c r="F797" s="5">
        <f>+$C797*BE797</f>
        <v>0</v>
      </c>
      <c r="G797" s="5">
        <f>+$C797*BF797</f>
        <v>0</v>
      </c>
      <c r="H797" s="5">
        <f>+$C797*BG797</f>
        <v>0</v>
      </c>
      <c r="I797" s="5">
        <f>+$C797*BH797</f>
        <v>0</v>
      </c>
      <c r="J797" s="5">
        <f>+$C797*BI797</f>
        <v>0</v>
      </c>
      <c r="K797" s="5">
        <f>+$C797*BJ797</f>
        <v>0</v>
      </c>
      <c r="L797" s="5">
        <f>+$C797*BK797</f>
        <v>0</v>
      </c>
      <c r="M797" s="5">
        <f>+$C797*BL797</f>
        <v>0</v>
      </c>
      <c r="N797" s="5">
        <f>+$C797*BM797</f>
        <v>0</v>
      </c>
      <c r="O797" s="5">
        <f>+$C797*BN797</f>
        <v>0</v>
      </c>
      <c r="P797" s="5">
        <v>0</v>
      </c>
      <c r="Q797" s="5">
        <f>+$P797*BC797</f>
        <v>0</v>
      </c>
      <c r="R797" s="5">
        <f>+$P797*BD797</f>
        <v>0</v>
      </c>
      <c r="S797" s="5">
        <f>+$P797*BE797</f>
        <v>0</v>
      </c>
      <c r="T797" s="5">
        <f>+$P797*BF797</f>
        <v>0</v>
      </c>
      <c r="U797" s="5">
        <f>+$P797*BG797</f>
        <v>0</v>
      </c>
      <c r="V797" s="5">
        <f>+$P797*BH797</f>
        <v>0</v>
      </c>
      <c r="W797" s="5">
        <f>+$P797*BI797</f>
        <v>0</v>
      </c>
      <c r="X797" s="5">
        <f>+$P797*BJ797</f>
        <v>0</v>
      </c>
      <c r="Y797" s="5">
        <f>+$P797*BK797</f>
        <v>0</v>
      </c>
      <c r="Z797" s="5">
        <f>+$P797*BL797</f>
        <v>0</v>
      </c>
      <c r="AA797" s="5">
        <f>+$P797*BM797</f>
        <v>0</v>
      </c>
      <c r="AB797" s="5">
        <f>+$P797*BN797</f>
        <v>0</v>
      </c>
      <c r="AC797" s="5">
        <v>0</v>
      </c>
      <c r="AD797" s="5">
        <f>+$AC797*BC797</f>
        <v>0</v>
      </c>
      <c r="AE797" s="5">
        <f>+$AC797*BD797</f>
        <v>0</v>
      </c>
      <c r="AF797" s="5">
        <f>+$AC797*BE797</f>
        <v>0</v>
      </c>
      <c r="AG797" s="5">
        <f>+$AC797*BF797</f>
        <v>0</v>
      </c>
      <c r="AH797" s="5">
        <f>+$AC797*BG797</f>
        <v>0</v>
      </c>
      <c r="AI797" s="5">
        <f>+$AC797*BH797</f>
        <v>0</v>
      </c>
      <c r="AJ797" s="5">
        <f>+$AC797*BI797</f>
        <v>0</v>
      </c>
      <c r="AK797" s="5">
        <f>+$AC797*BJ797</f>
        <v>0</v>
      </c>
      <c r="AL797" s="5">
        <f>+$AC797*BK797</f>
        <v>0</v>
      </c>
      <c r="AM797" s="5">
        <f>+$AC797*BL797</f>
        <v>0</v>
      </c>
      <c r="AN797" s="5">
        <f>+$AC797*BM797</f>
        <v>0</v>
      </c>
      <c r="AO797" s="5">
        <f>+$AC797*BN797</f>
        <v>0</v>
      </c>
      <c r="AP797" s="5">
        <f>+AC797+P797+C797</f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2">
        <v>8.9181565948742242E-2</v>
      </c>
      <c r="BD797" s="2">
        <v>0.10665277883445198</v>
      </c>
      <c r="BE797" s="2">
        <v>9.438849084854764E-2</v>
      </c>
      <c r="BF797" s="2">
        <v>7.149564986855049E-2</v>
      </c>
      <c r="BG797" s="2">
        <v>0.10368571810536763</v>
      </c>
      <c r="BH797" s="2">
        <v>8.4970330952544637E-2</v>
      </c>
      <c r="BI797" s="2">
        <v>8.4593878877262704E-2</v>
      </c>
      <c r="BJ797" s="2">
        <v>5.7447105462779965E-2</v>
      </c>
      <c r="BK797" s="2">
        <v>8.5153852345557474E-2</v>
      </c>
      <c r="BL797" s="2">
        <v>7.4158058913035174E-2</v>
      </c>
      <c r="BM797" s="2">
        <v>7.5718189192107169E-2</v>
      </c>
      <c r="BN797" s="2">
        <v>7.3955559365675619E-2</v>
      </c>
    </row>
    <row r="798" spans="1:66" x14ac:dyDescent="0.25">
      <c r="A798" s="8">
        <v>5530</v>
      </c>
      <c r="B798" s="8" t="s">
        <v>198</v>
      </c>
      <c r="C798" s="5">
        <v>0</v>
      </c>
      <c r="D798" s="5">
        <f>+$C798*BC798</f>
        <v>0</v>
      </c>
      <c r="E798" s="5">
        <f>+$C798*BD798</f>
        <v>0</v>
      </c>
      <c r="F798" s="5">
        <f>+$C798*BE798</f>
        <v>0</v>
      </c>
      <c r="G798" s="5">
        <f>+$C798*BF798</f>
        <v>0</v>
      </c>
      <c r="H798" s="5">
        <f>+$C798*BG798</f>
        <v>0</v>
      </c>
      <c r="I798" s="5">
        <f>+$C798*BH798</f>
        <v>0</v>
      </c>
      <c r="J798" s="5">
        <f>+$C798*BI798</f>
        <v>0</v>
      </c>
      <c r="K798" s="5">
        <f>+$C798*BJ798</f>
        <v>0</v>
      </c>
      <c r="L798" s="5">
        <f>+$C798*BK798</f>
        <v>0</v>
      </c>
      <c r="M798" s="5">
        <f>+$C798*BL798</f>
        <v>0</v>
      </c>
      <c r="N798" s="5">
        <f>+$C798*BM798</f>
        <v>0</v>
      </c>
      <c r="O798" s="5">
        <f>+$C798*BN798</f>
        <v>0</v>
      </c>
      <c r="P798" s="5">
        <v>0</v>
      </c>
      <c r="Q798" s="5">
        <f>+$P798*BC798</f>
        <v>0</v>
      </c>
      <c r="R798" s="5">
        <f>+$P798*BD798</f>
        <v>0</v>
      </c>
      <c r="S798" s="5">
        <f>+$P798*BE798</f>
        <v>0</v>
      </c>
      <c r="T798" s="5">
        <f>+$P798*BF798</f>
        <v>0</v>
      </c>
      <c r="U798" s="5">
        <f>+$P798*BG798</f>
        <v>0</v>
      </c>
      <c r="V798" s="5">
        <f>+$P798*BH798</f>
        <v>0</v>
      </c>
      <c r="W798" s="5">
        <f>+$P798*BI798</f>
        <v>0</v>
      </c>
      <c r="X798" s="5">
        <f>+$P798*BJ798</f>
        <v>0</v>
      </c>
      <c r="Y798" s="5">
        <f>+$P798*BK798</f>
        <v>0</v>
      </c>
      <c r="Z798" s="5">
        <f>+$P798*BL798</f>
        <v>0</v>
      </c>
      <c r="AA798" s="5">
        <f>+$P798*BM798</f>
        <v>0</v>
      </c>
      <c r="AB798" s="5">
        <f>+$P798*BN798</f>
        <v>0</v>
      </c>
      <c r="AC798" s="5">
        <v>0</v>
      </c>
      <c r="AD798" s="5">
        <f>+$AC798*BC798</f>
        <v>0</v>
      </c>
      <c r="AE798" s="5">
        <f>+$AC798*BD798</f>
        <v>0</v>
      </c>
      <c r="AF798" s="5">
        <f>+$AC798*BE798</f>
        <v>0</v>
      </c>
      <c r="AG798" s="5">
        <f>+$AC798*BF798</f>
        <v>0</v>
      </c>
      <c r="AH798" s="5">
        <f>+$AC798*BG798</f>
        <v>0</v>
      </c>
      <c r="AI798" s="5">
        <f>+$AC798*BH798</f>
        <v>0</v>
      </c>
      <c r="AJ798" s="5">
        <f>+$AC798*BI798</f>
        <v>0</v>
      </c>
      <c r="AK798" s="5">
        <f>+$AC798*BJ798</f>
        <v>0</v>
      </c>
      <c r="AL798" s="5">
        <f>+$AC798*BK798</f>
        <v>0</v>
      </c>
      <c r="AM798" s="5">
        <f>+$AC798*BL798</f>
        <v>0</v>
      </c>
      <c r="AN798" s="5">
        <f>+$AC798*BM798</f>
        <v>0</v>
      </c>
      <c r="AO798" s="5">
        <f>+$AC798*BN798</f>
        <v>0</v>
      </c>
      <c r="AP798" s="5">
        <f>+AC798+P798+C798</f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2">
        <v>8.9181565948742242E-2</v>
      </c>
      <c r="BD798" s="2">
        <v>0.10665277883445198</v>
      </c>
      <c r="BE798" s="2">
        <v>9.438849084854764E-2</v>
      </c>
      <c r="BF798" s="2">
        <v>7.149564986855049E-2</v>
      </c>
      <c r="BG798" s="2">
        <v>0.10368571810536763</v>
      </c>
      <c r="BH798" s="2">
        <v>8.4970330952544637E-2</v>
      </c>
      <c r="BI798" s="2">
        <v>8.4593878877262704E-2</v>
      </c>
      <c r="BJ798" s="2">
        <v>5.7447105462779965E-2</v>
      </c>
      <c r="BK798" s="2">
        <v>8.5153852345557474E-2</v>
      </c>
      <c r="BL798" s="2">
        <v>7.4158058913035174E-2</v>
      </c>
      <c r="BM798" s="2">
        <v>7.5718189192107169E-2</v>
      </c>
      <c r="BN798" s="2">
        <v>7.3955559365675619E-2</v>
      </c>
    </row>
    <row r="799" spans="1:66" x14ac:dyDescent="0.25">
      <c r="A799" s="8">
        <v>5532</v>
      </c>
      <c r="B799" s="8" t="s">
        <v>197</v>
      </c>
      <c r="C799" s="5">
        <v>0</v>
      </c>
      <c r="D799" s="5">
        <f>+$C799*BC799</f>
        <v>0</v>
      </c>
      <c r="E799" s="5">
        <f>+$C799*BD799</f>
        <v>0</v>
      </c>
      <c r="F799" s="5">
        <f>+$C799*BE799</f>
        <v>0</v>
      </c>
      <c r="G799" s="5">
        <f>+$C799*BF799</f>
        <v>0</v>
      </c>
      <c r="H799" s="5">
        <f>+$C799*BG799</f>
        <v>0</v>
      </c>
      <c r="I799" s="5">
        <f>+$C799*BH799</f>
        <v>0</v>
      </c>
      <c r="J799" s="5">
        <f>+$C799*BI799</f>
        <v>0</v>
      </c>
      <c r="K799" s="5">
        <f>+$C799*BJ799</f>
        <v>0</v>
      </c>
      <c r="L799" s="5">
        <f>+$C799*BK799</f>
        <v>0</v>
      </c>
      <c r="M799" s="5">
        <f>+$C799*BL799</f>
        <v>0</v>
      </c>
      <c r="N799" s="5">
        <f>+$C799*BM799</f>
        <v>0</v>
      </c>
      <c r="O799" s="5">
        <f>+$C799*BN799</f>
        <v>0</v>
      </c>
      <c r="P799" s="5">
        <v>0</v>
      </c>
      <c r="Q799" s="5">
        <f>+$P799*BC799</f>
        <v>0</v>
      </c>
      <c r="R799" s="5">
        <f>+$P799*BD799</f>
        <v>0</v>
      </c>
      <c r="S799" s="5">
        <f>+$P799*BE799</f>
        <v>0</v>
      </c>
      <c r="T799" s="5">
        <f>+$P799*BF799</f>
        <v>0</v>
      </c>
      <c r="U799" s="5">
        <f>+$P799*BG799</f>
        <v>0</v>
      </c>
      <c r="V799" s="5">
        <f>+$P799*BH799</f>
        <v>0</v>
      </c>
      <c r="W799" s="5">
        <f>+$P799*BI799</f>
        <v>0</v>
      </c>
      <c r="X799" s="5">
        <f>+$P799*BJ799</f>
        <v>0</v>
      </c>
      <c r="Y799" s="5">
        <f>+$P799*BK799</f>
        <v>0</v>
      </c>
      <c r="Z799" s="5">
        <f>+$P799*BL799</f>
        <v>0</v>
      </c>
      <c r="AA799" s="5">
        <f>+$P799*BM799</f>
        <v>0</v>
      </c>
      <c r="AB799" s="5">
        <f>+$P799*BN799</f>
        <v>0</v>
      </c>
      <c r="AC799" s="5">
        <v>0</v>
      </c>
      <c r="AD799" s="5">
        <f>+$AC799*BC799</f>
        <v>0</v>
      </c>
      <c r="AE799" s="5">
        <f>+$AC799*BD799</f>
        <v>0</v>
      </c>
      <c r="AF799" s="5">
        <f>+$AC799*BE799</f>
        <v>0</v>
      </c>
      <c r="AG799" s="5">
        <f>+$AC799*BF799</f>
        <v>0</v>
      </c>
      <c r="AH799" s="5">
        <f>+$AC799*BG799</f>
        <v>0</v>
      </c>
      <c r="AI799" s="5">
        <f>+$AC799*BH799</f>
        <v>0</v>
      </c>
      <c r="AJ799" s="5">
        <f>+$AC799*BI799</f>
        <v>0</v>
      </c>
      <c r="AK799" s="5">
        <f>+$AC799*BJ799</f>
        <v>0</v>
      </c>
      <c r="AL799" s="5">
        <f>+$AC799*BK799</f>
        <v>0</v>
      </c>
      <c r="AM799" s="5">
        <f>+$AC799*BL799</f>
        <v>0</v>
      </c>
      <c r="AN799" s="5">
        <f>+$AC799*BM799</f>
        <v>0</v>
      </c>
      <c r="AO799" s="5">
        <f>+$AC799*BN799</f>
        <v>0</v>
      </c>
      <c r="AP799" s="5">
        <f>+AC799+P799+C799</f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2">
        <v>8.9181565948742242E-2</v>
      </c>
      <c r="BD799" s="2">
        <v>0.10665277883445198</v>
      </c>
      <c r="BE799" s="2">
        <v>9.438849084854764E-2</v>
      </c>
      <c r="BF799" s="2">
        <v>7.149564986855049E-2</v>
      </c>
      <c r="BG799" s="2">
        <v>0.10368571810536763</v>
      </c>
      <c r="BH799" s="2">
        <v>8.4970330952544637E-2</v>
      </c>
      <c r="BI799" s="2">
        <v>8.4593878877262704E-2</v>
      </c>
      <c r="BJ799" s="2">
        <v>5.7447105462779965E-2</v>
      </c>
      <c r="BK799" s="2">
        <v>8.5153852345557474E-2</v>
      </c>
      <c r="BL799" s="2">
        <v>7.4158058913035174E-2</v>
      </c>
      <c r="BM799" s="2">
        <v>7.5718189192107169E-2</v>
      </c>
      <c r="BN799" s="2">
        <v>7.3955559365675619E-2</v>
      </c>
    </row>
    <row r="800" spans="1:66" x14ac:dyDescent="0.25">
      <c r="A800" s="8">
        <v>5533</v>
      </c>
      <c r="B800" s="8" t="s">
        <v>196</v>
      </c>
      <c r="C800" s="5">
        <v>0</v>
      </c>
      <c r="D800" s="5">
        <f>+$C800*BC800</f>
        <v>0</v>
      </c>
      <c r="E800" s="5">
        <f>+$C800*BD800</f>
        <v>0</v>
      </c>
      <c r="F800" s="5">
        <f>+$C800*BE800</f>
        <v>0</v>
      </c>
      <c r="G800" s="5">
        <f>+$C800*BF800</f>
        <v>0</v>
      </c>
      <c r="H800" s="5">
        <f>+$C800*BG800</f>
        <v>0</v>
      </c>
      <c r="I800" s="5">
        <f>+$C800*BH800</f>
        <v>0</v>
      </c>
      <c r="J800" s="5">
        <f>+$C800*BI800</f>
        <v>0</v>
      </c>
      <c r="K800" s="5">
        <f>+$C800*BJ800</f>
        <v>0</v>
      </c>
      <c r="L800" s="5">
        <f>+$C800*BK800</f>
        <v>0</v>
      </c>
      <c r="M800" s="5">
        <f>+$C800*BL800</f>
        <v>0</v>
      </c>
      <c r="N800" s="5">
        <f>+$C800*BM800</f>
        <v>0</v>
      </c>
      <c r="O800" s="5">
        <f>+$C800*BN800</f>
        <v>0</v>
      </c>
      <c r="P800" s="5">
        <v>0</v>
      </c>
      <c r="Q800" s="5">
        <f>+$P800*BC800</f>
        <v>0</v>
      </c>
      <c r="R800" s="5">
        <f>+$P800*BD800</f>
        <v>0</v>
      </c>
      <c r="S800" s="5">
        <f>+$P800*BE800</f>
        <v>0</v>
      </c>
      <c r="T800" s="5">
        <f>+$P800*BF800</f>
        <v>0</v>
      </c>
      <c r="U800" s="5">
        <f>+$P800*BG800</f>
        <v>0</v>
      </c>
      <c r="V800" s="5">
        <f>+$P800*BH800</f>
        <v>0</v>
      </c>
      <c r="W800" s="5">
        <f>+$P800*BI800</f>
        <v>0</v>
      </c>
      <c r="X800" s="5">
        <f>+$P800*BJ800</f>
        <v>0</v>
      </c>
      <c r="Y800" s="5">
        <f>+$P800*BK800</f>
        <v>0</v>
      </c>
      <c r="Z800" s="5">
        <f>+$P800*BL800</f>
        <v>0</v>
      </c>
      <c r="AA800" s="5">
        <f>+$P800*BM800</f>
        <v>0</v>
      </c>
      <c r="AB800" s="5">
        <f>+$P800*BN800</f>
        <v>0</v>
      </c>
      <c r="AC800" s="5">
        <v>0</v>
      </c>
      <c r="AD800" s="5">
        <f>+$AC800*BC800</f>
        <v>0</v>
      </c>
      <c r="AE800" s="5">
        <f>+$AC800*BD800</f>
        <v>0</v>
      </c>
      <c r="AF800" s="5">
        <f>+$AC800*BE800</f>
        <v>0</v>
      </c>
      <c r="AG800" s="5">
        <f>+$AC800*BF800</f>
        <v>0</v>
      </c>
      <c r="AH800" s="5">
        <f>+$AC800*BG800</f>
        <v>0</v>
      </c>
      <c r="AI800" s="5">
        <f>+$AC800*BH800</f>
        <v>0</v>
      </c>
      <c r="AJ800" s="5">
        <f>+$AC800*BI800</f>
        <v>0</v>
      </c>
      <c r="AK800" s="5">
        <f>+$AC800*BJ800</f>
        <v>0</v>
      </c>
      <c r="AL800" s="5">
        <f>+$AC800*BK800</f>
        <v>0</v>
      </c>
      <c r="AM800" s="5">
        <f>+$AC800*BL800</f>
        <v>0</v>
      </c>
      <c r="AN800" s="5">
        <f>+$AC800*BM800</f>
        <v>0</v>
      </c>
      <c r="AO800" s="5">
        <f>+$AC800*BN800</f>
        <v>0</v>
      </c>
      <c r="AP800" s="5">
        <f>+AC800+P800+C800</f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2">
        <v>8.9181565948742242E-2</v>
      </c>
      <c r="BD800" s="2">
        <v>0.10665277883445198</v>
      </c>
      <c r="BE800" s="2">
        <v>9.438849084854764E-2</v>
      </c>
      <c r="BF800" s="2">
        <v>7.149564986855049E-2</v>
      </c>
      <c r="BG800" s="2">
        <v>0.10368571810536763</v>
      </c>
      <c r="BH800" s="2">
        <v>8.4970330952544637E-2</v>
      </c>
      <c r="BI800" s="2">
        <v>8.4593878877262704E-2</v>
      </c>
      <c r="BJ800" s="2">
        <v>5.7447105462779965E-2</v>
      </c>
      <c r="BK800" s="2">
        <v>8.5153852345557474E-2</v>
      </c>
      <c r="BL800" s="2">
        <v>7.4158058913035174E-2</v>
      </c>
      <c r="BM800" s="2">
        <v>7.5718189192107169E-2</v>
      </c>
      <c r="BN800" s="2">
        <v>7.3955559365675619E-2</v>
      </c>
    </row>
    <row r="801" spans="1:66" x14ac:dyDescent="0.25">
      <c r="A801" s="8">
        <v>5534</v>
      </c>
      <c r="B801" s="8" t="s">
        <v>195</v>
      </c>
      <c r="C801" s="5">
        <v>0</v>
      </c>
      <c r="D801" s="5">
        <f>+$C801*BC801</f>
        <v>0</v>
      </c>
      <c r="E801" s="5">
        <f>+$C801*BD801</f>
        <v>0</v>
      </c>
      <c r="F801" s="5">
        <f>+$C801*BE801</f>
        <v>0</v>
      </c>
      <c r="G801" s="5">
        <f>+$C801*BF801</f>
        <v>0</v>
      </c>
      <c r="H801" s="5">
        <f>+$C801*BG801</f>
        <v>0</v>
      </c>
      <c r="I801" s="5">
        <f>+$C801*BH801</f>
        <v>0</v>
      </c>
      <c r="J801" s="5">
        <f>+$C801*BI801</f>
        <v>0</v>
      </c>
      <c r="K801" s="5">
        <f>+$C801*BJ801</f>
        <v>0</v>
      </c>
      <c r="L801" s="5">
        <f>+$C801*BK801</f>
        <v>0</v>
      </c>
      <c r="M801" s="5">
        <f>+$C801*BL801</f>
        <v>0</v>
      </c>
      <c r="N801" s="5">
        <f>+$C801*BM801</f>
        <v>0</v>
      </c>
      <c r="O801" s="5">
        <f>+$C801*BN801</f>
        <v>0</v>
      </c>
      <c r="P801" s="5">
        <v>0</v>
      </c>
      <c r="Q801" s="5">
        <f>+$P801*BC801</f>
        <v>0</v>
      </c>
      <c r="R801" s="5">
        <f>+$P801*BD801</f>
        <v>0</v>
      </c>
      <c r="S801" s="5">
        <f>+$P801*BE801</f>
        <v>0</v>
      </c>
      <c r="T801" s="5">
        <f>+$P801*BF801</f>
        <v>0</v>
      </c>
      <c r="U801" s="5">
        <f>+$P801*BG801</f>
        <v>0</v>
      </c>
      <c r="V801" s="5">
        <f>+$P801*BH801</f>
        <v>0</v>
      </c>
      <c r="W801" s="5">
        <f>+$P801*BI801</f>
        <v>0</v>
      </c>
      <c r="X801" s="5">
        <f>+$P801*BJ801</f>
        <v>0</v>
      </c>
      <c r="Y801" s="5">
        <f>+$P801*BK801</f>
        <v>0</v>
      </c>
      <c r="Z801" s="5">
        <f>+$P801*BL801</f>
        <v>0</v>
      </c>
      <c r="AA801" s="5">
        <f>+$P801*BM801</f>
        <v>0</v>
      </c>
      <c r="AB801" s="5">
        <f>+$P801*BN801</f>
        <v>0</v>
      </c>
      <c r="AC801" s="5">
        <v>0</v>
      </c>
      <c r="AD801" s="5">
        <f>+$AC801*BC801</f>
        <v>0</v>
      </c>
      <c r="AE801" s="5">
        <f>+$AC801*BD801</f>
        <v>0</v>
      </c>
      <c r="AF801" s="5">
        <f>+$AC801*BE801</f>
        <v>0</v>
      </c>
      <c r="AG801" s="5">
        <f>+$AC801*BF801</f>
        <v>0</v>
      </c>
      <c r="AH801" s="5">
        <f>+$AC801*BG801</f>
        <v>0</v>
      </c>
      <c r="AI801" s="5">
        <f>+$AC801*BH801</f>
        <v>0</v>
      </c>
      <c r="AJ801" s="5">
        <f>+$AC801*BI801</f>
        <v>0</v>
      </c>
      <c r="AK801" s="5">
        <f>+$AC801*BJ801</f>
        <v>0</v>
      </c>
      <c r="AL801" s="5">
        <f>+$AC801*BK801</f>
        <v>0</v>
      </c>
      <c r="AM801" s="5">
        <f>+$AC801*BL801</f>
        <v>0</v>
      </c>
      <c r="AN801" s="5">
        <f>+$AC801*BM801</f>
        <v>0</v>
      </c>
      <c r="AO801" s="5">
        <f>+$AC801*BN801</f>
        <v>0</v>
      </c>
      <c r="AP801" s="5">
        <f>+AC801+P801+C801</f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2">
        <v>8.9181565948742242E-2</v>
      </c>
      <c r="BD801" s="2">
        <v>0.10665277883445198</v>
      </c>
      <c r="BE801" s="2">
        <v>9.438849084854764E-2</v>
      </c>
      <c r="BF801" s="2">
        <v>7.149564986855049E-2</v>
      </c>
      <c r="BG801" s="2">
        <v>0.10368571810536763</v>
      </c>
      <c r="BH801" s="2">
        <v>8.4970330952544637E-2</v>
      </c>
      <c r="BI801" s="2">
        <v>8.4593878877262704E-2</v>
      </c>
      <c r="BJ801" s="2">
        <v>5.7447105462779965E-2</v>
      </c>
      <c r="BK801" s="2">
        <v>8.5153852345557474E-2</v>
      </c>
      <c r="BL801" s="2">
        <v>7.4158058913035174E-2</v>
      </c>
      <c r="BM801" s="2">
        <v>7.5718189192107169E-2</v>
      </c>
      <c r="BN801" s="2">
        <v>7.3955559365675619E-2</v>
      </c>
    </row>
    <row r="802" spans="1:66" x14ac:dyDescent="0.25">
      <c r="A802" s="8">
        <v>5536</v>
      </c>
      <c r="B802" s="8" t="s">
        <v>194</v>
      </c>
      <c r="C802" s="5">
        <v>0</v>
      </c>
      <c r="D802" s="5">
        <f>+$C802*BC802</f>
        <v>0</v>
      </c>
      <c r="E802" s="5">
        <f>+$C802*BD802</f>
        <v>0</v>
      </c>
      <c r="F802" s="5">
        <f>+$C802*BE802</f>
        <v>0</v>
      </c>
      <c r="G802" s="5">
        <f>+$C802*BF802</f>
        <v>0</v>
      </c>
      <c r="H802" s="5">
        <f>+$C802*BG802</f>
        <v>0</v>
      </c>
      <c r="I802" s="5">
        <f>+$C802*BH802</f>
        <v>0</v>
      </c>
      <c r="J802" s="5">
        <f>+$C802*BI802</f>
        <v>0</v>
      </c>
      <c r="K802" s="5">
        <f>+$C802*BJ802</f>
        <v>0</v>
      </c>
      <c r="L802" s="5">
        <f>+$C802*BK802</f>
        <v>0</v>
      </c>
      <c r="M802" s="5">
        <f>+$C802*BL802</f>
        <v>0</v>
      </c>
      <c r="N802" s="5">
        <f>+$C802*BM802</f>
        <v>0</v>
      </c>
      <c r="O802" s="5">
        <f>+$C802*BN802</f>
        <v>0</v>
      </c>
      <c r="P802" s="5">
        <v>0</v>
      </c>
      <c r="Q802" s="5">
        <f>+$P802*BC802</f>
        <v>0</v>
      </c>
      <c r="R802" s="5">
        <f>+$P802*BD802</f>
        <v>0</v>
      </c>
      <c r="S802" s="5">
        <f>+$P802*BE802</f>
        <v>0</v>
      </c>
      <c r="T802" s="5">
        <f>+$P802*BF802</f>
        <v>0</v>
      </c>
      <c r="U802" s="5">
        <f>+$P802*BG802</f>
        <v>0</v>
      </c>
      <c r="V802" s="5">
        <f>+$P802*BH802</f>
        <v>0</v>
      </c>
      <c r="W802" s="5">
        <f>+$P802*BI802</f>
        <v>0</v>
      </c>
      <c r="X802" s="5">
        <f>+$P802*BJ802</f>
        <v>0</v>
      </c>
      <c r="Y802" s="5">
        <f>+$P802*BK802</f>
        <v>0</v>
      </c>
      <c r="Z802" s="5">
        <f>+$P802*BL802</f>
        <v>0</v>
      </c>
      <c r="AA802" s="5">
        <f>+$P802*BM802</f>
        <v>0</v>
      </c>
      <c r="AB802" s="5">
        <f>+$P802*BN802</f>
        <v>0</v>
      </c>
      <c r="AC802" s="5">
        <v>0</v>
      </c>
      <c r="AD802" s="5">
        <f>+$AC802*BC802</f>
        <v>0</v>
      </c>
      <c r="AE802" s="5">
        <f>+$AC802*BD802</f>
        <v>0</v>
      </c>
      <c r="AF802" s="5">
        <f>+$AC802*BE802</f>
        <v>0</v>
      </c>
      <c r="AG802" s="5">
        <f>+$AC802*BF802</f>
        <v>0</v>
      </c>
      <c r="AH802" s="5">
        <f>+$AC802*BG802</f>
        <v>0</v>
      </c>
      <c r="AI802" s="5">
        <f>+$AC802*BH802</f>
        <v>0</v>
      </c>
      <c r="AJ802" s="5">
        <f>+$AC802*BI802</f>
        <v>0</v>
      </c>
      <c r="AK802" s="5">
        <f>+$AC802*BJ802</f>
        <v>0</v>
      </c>
      <c r="AL802" s="5">
        <f>+$AC802*BK802</f>
        <v>0</v>
      </c>
      <c r="AM802" s="5">
        <f>+$AC802*BL802</f>
        <v>0</v>
      </c>
      <c r="AN802" s="5">
        <f>+$AC802*BM802</f>
        <v>0</v>
      </c>
      <c r="AO802" s="5">
        <f>+$AC802*BN802</f>
        <v>0</v>
      </c>
      <c r="AP802" s="5">
        <f>+AC802+P802+C802</f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2">
        <v>8.9181565948742242E-2</v>
      </c>
      <c r="BD802" s="2">
        <v>0.10665277883445198</v>
      </c>
      <c r="BE802" s="2">
        <v>9.438849084854764E-2</v>
      </c>
      <c r="BF802" s="2">
        <v>7.149564986855049E-2</v>
      </c>
      <c r="BG802" s="2">
        <v>0.10368571810536763</v>
      </c>
      <c r="BH802" s="2">
        <v>8.4970330952544637E-2</v>
      </c>
      <c r="BI802" s="2">
        <v>8.4593878877262704E-2</v>
      </c>
      <c r="BJ802" s="2">
        <v>5.7447105462779965E-2</v>
      </c>
      <c r="BK802" s="2">
        <v>8.5153852345557474E-2</v>
      </c>
      <c r="BL802" s="2">
        <v>7.4158058913035174E-2</v>
      </c>
      <c r="BM802" s="2">
        <v>7.5718189192107169E-2</v>
      </c>
      <c r="BN802" s="2">
        <v>7.3955559365675619E-2</v>
      </c>
    </row>
    <row r="803" spans="1:66" x14ac:dyDescent="0.25">
      <c r="A803" s="8">
        <v>5539</v>
      </c>
      <c r="B803" s="8" t="s">
        <v>193</v>
      </c>
      <c r="C803" s="5">
        <v>0</v>
      </c>
      <c r="D803" s="5">
        <f>+$C803*BC803</f>
        <v>0</v>
      </c>
      <c r="E803" s="5">
        <f>+$C803*BD803</f>
        <v>0</v>
      </c>
      <c r="F803" s="5">
        <f>+$C803*BE803</f>
        <v>0</v>
      </c>
      <c r="G803" s="5">
        <f>+$C803*BF803</f>
        <v>0</v>
      </c>
      <c r="H803" s="5">
        <f>+$C803*BG803</f>
        <v>0</v>
      </c>
      <c r="I803" s="5">
        <f>+$C803*BH803</f>
        <v>0</v>
      </c>
      <c r="J803" s="5">
        <f>+$C803*BI803</f>
        <v>0</v>
      </c>
      <c r="K803" s="5">
        <f>+$C803*BJ803</f>
        <v>0</v>
      </c>
      <c r="L803" s="5">
        <f>+$C803*BK803</f>
        <v>0</v>
      </c>
      <c r="M803" s="5">
        <f>+$C803*BL803</f>
        <v>0</v>
      </c>
      <c r="N803" s="5">
        <f>+$C803*BM803</f>
        <v>0</v>
      </c>
      <c r="O803" s="5">
        <f>+$C803*BN803</f>
        <v>0</v>
      </c>
      <c r="P803" s="5">
        <v>0</v>
      </c>
      <c r="Q803" s="5">
        <f>+$P803*BC803</f>
        <v>0</v>
      </c>
      <c r="R803" s="5">
        <f>+$P803*BD803</f>
        <v>0</v>
      </c>
      <c r="S803" s="5">
        <f>+$P803*BE803</f>
        <v>0</v>
      </c>
      <c r="T803" s="5">
        <f>+$P803*BF803</f>
        <v>0</v>
      </c>
      <c r="U803" s="5">
        <f>+$P803*BG803</f>
        <v>0</v>
      </c>
      <c r="V803" s="5">
        <f>+$P803*BH803</f>
        <v>0</v>
      </c>
      <c r="W803" s="5">
        <f>+$P803*BI803</f>
        <v>0</v>
      </c>
      <c r="X803" s="5">
        <f>+$P803*BJ803</f>
        <v>0</v>
      </c>
      <c r="Y803" s="5">
        <f>+$P803*BK803</f>
        <v>0</v>
      </c>
      <c r="Z803" s="5">
        <f>+$P803*BL803</f>
        <v>0</v>
      </c>
      <c r="AA803" s="5">
        <f>+$P803*BM803</f>
        <v>0</v>
      </c>
      <c r="AB803" s="5">
        <f>+$P803*BN803</f>
        <v>0</v>
      </c>
      <c r="AC803" s="5">
        <v>0</v>
      </c>
      <c r="AD803" s="5">
        <f>+$AC803*BC803</f>
        <v>0</v>
      </c>
      <c r="AE803" s="5">
        <f>+$AC803*BD803</f>
        <v>0</v>
      </c>
      <c r="AF803" s="5">
        <f>+$AC803*BE803</f>
        <v>0</v>
      </c>
      <c r="AG803" s="5">
        <f>+$AC803*BF803</f>
        <v>0</v>
      </c>
      <c r="AH803" s="5">
        <f>+$AC803*BG803</f>
        <v>0</v>
      </c>
      <c r="AI803" s="5">
        <f>+$AC803*BH803</f>
        <v>0</v>
      </c>
      <c r="AJ803" s="5">
        <f>+$AC803*BI803</f>
        <v>0</v>
      </c>
      <c r="AK803" s="5">
        <f>+$AC803*BJ803</f>
        <v>0</v>
      </c>
      <c r="AL803" s="5">
        <f>+$AC803*BK803</f>
        <v>0</v>
      </c>
      <c r="AM803" s="5">
        <f>+$AC803*BL803</f>
        <v>0</v>
      </c>
      <c r="AN803" s="5">
        <f>+$AC803*BM803</f>
        <v>0</v>
      </c>
      <c r="AO803" s="5">
        <f>+$AC803*BN803</f>
        <v>0</v>
      </c>
      <c r="AP803" s="5">
        <f>+AC803+P803+C803</f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2">
        <v>8.9181565948742242E-2</v>
      </c>
      <c r="BD803" s="2">
        <v>0.10665277883445198</v>
      </c>
      <c r="BE803" s="2">
        <v>9.438849084854764E-2</v>
      </c>
      <c r="BF803" s="2">
        <v>7.149564986855049E-2</v>
      </c>
      <c r="BG803" s="2">
        <v>0.10368571810536763</v>
      </c>
      <c r="BH803" s="2">
        <v>8.4970330952544637E-2</v>
      </c>
      <c r="BI803" s="2">
        <v>8.4593878877262704E-2</v>
      </c>
      <c r="BJ803" s="2">
        <v>5.7447105462779965E-2</v>
      </c>
      <c r="BK803" s="2">
        <v>8.5153852345557474E-2</v>
      </c>
      <c r="BL803" s="2">
        <v>7.4158058913035174E-2</v>
      </c>
      <c r="BM803" s="2">
        <v>7.5718189192107169E-2</v>
      </c>
      <c r="BN803" s="2">
        <v>7.3955559365675619E-2</v>
      </c>
    </row>
    <row r="804" spans="1:66" x14ac:dyDescent="0.25">
      <c r="A804" s="8">
        <v>5540</v>
      </c>
      <c r="B804" s="8" t="s">
        <v>192</v>
      </c>
      <c r="C804" s="5">
        <v>0</v>
      </c>
      <c r="D804" s="5">
        <f>+$C804*BC804</f>
        <v>0</v>
      </c>
      <c r="E804" s="5">
        <f>+$C804*BD804</f>
        <v>0</v>
      </c>
      <c r="F804" s="5">
        <f>+$C804*BE804</f>
        <v>0</v>
      </c>
      <c r="G804" s="5">
        <f>+$C804*BF804</f>
        <v>0</v>
      </c>
      <c r="H804" s="5">
        <f>+$C804*BG804</f>
        <v>0</v>
      </c>
      <c r="I804" s="5">
        <f>+$C804*BH804</f>
        <v>0</v>
      </c>
      <c r="J804" s="5">
        <f>+$C804*BI804</f>
        <v>0</v>
      </c>
      <c r="K804" s="5">
        <f>+$C804*BJ804</f>
        <v>0</v>
      </c>
      <c r="L804" s="5">
        <f>+$C804*BK804</f>
        <v>0</v>
      </c>
      <c r="M804" s="5">
        <f>+$C804*BL804</f>
        <v>0</v>
      </c>
      <c r="N804" s="5">
        <f>+$C804*BM804</f>
        <v>0</v>
      </c>
      <c r="O804" s="5">
        <f>+$C804*BN804</f>
        <v>0</v>
      </c>
      <c r="P804" s="5">
        <v>0</v>
      </c>
      <c r="Q804" s="5">
        <f>+$P804*BC804</f>
        <v>0</v>
      </c>
      <c r="R804" s="5">
        <f>+$P804*BD804</f>
        <v>0</v>
      </c>
      <c r="S804" s="5">
        <f>+$P804*BE804</f>
        <v>0</v>
      </c>
      <c r="T804" s="5">
        <f>+$P804*BF804</f>
        <v>0</v>
      </c>
      <c r="U804" s="5">
        <f>+$P804*BG804</f>
        <v>0</v>
      </c>
      <c r="V804" s="5">
        <f>+$P804*BH804</f>
        <v>0</v>
      </c>
      <c r="W804" s="5">
        <f>+$P804*BI804</f>
        <v>0</v>
      </c>
      <c r="X804" s="5">
        <f>+$P804*BJ804</f>
        <v>0</v>
      </c>
      <c r="Y804" s="5">
        <f>+$P804*BK804</f>
        <v>0</v>
      </c>
      <c r="Z804" s="5">
        <f>+$P804*BL804</f>
        <v>0</v>
      </c>
      <c r="AA804" s="5">
        <f>+$P804*BM804</f>
        <v>0</v>
      </c>
      <c r="AB804" s="5">
        <f>+$P804*BN804</f>
        <v>0</v>
      </c>
      <c r="AC804" s="5">
        <v>0</v>
      </c>
      <c r="AD804" s="5">
        <f>+$AC804*BC804</f>
        <v>0</v>
      </c>
      <c r="AE804" s="5">
        <f>+$AC804*BD804</f>
        <v>0</v>
      </c>
      <c r="AF804" s="5">
        <f>+$AC804*BE804</f>
        <v>0</v>
      </c>
      <c r="AG804" s="5">
        <f>+$AC804*BF804</f>
        <v>0</v>
      </c>
      <c r="AH804" s="5">
        <f>+$AC804*BG804</f>
        <v>0</v>
      </c>
      <c r="AI804" s="5">
        <f>+$AC804*BH804</f>
        <v>0</v>
      </c>
      <c r="AJ804" s="5">
        <f>+$AC804*BI804</f>
        <v>0</v>
      </c>
      <c r="AK804" s="5">
        <f>+$AC804*BJ804</f>
        <v>0</v>
      </c>
      <c r="AL804" s="5">
        <f>+$AC804*BK804</f>
        <v>0</v>
      </c>
      <c r="AM804" s="5">
        <f>+$AC804*BL804</f>
        <v>0</v>
      </c>
      <c r="AN804" s="5">
        <f>+$AC804*BM804</f>
        <v>0</v>
      </c>
      <c r="AO804" s="5">
        <f>+$AC804*BN804</f>
        <v>0</v>
      </c>
      <c r="AP804" s="5">
        <f>+AC804+P804+C804</f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2">
        <v>8.9181565948742242E-2</v>
      </c>
      <c r="BD804" s="2">
        <v>0.10665277883445198</v>
      </c>
      <c r="BE804" s="2">
        <v>9.438849084854764E-2</v>
      </c>
      <c r="BF804" s="2">
        <v>7.149564986855049E-2</v>
      </c>
      <c r="BG804" s="2">
        <v>0.10368571810536763</v>
      </c>
      <c r="BH804" s="2">
        <v>8.4970330952544637E-2</v>
      </c>
      <c r="BI804" s="2">
        <v>8.4593878877262704E-2</v>
      </c>
      <c r="BJ804" s="2">
        <v>5.7447105462779965E-2</v>
      </c>
      <c r="BK804" s="2">
        <v>8.5153852345557474E-2</v>
      </c>
      <c r="BL804" s="2">
        <v>7.4158058913035174E-2</v>
      </c>
      <c r="BM804" s="2">
        <v>7.5718189192107169E-2</v>
      </c>
      <c r="BN804" s="2">
        <v>7.3955559365675619E-2</v>
      </c>
    </row>
    <row r="805" spans="1:66" x14ac:dyDescent="0.25">
      <c r="A805" s="8">
        <v>5541</v>
      </c>
      <c r="B805" s="8" t="s">
        <v>191</v>
      </c>
      <c r="C805" s="5">
        <v>0</v>
      </c>
      <c r="D805" s="5">
        <f>+$C805*BC805</f>
        <v>0</v>
      </c>
      <c r="E805" s="5">
        <f>+$C805*BD805</f>
        <v>0</v>
      </c>
      <c r="F805" s="5">
        <f>+$C805*BE805</f>
        <v>0</v>
      </c>
      <c r="G805" s="5">
        <f>+$C805*BF805</f>
        <v>0</v>
      </c>
      <c r="H805" s="5">
        <f>+$C805*BG805</f>
        <v>0</v>
      </c>
      <c r="I805" s="5">
        <f>+$C805*BH805</f>
        <v>0</v>
      </c>
      <c r="J805" s="5">
        <f>+$C805*BI805</f>
        <v>0</v>
      </c>
      <c r="K805" s="5">
        <f>+$C805*BJ805</f>
        <v>0</v>
      </c>
      <c r="L805" s="5">
        <f>+$C805*BK805</f>
        <v>0</v>
      </c>
      <c r="M805" s="5">
        <f>+$C805*BL805</f>
        <v>0</v>
      </c>
      <c r="N805" s="5">
        <f>+$C805*BM805</f>
        <v>0</v>
      </c>
      <c r="O805" s="5">
        <f>+$C805*BN805</f>
        <v>0</v>
      </c>
      <c r="P805" s="5">
        <v>0</v>
      </c>
      <c r="Q805" s="5">
        <f>+$P805*BC805</f>
        <v>0</v>
      </c>
      <c r="R805" s="5">
        <f>+$P805*BD805</f>
        <v>0</v>
      </c>
      <c r="S805" s="5">
        <f>+$P805*BE805</f>
        <v>0</v>
      </c>
      <c r="T805" s="5">
        <f>+$P805*BF805</f>
        <v>0</v>
      </c>
      <c r="U805" s="5">
        <f>+$P805*BG805</f>
        <v>0</v>
      </c>
      <c r="V805" s="5">
        <f>+$P805*BH805</f>
        <v>0</v>
      </c>
      <c r="W805" s="5">
        <f>+$P805*BI805</f>
        <v>0</v>
      </c>
      <c r="X805" s="5">
        <f>+$P805*BJ805</f>
        <v>0</v>
      </c>
      <c r="Y805" s="5">
        <f>+$P805*BK805</f>
        <v>0</v>
      </c>
      <c r="Z805" s="5">
        <f>+$P805*BL805</f>
        <v>0</v>
      </c>
      <c r="AA805" s="5">
        <f>+$P805*BM805</f>
        <v>0</v>
      </c>
      <c r="AB805" s="5">
        <f>+$P805*BN805</f>
        <v>0</v>
      </c>
      <c r="AC805" s="5">
        <v>0</v>
      </c>
      <c r="AD805" s="5">
        <f>+$AC805*BC805</f>
        <v>0</v>
      </c>
      <c r="AE805" s="5">
        <f>+$AC805*BD805</f>
        <v>0</v>
      </c>
      <c r="AF805" s="5">
        <f>+$AC805*BE805</f>
        <v>0</v>
      </c>
      <c r="AG805" s="5">
        <f>+$AC805*BF805</f>
        <v>0</v>
      </c>
      <c r="AH805" s="5">
        <f>+$AC805*BG805</f>
        <v>0</v>
      </c>
      <c r="AI805" s="5">
        <f>+$AC805*BH805</f>
        <v>0</v>
      </c>
      <c r="AJ805" s="5">
        <f>+$AC805*BI805</f>
        <v>0</v>
      </c>
      <c r="AK805" s="5">
        <f>+$AC805*BJ805</f>
        <v>0</v>
      </c>
      <c r="AL805" s="5">
        <f>+$AC805*BK805</f>
        <v>0</v>
      </c>
      <c r="AM805" s="5">
        <f>+$AC805*BL805</f>
        <v>0</v>
      </c>
      <c r="AN805" s="5">
        <f>+$AC805*BM805</f>
        <v>0</v>
      </c>
      <c r="AO805" s="5">
        <f>+$AC805*BN805</f>
        <v>0</v>
      </c>
      <c r="AP805" s="5">
        <f>+AC805+P805+C805</f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2">
        <v>8.9181565948742242E-2</v>
      </c>
      <c r="BD805" s="2">
        <v>0.10665277883445198</v>
      </c>
      <c r="BE805" s="2">
        <v>9.438849084854764E-2</v>
      </c>
      <c r="BF805" s="2">
        <v>7.149564986855049E-2</v>
      </c>
      <c r="BG805" s="2">
        <v>0.10368571810536763</v>
      </c>
      <c r="BH805" s="2">
        <v>8.4970330952544637E-2</v>
      </c>
      <c r="BI805" s="2">
        <v>8.4593878877262704E-2</v>
      </c>
      <c r="BJ805" s="2">
        <v>5.7447105462779965E-2</v>
      </c>
      <c r="BK805" s="2">
        <v>8.5153852345557474E-2</v>
      </c>
      <c r="BL805" s="2">
        <v>7.4158058913035174E-2</v>
      </c>
      <c r="BM805" s="2">
        <v>7.5718189192107169E-2</v>
      </c>
      <c r="BN805" s="2">
        <v>7.3955559365675619E-2</v>
      </c>
    </row>
    <row r="806" spans="1:66" x14ac:dyDescent="0.25">
      <c r="A806" s="8">
        <v>5542</v>
      </c>
      <c r="B806" s="8" t="s">
        <v>190</v>
      </c>
      <c r="C806" s="5">
        <v>0</v>
      </c>
      <c r="D806" s="5">
        <f>+$C806*BC806</f>
        <v>0</v>
      </c>
      <c r="E806" s="5">
        <f>+$C806*BD806</f>
        <v>0</v>
      </c>
      <c r="F806" s="5">
        <f>+$C806*BE806</f>
        <v>0</v>
      </c>
      <c r="G806" s="5">
        <f>+$C806*BF806</f>
        <v>0</v>
      </c>
      <c r="H806" s="5">
        <f>+$C806*BG806</f>
        <v>0</v>
      </c>
      <c r="I806" s="5">
        <f>+$C806*BH806</f>
        <v>0</v>
      </c>
      <c r="J806" s="5">
        <f>+$C806*BI806</f>
        <v>0</v>
      </c>
      <c r="K806" s="5">
        <f>+$C806*BJ806</f>
        <v>0</v>
      </c>
      <c r="L806" s="5">
        <f>+$C806*BK806</f>
        <v>0</v>
      </c>
      <c r="M806" s="5">
        <f>+$C806*BL806</f>
        <v>0</v>
      </c>
      <c r="N806" s="5">
        <f>+$C806*BM806</f>
        <v>0</v>
      </c>
      <c r="O806" s="5">
        <f>+$C806*BN806</f>
        <v>0</v>
      </c>
      <c r="P806" s="5">
        <v>0</v>
      </c>
      <c r="Q806" s="5">
        <f>+$P806*BC806</f>
        <v>0</v>
      </c>
      <c r="R806" s="5">
        <f>+$P806*BD806</f>
        <v>0</v>
      </c>
      <c r="S806" s="5">
        <f>+$P806*BE806</f>
        <v>0</v>
      </c>
      <c r="T806" s="5">
        <f>+$P806*BF806</f>
        <v>0</v>
      </c>
      <c r="U806" s="5">
        <f>+$P806*BG806</f>
        <v>0</v>
      </c>
      <c r="V806" s="5">
        <f>+$P806*BH806</f>
        <v>0</v>
      </c>
      <c r="W806" s="5">
        <f>+$P806*BI806</f>
        <v>0</v>
      </c>
      <c r="X806" s="5">
        <f>+$P806*BJ806</f>
        <v>0</v>
      </c>
      <c r="Y806" s="5">
        <f>+$P806*BK806</f>
        <v>0</v>
      </c>
      <c r="Z806" s="5">
        <f>+$P806*BL806</f>
        <v>0</v>
      </c>
      <c r="AA806" s="5">
        <f>+$P806*BM806</f>
        <v>0</v>
      </c>
      <c r="AB806" s="5">
        <f>+$P806*BN806</f>
        <v>0</v>
      </c>
      <c r="AC806" s="5">
        <v>0</v>
      </c>
      <c r="AD806" s="5">
        <f>+$AC806*BC806</f>
        <v>0</v>
      </c>
      <c r="AE806" s="5">
        <f>+$AC806*BD806</f>
        <v>0</v>
      </c>
      <c r="AF806" s="5">
        <f>+$AC806*BE806</f>
        <v>0</v>
      </c>
      <c r="AG806" s="5">
        <f>+$AC806*BF806</f>
        <v>0</v>
      </c>
      <c r="AH806" s="5">
        <f>+$AC806*BG806</f>
        <v>0</v>
      </c>
      <c r="AI806" s="5">
        <f>+$AC806*BH806</f>
        <v>0</v>
      </c>
      <c r="AJ806" s="5">
        <f>+$AC806*BI806</f>
        <v>0</v>
      </c>
      <c r="AK806" s="5">
        <f>+$AC806*BJ806</f>
        <v>0</v>
      </c>
      <c r="AL806" s="5">
        <f>+$AC806*BK806</f>
        <v>0</v>
      </c>
      <c r="AM806" s="5">
        <f>+$AC806*BL806</f>
        <v>0</v>
      </c>
      <c r="AN806" s="5">
        <f>+$AC806*BM806</f>
        <v>0</v>
      </c>
      <c r="AO806" s="5">
        <f>+$AC806*BN806</f>
        <v>0</v>
      </c>
      <c r="AP806" s="5">
        <f>+AC806+P806+C806</f>
        <v>0</v>
      </c>
      <c r="AQ806" s="1">
        <v>23.249634242837107</v>
      </c>
      <c r="AR806" s="1">
        <v>27.804379442141638</v>
      </c>
      <c r="AS806" s="1">
        <v>24.607079564216374</v>
      </c>
      <c r="AT806" s="1">
        <v>18.638915920731115</v>
      </c>
      <c r="AU806" s="1">
        <v>27.030866710069347</v>
      </c>
      <c r="AV806" s="1">
        <v>22.151765279328391</v>
      </c>
      <c r="AW806" s="1">
        <v>22.053624223302389</v>
      </c>
      <c r="AX806" s="1">
        <v>14.97646039414674</v>
      </c>
      <c r="AY806" s="1">
        <v>22.199609306486838</v>
      </c>
      <c r="AZ806" s="1">
        <v>19.333005958628274</v>
      </c>
      <c r="BA806" s="1">
        <v>19.739731922382344</v>
      </c>
      <c r="BB806" s="1">
        <v>19.280214326631636</v>
      </c>
      <c r="BC806" s="2">
        <v>8.9181565948742242E-2</v>
      </c>
      <c r="BD806" s="2">
        <v>0.10665277883445198</v>
      </c>
      <c r="BE806" s="2">
        <v>9.438849084854764E-2</v>
      </c>
      <c r="BF806" s="2">
        <v>7.149564986855049E-2</v>
      </c>
      <c r="BG806" s="2">
        <v>0.10368571810536763</v>
      </c>
      <c r="BH806" s="2">
        <v>8.4970330952544637E-2</v>
      </c>
      <c r="BI806" s="2">
        <v>8.4593878877262704E-2</v>
      </c>
      <c r="BJ806" s="2">
        <v>5.7447105462779965E-2</v>
      </c>
      <c r="BK806" s="2">
        <v>8.5153852345557474E-2</v>
      </c>
      <c r="BL806" s="2">
        <v>7.4158058913035174E-2</v>
      </c>
      <c r="BM806" s="2">
        <v>7.5718189192107169E-2</v>
      </c>
      <c r="BN806" s="2">
        <v>7.3955559365675619E-2</v>
      </c>
    </row>
    <row r="807" spans="1:66" x14ac:dyDescent="0.25">
      <c r="A807" s="8">
        <v>5543</v>
      </c>
      <c r="B807" s="8" t="s">
        <v>189</v>
      </c>
      <c r="C807" s="5">
        <v>0</v>
      </c>
      <c r="D807" s="5">
        <f>+$C807*BC807</f>
        <v>0</v>
      </c>
      <c r="E807" s="5">
        <f>+$C807*BD807</f>
        <v>0</v>
      </c>
      <c r="F807" s="5">
        <f>+$C807*BE807</f>
        <v>0</v>
      </c>
      <c r="G807" s="5">
        <f>+$C807*BF807</f>
        <v>0</v>
      </c>
      <c r="H807" s="5">
        <f>+$C807*BG807</f>
        <v>0</v>
      </c>
      <c r="I807" s="5">
        <f>+$C807*BH807</f>
        <v>0</v>
      </c>
      <c r="J807" s="5">
        <f>+$C807*BI807</f>
        <v>0</v>
      </c>
      <c r="K807" s="5">
        <f>+$C807*BJ807</f>
        <v>0</v>
      </c>
      <c r="L807" s="5">
        <f>+$C807*BK807</f>
        <v>0</v>
      </c>
      <c r="M807" s="5">
        <f>+$C807*BL807</f>
        <v>0</v>
      </c>
      <c r="N807" s="5">
        <f>+$C807*BM807</f>
        <v>0</v>
      </c>
      <c r="O807" s="5">
        <f>+$C807*BN807</f>
        <v>0</v>
      </c>
      <c r="P807" s="5">
        <v>0</v>
      </c>
      <c r="Q807" s="5">
        <f>+$P807*BC807</f>
        <v>0</v>
      </c>
      <c r="R807" s="5">
        <f>+$P807*BD807</f>
        <v>0</v>
      </c>
      <c r="S807" s="5">
        <f>+$P807*BE807</f>
        <v>0</v>
      </c>
      <c r="T807" s="5">
        <f>+$P807*BF807</f>
        <v>0</v>
      </c>
      <c r="U807" s="5">
        <f>+$P807*BG807</f>
        <v>0</v>
      </c>
      <c r="V807" s="5">
        <f>+$P807*BH807</f>
        <v>0</v>
      </c>
      <c r="W807" s="5">
        <f>+$P807*BI807</f>
        <v>0</v>
      </c>
      <c r="X807" s="5">
        <f>+$P807*BJ807</f>
        <v>0</v>
      </c>
      <c r="Y807" s="5">
        <f>+$P807*BK807</f>
        <v>0</v>
      </c>
      <c r="Z807" s="5">
        <f>+$P807*BL807</f>
        <v>0</v>
      </c>
      <c r="AA807" s="5">
        <f>+$P807*BM807</f>
        <v>0</v>
      </c>
      <c r="AB807" s="5">
        <f>+$P807*BN807</f>
        <v>0</v>
      </c>
      <c r="AC807" s="5">
        <v>0</v>
      </c>
      <c r="AD807" s="5">
        <f>+$AC807*BC807</f>
        <v>0</v>
      </c>
      <c r="AE807" s="5">
        <f>+$AC807*BD807</f>
        <v>0</v>
      </c>
      <c r="AF807" s="5">
        <f>+$AC807*BE807</f>
        <v>0</v>
      </c>
      <c r="AG807" s="5">
        <f>+$AC807*BF807</f>
        <v>0</v>
      </c>
      <c r="AH807" s="5">
        <f>+$AC807*BG807</f>
        <v>0</v>
      </c>
      <c r="AI807" s="5">
        <f>+$AC807*BH807</f>
        <v>0</v>
      </c>
      <c r="AJ807" s="5">
        <f>+$AC807*BI807</f>
        <v>0</v>
      </c>
      <c r="AK807" s="5">
        <f>+$AC807*BJ807</f>
        <v>0</v>
      </c>
      <c r="AL807" s="5">
        <f>+$AC807*BK807</f>
        <v>0</v>
      </c>
      <c r="AM807" s="5">
        <f>+$AC807*BL807</f>
        <v>0</v>
      </c>
      <c r="AN807" s="5">
        <f>+$AC807*BM807</f>
        <v>0</v>
      </c>
      <c r="AO807" s="5">
        <f>+$AC807*BN807</f>
        <v>0</v>
      </c>
      <c r="AP807" s="5">
        <f>+AC807+P807+C807</f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2">
        <v>8.9181565948742242E-2</v>
      </c>
      <c r="BD807" s="2">
        <v>0.10665277883445198</v>
      </c>
      <c r="BE807" s="2">
        <v>9.438849084854764E-2</v>
      </c>
      <c r="BF807" s="2">
        <v>7.149564986855049E-2</v>
      </c>
      <c r="BG807" s="2">
        <v>0.10368571810536763</v>
      </c>
      <c r="BH807" s="2">
        <v>8.4970330952544637E-2</v>
      </c>
      <c r="BI807" s="2">
        <v>8.4593878877262704E-2</v>
      </c>
      <c r="BJ807" s="2">
        <v>5.7447105462779965E-2</v>
      </c>
      <c r="BK807" s="2">
        <v>8.5153852345557474E-2</v>
      </c>
      <c r="BL807" s="2">
        <v>7.4158058913035174E-2</v>
      </c>
      <c r="BM807" s="2">
        <v>7.5718189192107169E-2</v>
      </c>
      <c r="BN807" s="2">
        <v>7.3955559365675619E-2</v>
      </c>
    </row>
    <row r="808" spans="1:66" x14ac:dyDescent="0.25">
      <c r="A808" s="8">
        <v>5548</v>
      </c>
      <c r="B808" s="8" t="s">
        <v>188</v>
      </c>
      <c r="C808" s="5">
        <v>0</v>
      </c>
      <c r="D808" s="5">
        <f>+$C808*BC808</f>
        <v>0</v>
      </c>
      <c r="E808" s="5">
        <f>+$C808*BD808</f>
        <v>0</v>
      </c>
      <c r="F808" s="5">
        <f>+$C808*BE808</f>
        <v>0</v>
      </c>
      <c r="G808" s="5">
        <f>+$C808*BF808</f>
        <v>0</v>
      </c>
      <c r="H808" s="5">
        <f>+$C808*BG808</f>
        <v>0</v>
      </c>
      <c r="I808" s="5">
        <f>+$C808*BH808</f>
        <v>0</v>
      </c>
      <c r="J808" s="5">
        <f>+$C808*BI808</f>
        <v>0</v>
      </c>
      <c r="K808" s="5">
        <f>+$C808*BJ808</f>
        <v>0</v>
      </c>
      <c r="L808" s="5">
        <f>+$C808*BK808</f>
        <v>0</v>
      </c>
      <c r="M808" s="5">
        <f>+$C808*BL808</f>
        <v>0</v>
      </c>
      <c r="N808" s="5">
        <f>+$C808*BM808</f>
        <v>0</v>
      </c>
      <c r="O808" s="5">
        <f>+$C808*BN808</f>
        <v>0</v>
      </c>
      <c r="P808" s="5">
        <v>0</v>
      </c>
      <c r="Q808" s="5">
        <f>+$P808*BC808</f>
        <v>0</v>
      </c>
      <c r="R808" s="5">
        <f>+$P808*BD808</f>
        <v>0</v>
      </c>
      <c r="S808" s="5">
        <f>+$P808*BE808</f>
        <v>0</v>
      </c>
      <c r="T808" s="5">
        <f>+$P808*BF808</f>
        <v>0</v>
      </c>
      <c r="U808" s="5">
        <f>+$P808*BG808</f>
        <v>0</v>
      </c>
      <c r="V808" s="5">
        <f>+$P808*BH808</f>
        <v>0</v>
      </c>
      <c r="W808" s="5">
        <f>+$P808*BI808</f>
        <v>0</v>
      </c>
      <c r="X808" s="5">
        <f>+$P808*BJ808</f>
        <v>0</v>
      </c>
      <c r="Y808" s="5">
        <f>+$P808*BK808</f>
        <v>0</v>
      </c>
      <c r="Z808" s="5">
        <f>+$P808*BL808</f>
        <v>0</v>
      </c>
      <c r="AA808" s="5">
        <f>+$P808*BM808</f>
        <v>0</v>
      </c>
      <c r="AB808" s="5">
        <f>+$P808*BN808</f>
        <v>0</v>
      </c>
      <c r="AC808" s="5">
        <v>0</v>
      </c>
      <c r="AD808" s="5">
        <f>+$AC808*BC808</f>
        <v>0</v>
      </c>
      <c r="AE808" s="5">
        <f>+$AC808*BD808</f>
        <v>0</v>
      </c>
      <c r="AF808" s="5">
        <f>+$AC808*BE808</f>
        <v>0</v>
      </c>
      <c r="AG808" s="5">
        <f>+$AC808*BF808</f>
        <v>0</v>
      </c>
      <c r="AH808" s="5">
        <f>+$AC808*BG808</f>
        <v>0</v>
      </c>
      <c r="AI808" s="5">
        <f>+$AC808*BH808</f>
        <v>0</v>
      </c>
      <c r="AJ808" s="5">
        <f>+$AC808*BI808</f>
        <v>0</v>
      </c>
      <c r="AK808" s="5">
        <f>+$AC808*BJ808</f>
        <v>0</v>
      </c>
      <c r="AL808" s="5">
        <f>+$AC808*BK808</f>
        <v>0</v>
      </c>
      <c r="AM808" s="5">
        <f>+$AC808*BL808</f>
        <v>0</v>
      </c>
      <c r="AN808" s="5">
        <f>+$AC808*BM808</f>
        <v>0</v>
      </c>
      <c r="AO808" s="5">
        <f>+$AC808*BN808</f>
        <v>0</v>
      </c>
      <c r="AP808" s="5">
        <f>+AC808+P808+C808</f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2">
        <v>8.9181565948742242E-2</v>
      </c>
      <c r="BD808" s="2">
        <v>0.10665277883445198</v>
      </c>
      <c r="BE808" s="2">
        <v>9.438849084854764E-2</v>
      </c>
      <c r="BF808" s="2">
        <v>7.149564986855049E-2</v>
      </c>
      <c r="BG808" s="2">
        <v>0.10368571810536763</v>
      </c>
      <c r="BH808" s="2">
        <v>8.4970330952544637E-2</v>
      </c>
      <c r="BI808" s="2">
        <v>8.4593878877262704E-2</v>
      </c>
      <c r="BJ808" s="2">
        <v>5.7447105462779965E-2</v>
      </c>
      <c r="BK808" s="2">
        <v>8.5153852345557474E-2</v>
      </c>
      <c r="BL808" s="2">
        <v>7.4158058913035174E-2</v>
      </c>
      <c r="BM808" s="2">
        <v>7.5718189192107169E-2</v>
      </c>
      <c r="BN808" s="2">
        <v>7.3955559365675619E-2</v>
      </c>
    </row>
    <row r="809" spans="1:66" x14ac:dyDescent="0.25">
      <c r="A809" s="8">
        <v>5550</v>
      </c>
      <c r="B809" s="8" t="s">
        <v>187</v>
      </c>
      <c r="C809" s="5">
        <v>0</v>
      </c>
      <c r="D809" s="5">
        <f>+$C809*BC809</f>
        <v>0</v>
      </c>
      <c r="E809" s="5">
        <f>+$C809*BD809</f>
        <v>0</v>
      </c>
      <c r="F809" s="5">
        <f>+$C809*BE809</f>
        <v>0</v>
      </c>
      <c r="G809" s="5">
        <f>+$C809*BF809</f>
        <v>0</v>
      </c>
      <c r="H809" s="5">
        <f>+$C809*BG809</f>
        <v>0</v>
      </c>
      <c r="I809" s="5">
        <f>+$C809*BH809</f>
        <v>0</v>
      </c>
      <c r="J809" s="5">
        <f>+$C809*BI809</f>
        <v>0</v>
      </c>
      <c r="K809" s="5">
        <f>+$C809*BJ809</f>
        <v>0</v>
      </c>
      <c r="L809" s="5">
        <f>+$C809*BK809</f>
        <v>0</v>
      </c>
      <c r="M809" s="5">
        <f>+$C809*BL809</f>
        <v>0</v>
      </c>
      <c r="N809" s="5">
        <f>+$C809*BM809</f>
        <v>0</v>
      </c>
      <c r="O809" s="5">
        <f>+$C809*BN809</f>
        <v>0</v>
      </c>
      <c r="P809" s="5">
        <v>0</v>
      </c>
      <c r="Q809" s="5">
        <f>+$P809*BC809</f>
        <v>0</v>
      </c>
      <c r="R809" s="5">
        <f>+$P809*BD809</f>
        <v>0</v>
      </c>
      <c r="S809" s="5">
        <f>+$P809*BE809</f>
        <v>0</v>
      </c>
      <c r="T809" s="5">
        <f>+$P809*BF809</f>
        <v>0</v>
      </c>
      <c r="U809" s="5">
        <f>+$P809*BG809</f>
        <v>0</v>
      </c>
      <c r="V809" s="5">
        <f>+$P809*BH809</f>
        <v>0</v>
      </c>
      <c r="W809" s="5">
        <f>+$P809*BI809</f>
        <v>0</v>
      </c>
      <c r="X809" s="5">
        <f>+$P809*BJ809</f>
        <v>0</v>
      </c>
      <c r="Y809" s="5">
        <f>+$P809*BK809</f>
        <v>0</v>
      </c>
      <c r="Z809" s="5">
        <f>+$P809*BL809</f>
        <v>0</v>
      </c>
      <c r="AA809" s="5">
        <f>+$P809*BM809</f>
        <v>0</v>
      </c>
      <c r="AB809" s="5">
        <f>+$P809*BN809</f>
        <v>0</v>
      </c>
      <c r="AC809" s="5">
        <v>0</v>
      </c>
      <c r="AD809" s="5">
        <f>+$AC809*BC809</f>
        <v>0</v>
      </c>
      <c r="AE809" s="5">
        <f>+$AC809*BD809</f>
        <v>0</v>
      </c>
      <c r="AF809" s="5">
        <f>+$AC809*BE809</f>
        <v>0</v>
      </c>
      <c r="AG809" s="5">
        <f>+$AC809*BF809</f>
        <v>0</v>
      </c>
      <c r="AH809" s="5">
        <f>+$AC809*BG809</f>
        <v>0</v>
      </c>
      <c r="AI809" s="5">
        <f>+$AC809*BH809</f>
        <v>0</v>
      </c>
      <c r="AJ809" s="5">
        <f>+$AC809*BI809</f>
        <v>0</v>
      </c>
      <c r="AK809" s="5">
        <f>+$AC809*BJ809</f>
        <v>0</v>
      </c>
      <c r="AL809" s="5">
        <f>+$AC809*BK809</f>
        <v>0</v>
      </c>
      <c r="AM809" s="5">
        <f>+$AC809*BL809</f>
        <v>0</v>
      </c>
      <c r="AN809" s="5">
        <f>+$AC809*BM809</f>
        <v>0</v>
      </c>
      <c r="AO809" s="5">
        <f>+$AC809*BN809</f>
        <v>0</v>
      </c>
      <c r="AP809" s="5">
        <f>+AC809+P809+C809</f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2">
        <v>8.9181565948742242E-2</v>
      </c>
      <c r="BD809" s="2">
        <v>0.10665277883445198</v>
      </c>
      <c r="BE809" s="2">
        <v>9.438849084854764E-2</v>
      </c>
      <c r="BF809" s="2">
        <v>7.149564986855049E-2</v>
      </c>
      <c r="BG809" s="2">
        <v>0.10368571810536763</v>
      </c>
      <c r="BH809" s="2">
        <v>8.4970330952544637E-2</v>
      </c>
      <c r="BI809" s="2">
        <v>8.4593878877262704E-2</v>
      </c>
      <c r="BJ809" s="2">
        <v>5.7447105462779965E-2</v>
      </c>
      <c r="BK809" s="2">
        <v>8.5153852345557474E-2</v>
      </c>
      <c r="BL809" s="2">
        <v>7.4158058913035174E-2</v>
      </c>
      <c r="BM809" s="2">
        <v>7.5718189192107169E-2</v>
      </c>
      <c r="BN809" s="2">
        <v>7.3955559365675619E-2</v>
      </c>
    </row>
    <row r="810" spans="1:66" x14ac:dyDescent="0.25">
      <c r="A810" s="8">
        <v>5551</v>
      </c>
      <c r="B810" s="8" t="s">
        <v>186</v>
      </c>
      <c r="C810" s="5">
        <v>0</v>
      </c>
      <c r="D810" s="5">
        <f>+$C810*BC810</f>
        <v>0</v>
      </c>
      <c r="E810" s="5">
        <f>+$C810*BD810</f>
        <v>0</v>
      </c>
      <c r="F810" s="5">
        <f>+$C810*BE810</f>
        <v>0</v>
      </c>
      <c r="G810" s="5">
        <f>+$C810*BF810</f>
        <v>0</v>
      </c>
      <c r="H810" s="5">
        <f>+$C810*BG810</f>
        <v>0</v>
      </c>
      <c r="I810" s="5">
        <f>+$C810*BH810</f>
        <v>0</v>
      </c>
      <c r="J810" s="5">
        <f>+$C810*BI810</f>
        <v>0</v>
      </c>
      <c r="K810" s="5">
        <f>+$C810*BJ810</f>
        <v>0</v>
      </c>
      <c r="L810" s="5">
        <f>+$C810*BK810</f>
        <v>0</v>
      </c>
      <c r="M810" s="5">
        <f>+$C810*BL810</f>
        <v>0</v>
      </c>
      <c r="N810" s="5">
        <f>+$C810*BM810</f>
        <v>0</v>
      </c>
      <c r="O810" s="5">
        <f>+$C810*BN810</f>
        <v>0</v>
      </c>
      <c r="P810" s="5">
        <v>0</v>
      </c>
      <c r="Q810" s="5">
        <f>+$P810*BC810</f>
        <v>0</v>
      </c>
      <c r="R810" s="5">
        <f>+$P810*BD810</f>
        <v>0</v>
      </c>
      <c r="S810" s="5">
        <f>+$P810*BE810</f>
        <v>0</v>
      </c>
      <c r="T810" s="5">
        <f>+$P810*BF810</f>
        <v>0</v>
      </c>
      <c r="U810" s="5">
        <f>+$P810*BG810</f>
        <v>0</v>
      </c>
      <c r="V810" s="5">
        <f>+$P810*BH810</f>
        <v>0</v>
      </c>
      <c r="W810" s="5">
        <f>+$P810*BI810</f>
        <v>0</v>
      </c>
      <c r="X810" s="5">
        <f>+$P810*BJ810</f>
        <v>0</v>
      </c>
      <c r="Y810" s="5">
        <f>+$P810*BK810</f>
        <v>0</v>
      </c>
      <c r="Z810" s="5">
        <f>+$P810*BL810</f>
        <v>0</v>
      </c>
      <c r="AA810" s="5">
        <f>+$P810*BM810</f>
        <v>0</v>
      </c>
      <c r="AB810" s="5">
        <f>+$P810*BN810</f>
        <v>0</v>
      </c>
      <c r="AC810" s="5">
        <v>0</v>
      </c>
      <c r="AD810" s="5">
        <f>+$AC810*BC810</f>
        <v>0</v>
      </c>
      <c r="AE810" s="5">
        <f>+$AC810*BD810</f>
        <v>0</v>
      </c>
      <c r="AF810" s="5">
        <f>+$AC810*BE810</f>
        <v>0</v>
      </c>
      <c r="AG810" s="5">
        <f>+$AC810*BF810</f>
        <v>0</v>
      </c>
      <c r="AH810" s="5">
        <f>+$AC810*BG810</f>
        <v>0</v>
      </c>
      <c r="AI810" s="5">
        <f>+$AC810*BH810</f>
        <v>0</v>
      </c>
      <c r="AJ810" s="5">
        <f>+$AC810*BI810</f>
        <v>0</v>
      </c>
      <c r="AK810" s="5">
        <f>+$AC810*BJ810</f>
        <v>0</v>
      </c>
      <c r="AL810" s="5">
        <f>+$AC810*BK810</f>
        <v>0</v>
      </c>
      <c r="AM810" s="5">
        <f>+$AC810*BL810</f>
        <v>0</v>
      </c>
      <c r="AN810" s="5">
        <f>+$AC810*BM810</f>
        <v>0</v>
      </c>
      <c r="AO810" s="5">
        <f>+$AC810*BN810</f>
        <v>0</v>
      </c>
      <c r="AP810" s="5">
        <f>+AC810+P810+C810</f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2">
        <v>8.9181565948742242E-2</v>
      </c>
      <c r="BD810" s="2">
        <v>0.10665277883445198</v>
      </c>
      <c r="BE810" s="2">
        <v>9.438849084854764E-2</v>
      </c>
      <c r="BF810" s="2">
        <v>7.149564986855049E-2</v>
      </c>
      <c r="BG810" s="2">
        <v>0.10368571810536763</v>
      </c>
      <c r="BH810" s="2">
        <v>8.4970330952544637E-2</v>
      </c>
      <c r="BI810" s="2">
        <v>8.4593878877262704E-2</v>
      </c>
      <c r="BJ810" s="2">
        <v>5.7447105462779965E-2</v>
      </c>
      <c r="BK810" s="2">
        <v>8.5153852345557474E-2</v>
      </c>
      <c r="BL810" s="2">
        <v>7.4158058913035174E-2</v>
      </c>
      <c r="BM810" s="2">
        <v>7.5718189192107169E-2</v>
      </c>
      <c r="BN810" s="2">
        <v>7.3955559365675619E-2</v>
      </c>
    </row>
    <row r="811" spans="1:66" x14ac:dyDescent="0.25">
      <c r="A811" s="8">
        <v>5552</v>
      </c>
      <c r="B811" s="8" t="s">
        <v>185</v>
      </c>
      <c r="C811" s="5">
        <v>0</v>
      </c>
      <c r="D811" s="5">
        <f>+$C811*BC811</f>
        <v>0</v>
      </c>
      <c r="E811" s="5">
        <f>+$C811*BD811</f>
        <v>0</v>
      </c>
      <c r="F811" s="5">
        <f>+$C811*BE811</f>
        <v>0</v>
      </c>
      <c r="G811" s="5">
        <f>+$C811*BF811</f>
        <v>0</v>
      </c>
      <c r="H811" s="5">
        <f>+$C811*BG811</f>
        <v>0</v>
      </c>
      <c r="I811" s="5">
        <f>+$C811*BH811</f>
        <v>0</v>
      </c>
      <c r="J811" s="5">
        <f>+$C811*BI811</f>
        <v>0</v>
      </c>
      <c r="K811" s="5">
        <f>+$C811*BJ811</f>
        <v>0</v>
      </c>
      <c r="L811" s="5">
        <f>+$C811*BK811</f>
        <v>0</v>
      </c>
      <c r="M811" s="5">
        <f>+$C811*BL811</f>
        <v>0</v>
      </c>
      <c r="N811" s="5">
        <f>+$C811*BM811</f>
        <v>0</v>
      </c>
      <c r="O811" s="5">
        <f>+$C811*BN811</f>
        <v>0</v>
      </c>
      <c r="P811" s="5">
        <v>0</v>
      </c>
      <c r="Q811" s="5">
        <f>+$P811*BC811</f>
        <v>0</v>
      </c>
      <c r="R811" s="5">
        <f>+$P811*BD811</f>
        <v>0</v>
      </c>
      <c r="S811" s="5">
        <f>+$P811*BE811</f>
        <v>0</v>
      </c>
      <c r="T811" s="5">
        <f>+$P811*BF811</f>
        <v>0</v>
      </c>
      <c r="U811" s="5">
        <f>+$P811*BG811</f>
        <v>0</v>
      </c>
      <c r="V811" s="5">
        <f>+$P811*BH811</f>
        <v>0</v>
      </c>
      <c r="W811" s="5">
        <f>+$P811*BI811</f>
        <v>0</v>
      </c>
      <c r="X811" s="5">
        <f>+$P811*BJ811</f>
        <v>0</v>
      </c>
      <c r="Y811" s="5">
        <f>+$P811*BK811</f>
        <v>0</v>
      </c>
      <c r="Z811" s="5">
        <f>+$P811*BL811</f>
        <v>0</v>
      </c>
      <c r="AA811" s="5">
        <f>+$P811*BM811</f>
        <v>0</v>
      </c>
      <c r="AB811" s="5">
        <f>+$P811*BN811</f>
        <v>0</v>
      </c>
      <c r="AC811" s="5">
        <v>0</v>
      </c>
      <c r="AD811" s="5">
        <f>+$AC811*BC811</f>
        <v>0</v>
      </c>
      <c r="AE811" s="5">
        <f>+$AC811*BD811</f>
        <v>0</v>
      </c>
      <c r="AF811" s="5">
        <f>+$AC811*BE811</f>
        <v>0</v>
      </c>
      <c r="AG811" s="5">
        <f>+$AC811*BF811</f>
        <v>0</v>
      </c>
      <c r="AH811" s="5">
        <f>+$AC811*BG811</f>
        <v>0</v>
      </c>
      <c r="AI811" s="5">
        <f>+$AC811*BH811</f>
        <v>0</v>
      </c>
      <c r="AJ811" s="5">
        <f>+$AC811*BI811</f>
        <v>0</v>
      </c>
      <c r="AK811" s="5">
        <f>+$AC811*BJ811</f>
        <v>0</v>
      </c>
      <c r="AL811" s="5">
        <f>+$AC811*BK811</f>
        <v>0</v>
      </c>
      <c r="AM811" s="5">
        <f>+$AC811*BL811</f>
        <v>0</v>
      </c>
      <c r="AN811" s="5">
        <f>+$AC811*BM811</f>
        <v>0</v>
      </c>
      <c r="AO811" s="5">
        <f>+$AC811*BN811</f>
        <v>0</v>
      </c>
      <c r="AP811" s="5">
        <f>+AC811+P811+C811</f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2">
        <v>8.9181565948742242E-2</v>
      </c>
      <c r="BD811" s="2">
        <v>0.10665277883445198</v>
      </c>
      <c r="BE811" s="2">
        <v>9.438849084854764E-2</v>
      </c>
      <c r="BF811" s="2">
        <v>7.149564986855049E-2</v>
      </c>
      <c r="BG811" s="2">
        <v>0.10368571810536763</v>
      </c>
      <c r="BH811" s="2">
        <v>8.4970330952544637E-2</v>
      </c>
      <c r="BI811" s="2">
        <v>8.4593878877262704E-2</v>
      </c>
      <c r="BJ811" s="2">
        <v>5.7447105462779965E-2</v>
      </c>
      <c r="BK811" s="2">
        <v>8.5153852345557474E-2</v>
      </c>
      <c r="BL811" s="2">
        <v>7.4158058913035174E-2</v>
      </c>
      <c r="BM811" s="2">
        <v>7.5718189192107169E-2</v>
      </c>
      <c r="BN811" s="2">
        <v>7.3955559365675619E-2</v>
      </c>
    </row>
    <row r="812" spans="1:66" x14ac:dyDescent="0.25">
      <c r="A812" s="8">
        <v>5553</v>
      </c>
      <c r="B812" s="8" t="s">
        <v>184</v>
      </c>
      <c r="C812" s="5">
        <v>0</v>
      </c>
      <c r="D812" s="5">
        <f>+$C812*BC812</f>
        <v>0</v>
      </c>
      <c r="E812" s="5">
        <f>+$C812*BD812</f>
        <v>0</v>
      </c>
      <c r="F812" s="5">
        <f>+$C812*BE812</f>
        <v>0</v>
      </c>
      <c r="G812" s="5">
        <f>+$C812*BF812</f>
        <v>0</v>
      </c>
      <c r="H812" s="5">
        <f>+$C812*BG812</f>
        <v>0</v>
      </c>
      <c r="I812" s="5">
        <f>+$C812*BH812</f>
        <v>0</v>
      </c>
      <c r="J812" s="5">
        <f>+$C812*BI812</f>
        <v>0</v>
      </c>
      <c r="K812" s="5">
        <f>+$C812*BJ812</f>
        <v>0</v>
      </c>
      <c r="L812" s="5">
        <f>+$C812*BK812</f>
        <v>0</v>
      </c>
      <c r="M812" s="5">
        <f>+$C812*BL812</f>
        <v>0</v>
      </c>
      <c r="N812" s="5">
        <f>+$C812*BM812</f>
        <v>0</v>
      </c>
      <c r="O812" s="5">
        <f>+$C812*BN812</f>
        <v>0</v>
      </c>
      <c r="P812" s="5">
        <v>0</v>
      </c>
      <c r="Q812" s="5">
        <f>+$P812*BC812</f>
        <v>0</v>
      </c>
      <c r="R812" s="5">
        <f>+$P812*BD812</f>
        <v>0</v>
      </c>
      <c r="S812" s="5">
        <f>+$P812*BE812</f>
        <v>0</v>
      </c>
      <c r="T812" s="5">
        <f>+$P812*BF812</f>
        <v>0</v>
      </c>
      <c r="U812" s="5">
        <f>+$P812*BG812</f>
        <v>0</v>
      </c>
      <c r="V812" s="5">
        <f>+$P812*BH812</f>
        <v>0</v>
      </c>
      <c r="W812" s="5">
        <f>+$P812*BI812</f>
        <v>0</v>
      </c>
      <c r="X812" s="5">
        <f>+$P812*BJ812</f>
        <v>0</v>
      </c>
      <c r="Y812" s="5">
        <f>+$P812*BK812</f>
        <v>0</v>
      </c>
      <c r="Z812" s="5">
        <f>+$P812*BL812</f>
        <v>0</v>
      </c>
      <c r="AA812" s="5">
        <f>+$P812*BM812</f>
        <v>0</v>
      </c>
      <c r="AB812" s="5">
        <f>+$P812*BN812</f>
        <v>0</v>
      </c>
      <c r="AC812" s="5">
        <v>0</v>
      </c>
      <c r="AD812" s="5">
        <f>+$AC812*BC812</f>
        <v>0</v>
      </c>
      <c r="AE812" s="5">
        <f>+$AC812*BD812</f>
        <v>0</v>
      </c>
      <c r="AF812" s="5">
        <f>+$AC812*BE812</f>
        <v>0</v>
      </c>
      <c r="AG812" s="5">
        <f>+$AC812*BF812</f>
        <v>0</v>
      </c>
      <c r="AH812" s="5">
        <f>+$AC812*BG812</f>
        <v>0</v>
      </c>
      <c r="AI812" s="5">
        <f>+$AC812*BH812</f>
        <v>0</v>
      </c>
      <c r="AJ812" s="5">
        <f>+$AC812*BI812</f>
        <v>0</v>
      </c>
      <c r="AK812" s="5">
        <f>+$AC812*BJ812</f>
        <v>0</v>
      </c>
      <c r="AL812" s="5">
        <f>+$AC812*BK812</f>
        <v>0</v>
      </c>
      <c r="AM812" s="5">
        <f>+$AC812*BL812</f>
        <v>0</v>
      </c>
      <c r="AN812" s="5">
        <f>+$AC812*BM812</f>
        <v>0</v>
      </c>
      <c r="AO812" s="5">
        <f>+$AC812*BN812</f>
        <v>0</v>
      </c>
      <c r="AP812" s="5">
        <f>+AC812+P812+C812</f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2">
        <v>8.9181565948742242E-2</v>
      </c>
      <c r="BD812" s="2">
        <v>0.10665277883445198</v>
      </c>
      <c r="BE812" s="2">
        <v>9.438849084854764E-2</v>
      </c>
      <c r="BF812" s="2">
        <v>7.149564986855049E-2</v>
      </c>
      <c r="BG812" s="2">
        <v>0.10368571810536763</v>
      </c>
      <c r="BH812" s="2">
        <v>8.4970330952544637E-2</v>
      </c>
      <c r="BI812" s="2">
        <v>8.4593878877262704E-2</v>
      </c>
      <c r="BJ812" s="2">
        <v>5.7447105462779965E-2</v>
      </c>
      <c r="BK812" s="2">
        <v>8.5153852345557474E-2</v>
      </c>
      <c r="BL812" s="2">
        <v>7.4158058913035174E-2</v>
      </c>
      <c r="BM812" s="2">
        <v>7.5718189192107169E-2</v>
      </c>
      <c r="BN812" s="2">
        <v>7.3955559365675619E-2</v>
      </c>
    </row>
    <row r="813" spans="1:66" x14ac:dyDescent="0.25">
      <c r="A813" s="8">
        <v>5558</v>
      </c>
      <c r="B813" s="8" t="s">
        <v>183</v>
      </c>
      <c r="C813" s="5">
        <v>0</v>
      </c>
      <c r="D813" s="5">
        <f>+$C813*BC813</f>
        <v>0</v>
      </c>
      <c r="E813" s="5">
        <f>+$C813*BD813</f>
        <v>0</v>
      </c>
      <c r="F813" s="5">
        <f>+$C813*BE813</f>
        <v>0</v>
      </c>
      <c r="G813" s="5">
        <f>+$C813*BF813</f>
        <v>0</v>
      </c>
      <c r="H813" s="5">
        <f>+$C813*BG813</f>
        <v>0</v>
      </c>
      <c r="I813" s="5">
        <f>+$C813*BH813</f>
        <v>0</v>
      </c>
      <c r="J813" s="5">
        <f>+$C813*BI813</f>
        <v>0</v>
      </c>
      <c r="K813" s="5">
        <f>+$C813*BJ813</f>
        <v>0</v>
      </c>
      <c r="L813" s="5">
        <f>+$C813*BK813</f>
        <v>0</v>
      </c>
      <c r="M813" s="5">
        <f>+$C813*BL813</f>
        <v>0</v>
      </c>
      <c r="N813" s="5">
        <f>+$C813*BM813</f>
        <v>0</v>
      </c>
      <c r="O813" s="5">
        <f>+$C813*BN813</f>
        <v>0</v>
      </c>
      <c r="P813" s="5">
        <v>0</v>
      </c>
      <c r="Q813" s="5">
        <f>+$P813*BC813</f>
        <v>0</v>
      </c>
      <c r="R813" s="5">
        <f>+$P813*BD813</f>
        <v>0</v>
      </c>
      <c r="S813" s="5">
        <f>+$P813*BE813</f>
        <v>0</v>
      </c>
      <c r="T813" s="5">
        <f>+$P813*BF813</f>
        <v>0</v>
      </c>
      <c r="U813" s="5">
        <f>+$P813*BG813</f>
        <v>0</v>
      </c>
      <c r="V813" s="5">
        <f>+$P813*BH813</f>
        <v>0</v>
      </c>
      <c r="W813" s="5">
        <f>+$P813*BI813</f>
        <v>0</v>
      </c>
      <c r="X813" s="5">
        <f>+$P813*BJ813</f>
        <v>0</v>
      </c>
      <c r="Y813" s="5">
        <f>+$P813*BK813</f>
        <v>0</v>
      </c>
      <c r="Z813" s="5">
        <f>+$P813*BL813</f>
        <v>0</v>
      </c>
      <c r="AA813" s="5">
        <f>+$P813*BM813</f>
        <v>0</v>
      </c>
      <c r="AB813" s="5">
        <f>+$P813*BN813</f>
        <v>0</v>
      </c>
      <c r="AC813" s="5">
        <v>0</v>
      </c>
      <c r="AD813" s="5">
        <f>+$AC813*BC813</f>
        <v>0</v>
      </c>
      <c r="AE813" s="5">
        <f>+$AC813*BD813</f>
        <v>0</v>
      </c>
      <c r="AF813" s="5">
        <f>+$AC813*BE813</f>
        <v>0</v>
      </c>
      <c r="AG813" s="5">
        <f>+$AC813*BF813</f>
        <v>0</v>
      </c>
      <c r="AH813" s="5">
        <f>+$AC813*BG813</f>
        <v>0</v>
      </c>
      <c r="AI813" s="5">
        <f>+$AC813*BH813</f>
        <v>0</v>
      </c>
      <c r="AJ813" s="5">
        <f>+$AC813*BI813</f>
        <v>0</v>
      </c>
      <c r="AK813" s="5">
        <f>+$AC813*BJ813</f>
        <v>0</v>
      </c>
      <c r="AL813" s="5">
        <f>+$AC813*BK813</f>
        <v>0</v>
      </c>
      <c r="AM813" s="5">
        <f>+$AC813*BL813</f>
        <v>0</v>
      </c>
      <c r="AN813" s="5">
        <f>+$AC813*BM813</f>
        <v>0</v>
      </c>
      <c r="AO813" s="5">
        <f>+$AC813*BN813</f>
        <v>0</v>
      </c>
      <c r="AP813" s="5">
        <f>+AC813+P813+C813</f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2">
        <v>8.9181565948742242E-2</v>
      </c>
      <c r="BD813" s="2">
        <v>0.10665277883445198</v>
      </c>
      <c r="BE813" s="2">
        <v>9.438849084854764E-2</v>
      </c>
      <c r="BF813" s="2">
        <v>7.149564986855049E-2</v>
      </c>
      <c r="BG813" s="2">
        <v>0.10368571810536763</v>
      </c>
      <c r="BH813" s="2">
        <v>8.4970330952544637E-2</v>
      </c>
      <c r="BI813" s="2">
        <v>8.4593878877262704E-2</v>
      </c>
      <c r="BJ813" s="2">
        <v>5.7447105462779965E-2</v>
      </c>
      <c r="BK813" s="2">
        <v>8.5153852345557474E-2</v>
      </c>
      <c r="BL813" s="2">
        <v>7.4158058913035174E-2</v>
      </c>
      <c r="BM813" s="2">
        <v>7.5718189192107169E-2</v>
      </c>
      <c r="BN813" s="2">
        <v>7.3955559365675619E-2</v>
      </c>
    </row>
    <row r="814" spans="1:66" x14ac:dyDescent="0.25">
      <c r="A814" s="8">
        <v>5559</v>
      </c>
      <c r="B814" s="8" t="s">
        <v>182</v>
      </c>
      <c r="C814" s="5">
        <v>0</v>
      </c>
      <c r="D814" s="5">
        <f>+$C814*BC814</f>
        <v>0</v>
      </c>
      <c r="E814" s="5">
        <f>+$C814*BD814</f>
        <v>0</v>
      </c>
      <c r="F814" s="5">
        <f>+$C814*BE814</f>
        <v>0</v>
      </c>
      <c r="G814" s="5">
        <f>+$C814*BF814</f>
        <v>0</v>
      </c>
      <c r="H814" s="5">
        <f>+$C814*BG814</f>
        <v>0</v>
      </c>
      <c r="I814" s="5">
        <f>+$C814*BH814</f>
        <v>0</v>
      </c>
      <c r="J814" s="5">
        <f>+$C814*BI814</f>
        <v>0</v>
      </c>
      <c r="K814" s="5">
        <f>+$C814*BJ814</f>
        <v>0</v>
      </c>
      <c r="L814" s="5">
        <f>+$C814*BK814</f>
        <v>0</v>
      </c>
      <c r="M814" s="5">
        <f>+$C814*BL814</f>
        <v>0</v>
      </c>
      <c r="N814" s="5">
        <f>+$C814*BM814</f>
        <v>0</v>
      </c>
      <c r="O814" s="5">
        <f>+$C814*BN814</f>
        <v>0</v>
      </c>
      <c r="P814" s="5">
        <v>0</v>
      </c>
      <c r="Q814" s="5">
        <f>+$P814*BC814</f>
        <v>0</v>
      </c>
      <c r="R814" s="5">
        <f>+$P814*BD814</f>
        <v>0</v>
      </c>
      <c r="S814" s="5">
        <f>+$P814*BE814</f>
        <v>0</v>
      </c>
      <c r="T814" s="5">
        <f>+$P814*BF814</f>
        <v>0</v>
      </c>
      <c r="U814" s="5">
        <f>+$P814*BG814</f>
        <v>0</v>
      </c>
      <c r="V814" s="5">
        <f>+$P814*BH814</f>
        <v>0</v>
      </c>
      <c r="W814" s="5">
        <f>+$P814*BI814</f>
        <v>0</v>
      </c>
      <c r="X814" s="5">
        <f>+$P814*BJ814</f>
        <v>0</v>
      </c>
      <c r="Y814" s="5">
        <f>+$P814*BK814</f>
        <v>0</v>
      </c>
      <c r="Z814" s="5">
        <f>+$P814*BL814</f>
        <v>0</v>
      </c>
      <c r="AA814" s="5">
        <f>+$P814*BM814</f>
        <v>0</v>
      </c>
      <c r="AB814" s="5">
        <f>+$P814*BN814</f>
        <v>0</v>
      </c>
      <c r="AC814" s="5">
        <v>0</v>
      </c>
      <c r="AD814" s="5">
        <f>+$AC814*BC814</f>
        <v>0</v>
      </c>
      <c r="AE814" s="5">
        <f>+$AC814*BD814</f>
        <v>0</v>
      </c>
      <c r="AF814" s="5">
        <f>+$AC814*BE814</f>
        <v>0</v>
      </c>
      <c r="AG814" s="5">
        <f>+$AC814*BF814</f>
        <v>0</v>
      </c>
      <c r="AH814" s="5">
        <f>+$AC814*BG814</f>
        <v>0</v>
      </c>
      <c r="AI814" s="5">
        <f>+$AC814*BH814</f>
        <v>0</v>
      </c>
      <c r="AJ814" s="5">
        <f>+$AC814*BI814</f>
        <v>0</v>
      </c>
      <c r="AK814" s="5">
        <f>+$AC814*BJ814</f>
        <v>0</v>
      </c>
      <c r="AL814" s="5">
        <f>+$AC814*BK814</f>
        <v>0</v>
      </c>
      <c r="AM814" s="5">
        <f>+$AC814*BL814</f>
        <v>0</v>
      </c>
      <c r="AN814" s="5">
        <f>+$AC814*BM814</f>
        <v>0</v>
      </c>
      <c r="AO814" s="5">
        <f>+$AC814*BN814</f>
        <v>0</v>
      </c>
      <c r="AP814" s="5">
        <f>+AC814+P814+C814</f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2">
        <v>8.9181565948742242E-2</v>
      </c>
      <c r="BD814" s="2">
        <v>0.10665277883445198</v>
      </c>
      <c r="BE814" s="2">
        <v>9.438849084854764E-2</v>
      </c>
      <c r="BF814" s="2">
        <v>7.149564986855049E-2</v>
      </c>
      <c r="BG814" s="2">
        <v>0.10368571810536763</v>
      </c>
      <c r="BH814" s="2">
        <v>8.4970330952544637E-2</v>
      </c>
      <c r="BI814" s="2">
        <v>8.4593878877262704E-2</v>
      </c>
      <c r="BJ814" s="2">
        <v>5.7447105462779965E-2</v>
      </c>
      <c r="BK814" s="2">
        <v>8.5153852345557474E-2</v>
      </c>
      <c r="BL814" s="2">
        <v>7.4158058913035174E-2</v>
      </c>
      <c r="BM814" s="2">
        <v>7.5718189192107169E-2</v>
      </c>
      <c r="BN814" s="2">
        <v>7.3955559365675619E-2</v>
      </c>
    </row>
    <row r="815" spans="1:66" x14ac:dyDescent="0.25">
      <c r="A815" s="8">
        <v>5561</v>
      </c>
      <c r="B815" s="8" t="s">
        <v>181</v>
      </c>
      <c r="C815" s="5">
        <v>0</v>
      </c>
      <c r="D815" s="5">
        <f>+$C815*BC815</f>
        <v>0</v>
      </c>
      <c r="E815" s="5">
        <f>+$C815*BD815</f>
        <v>0</v>
      </c>
      <c r="F815" s="5">
        <f>+$C815*BE815</f>
        <v>0</v>
      </c>
      <c r="G815" s="5">
        <f>+$C815*BF815</f>
        <v>0</v>
      </c>
      <c r="H815" s="5">
        <f>+$C815*BG815</f>
        <v>0</v>
      </c>
      <c r="I815" s="5">
        <f>+$C815*BH815</f>
        <v>0</v>
      </c>
      <c r="J815" s="5">
        <f>+$C815*BI815</f>
        <v>0</v>
      </c>
      <c r="K815" s="5">
        <f>+$C815*BJ815</f>
        <v>0</v>
      </c>
      <c r="L815" s="5">
        <f>+$C815*BK815</f>
        <v>0</v>
      </c>
      <c r="M815" s="5">
        <f>+$C815*BL815</f>
        <v>0</v>
      </c>
      <c r="N815" s="5">
        <f>+$C815*BM815</f>
        <v>0</v>
      </c>
      <c r="O815" s="5">
        <f>+$C815*BN815</f>
        <v>0</v>
      </c>
      <c r="P815" s="5">
        <v>0</v>
      </c>
      <c r="Q815" s="5">
        <f>+$P815*BC815</f>
        <v>0</v>
      </c>
      <c r="R815" s="5">
        <f>+$P815*BD815</f>
        <v>0</v>
      </c>
      <c r="S815" s="5">
        <f>+$P815*BE815</f>
        <v>0</v>
      </c>
      <c r="T815" s="5">
        <f>+$P815*BF815</f>
        <v>0</v>
      </c>
      <c r="U815" s="5">
        <f>+$P815*BG815</f>
        <v>0</v>
      </c>
      <c r="V815" s="5">
        <f>+$P815*BH815</f>
        <v>0</v>
      </c>
      <c r="W815" s="5">
        <f>+$P815*BI815</f>
        <v>0</v>
      </c>
      <c r="X815" s="5">
        <f>+$P815*BJ815</f>
        <v>0</v>
      </c>
      <c r="Y815" s="5">
        <f>+$P815*BK815</f>
        <v>0</v>
      </c>
      <c r="Z815" s="5">
        <f>+$P815*BL815</f>
        <v>0</v>
      </c>
      <c r="AA815" s="5">
        <f>+$P815*BM815</f>
        <v>0</v>
      </c>
      <c r="AB815" s="5">
        <f>+$P815*BN815</f>
        <v>0</v>
      </c>
      <c r="AC815" s="5">
        <v>0</v>
      </c>
      <c r="AD815" s="5">
        <f>+$AC815*BC815</f>
        <v>0</v>
      </c>
      <c r="AE815" s="5">
        <f>+$AC815*BD815</f>
        <v>0</v>
      </c>
      <c r="AF815" s="5">
        <f>+$AC815*BE815</f>
        <v>0</v>
      </c>
      <c r="AG815" s="5">
        <f>+$AC815*BF815</f>
        <v>0</v>
      </c>
      <c r="AH815" s="5">
        <f>+$AC815*BG815</f>
        <v>0</v>
      </c>
      <c r="AI815" s="5">
        <f>+$AC815*BH815</f>
        <v>0</v>
      </c>
      <c r="AJ815" s="5">
        <f>+$AC815*BI815</f>
        <v>0</v>
      </c>
      <c r="AK815" s="5">
        <f>+$AC815*BJ815</f>
        <v>0</v>
      </c>
      <c r="AL815" s="5">
        <f>+$AC815*BK815</f>
        <v>0</v>
      </c>
      <c r="AM815" s="5">
        <f>+$AC815*BL815</f>
        <v>0</v>
      </c>
      <c r="AN815" s="5">
        <f>+$AC815*BM815</f>
        <v>0</v>
      </c>
      <c r="AO815" s="5">
        <f>+$AC815*BN815</f>
        <v>0</v>
      </c>
      <c r="AP815" s="5">
        <f>+AC815+P815+C815</f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2">
        <v>8.9181565948742242E-2</v>
      </c>
      <c r="BD815" s="2">
        <v>0.10665277883445198</v>
      </c>
      <c r="BE815" s="2">
        <v>9.438849084854764E-2</v>
      </c>
      <c r="BF815" s="2">
        <v>7.149564986855049E-2</v>
      </c>
      <c r="BG815" s="2">
        <v>0.10368571810536763</v>
      </c>
      <c r="BH815" s="2">
        <v>8.4970330952544637E-2</v>
      </c>
      <c r="BI815" s="2">
        <v>8.4593878877262704E-2</v>
      </c>
      <c r="BJ815" s="2">
        <v>5.7447105462779965E-2</v>
      </c>
      <c r="BK815" s="2">
        <v>8.5153852345557474E-2</v>
      </c>
      <c r="BL815" s="2">
        <v>7.4158058913035174E-2</v>
      </c>
      <c r="BM815" s="2">
        <v>7.5718189192107169E-2</v>
      </c>
      <c r="BN815" s="2">
        <v>7.3955559365675619E-2</v>
      </c>
    </row>
    <row r="816" spans="1:66" x14ac:dyDescent="0.25">
      <c r="A816" s="8">
        <v>5562</v>
      </c>
      <c r="B816" s="8" t="s">
        <v>180</v>
      </c>
      <c r="C816" s="5">
        <v>0</v>
      </c>
      <c r="D816" s="5">
        <f>+$C816*BC816</f>
        <v>0</v>
      </c>
      <c r="E816" s="5">
        <f>+$C816*BD816</f>
        <v>0</v>
      </c>
      <c r="F816" s="5">
        <f>+$C816*BE816</f>
        <v>0</v>
      </c>
      <c r="G816" s="5">
        <f>+$C816*BF816</f>
        <v>0</v>
      </c>
      <c r="H816" s="5">
        <f>+$C816*BG816</f>
        <v>0</v>
      </c>
      <c r="I816" s="5">
        <f>+$C816*BH816</f>
        <v>0</v>
      </c>
      <c r="J816" s="5">
        <f>+$C816*BI816</f>
        <v>0</v>
      </c>
      <c r="K816" s="5">
        <f>+$C816*BJ816</f>
        <v>0</v>
      </c>
      <c r="L816" s="5">
        <f>+$C816*BK816</f>
        <v>0</v>
      </c>
      <c r="M816" s="5">
        <f>+$C816*BL816</f>
        <v>0</v>
      </c>
      <c r="N816" s="5">
        <f>+$C816*BM816</f>
        <v>0</v>
      </c>
      <c r="O816" s="5">
        <f>+$C816*BN816</f>
        <v>0</v>
      </c>
      <c r="P816" s="5">
        <v>0</v>
      </c>
      <c r="Q816" s="5">
        <f>+$P816*BC816</f>
        <v>0</v>
      </c>
      <c r="R816" s="5">
        <f>+$P816*BD816</f>
        <v>0</v>
      </c>
      <c r="S816" s="5">
        <f>+$P816*BE816</f>
        <v>0</v>
      </c>
      <c r="T816" s="5">
        <f>+$P816*BF816</f>
        <v>0</v>
      </c>
      <c r="U816" s="5">
        <f>+$P816*BG816</f>
        <v>0</v>
      </c>
      <c r="V816" s="5">
        <f>+$P816*BH816</f>
        <v>0</v>
      </c>
      <c r="W816" s="5">
        <f>+$P816*BI816</f>
        <v>0</v>
      </c>
      <c r="X816" s="5">
        <f>+$P816*BJ816</f>
        <v>0</v>
      </c>
      <c r="Y816" s="5">
        <f>+$P816*BK816</f>
        <v>0</v>
      </c>
      <c r="Z816" s="5">
        <f>+$P816*BL816</f>
        <v>0</v>
      </c>
      <c r="AA816" s="5">
        <f>+$P816*BM816</f>
        <v>0</v>
      </c>
      <c r="AB816" s="5">
        <f>+$P816*BN816</f>
        <v>0</v>
      </c>
      <c r="AC816" s="5">
        <v>0</v>
      </c>
      <c r="AD816" s="5">
        <f>+$AC816*BC816</f>
        <v>0</v>
      </c>
      <c r="AE816" s="5">
        <f>+$AC816*BD816</f>
        <v>0</v>
      </c>
      <c r="AF816" s="5">
        <f>+$AC816*BE816</f>
        <v>0</v>
      </c>
      <c r="AG816" s="5">
        <f>+$AC816*BF816</f>
        <v>0</v>
      </c>
      <c r="AH816" s="5">
        <f>+$AC816*BG816</f>
        <v>0</v>
      </c>
      <c r="AI816" s="5">
        <f>+$AC816*BH816</f>
        <v>0</v>
      </c>
      <c r="AJ816" s="5">
        <f>+$AC816*BI816</f>
        <v>0</v>
      </c>
      <c r="AK816" s="5">
        <f>+$AC816*BJ816</f>
        <v>0</v>
      </c>
      <c r="AL816" s="5">
        <f>+$AC816*BK816</f>
        <v>0</v>
      </c>
      <c r="AM816" s="5">
        <f>+$AC816*BL816</f>
        <v>0</v>
      </c>
      <c r="AN816" s="5">
        <f>+$AC816*BM816</f>
        <v>0</v>
      </c>
      <c r="AO816" s="5">
        <f>+$AC816*BN816</f>
        <v>0</v>
      </c>
      <c r="AP816" s="5">
        <f>+AC816+P816+C816</f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2">
        <v>8.9181565948742242E-2</v>
      </c>
      <c r="BD816" s="2">
        <v>0.10665277883445198</v>
      </c>
      <c r="BE816" s="2">
        <v>9.438849084854764E-2</v>
      </c>
      <c r="BF816" s="2">
        <v>7.149564986855049E-2</v>
      </c>
      <c r="BG816" s="2">
        <v>0.10368571810536763</v>
      </c>
      <c r="BH816" s="2">
        <v>8.4970330952544637E-2</v>
      </c>
      <c r="BI816" s="2">
        <v>8.4593878877262704E-2</v>
      </c>
      <c r="BJ816" s="2">
        <v>5.7447105462779965E-2</v>
      </c>
      <c r="BK816" s="2">
        <v>8.5153852345557474E-2</v>
      </c>
      <c r="BL816" s="2">
        <v>7.4158058913035174E-2</v>
      </c>
      <c r="BM816" s="2">
        <v>7.5718189192107169E-2</v>
      </c>
      <c r="BN816" s="2">
        <v>7.3955559365675619E-2</v>
      </c>
    </row>
    <row r="817" spans="1:66" x14ac:dyDescent="0.25">
      <c r="A817" s="8">
        <v>5563</v>
      </c>
      <c r="B817" s="8" t="s">
        <v>179</v>
      </c>
      <c r="C817" s="5">
        <v>0</v>
      </c>
      <c r="D817" s="5">
        <f>+$C817*BC817</f>
        <v>0</v>
      </c>
      <c r="E817" s="5">
        <f>+$C817*BD817</f>
        <v>0</v>
      </c>
      <c r="F817" s="5">
        <f>+$C817*BE817</f>
        <v>0</v>
      </c>
      <c r="G817" s="5">
        <f>+$C817*BF817</f>
        <v>0</v>
      </c>
      <c r="H817" s="5">
        <f>+$C817*BG817</f>
        <v>0</v>
      </c>
      <c r="I817" s="5">
        <f>+$C817*BH817</f>
        <v>0</v>
      </c>
      <c r="J817" s="5">
        <f>+$C817*BI817</f>
        <v>0</v>
      </c>
      <c r="K817" s="5">
        <f>+$C817*BJ817</f>
        <v>0</v>
      </c>
      <c r="L817" s="5">
        <f>+$C817*BK817</f>
        <v>0</v>
      </c>
      <c r="M817" s="5">
        <f>+$C817*BL817</f>
        <v>0</v>
      </c>
      <c r="N817" s="5">
        <f>+$C817*BM817</f>
        <v>0</v>
      </c>
      <c r="O817" s="5">
        <f>+$C817*BN817</f>
        <v>0</v>
      </c>
      <c r="P817" s="5">
        <v>0</v>
      </c>
      <c r="Q817" s="5">
        <f>+$P817*BC817</f>
        <v>0</v>
      </c>
      <c r="R817" s="5">
        <f>+$P817*BD817</f>
        <v>0</v>
      </c>
      <c r="S817" s="5">
        <f>+$P817*BE817</f>
        <v>0</v>
      </c>
      <c r="T817" s="5">
        <f>+$P817*BF817</f>
        <v>0</v>
      </c>
      <c r="U817" s="5">
        <f>+$P817*BG817</f>
        <v>0</v>
      </c>
      <c r="V817" s="5">
        <f>+$P817*BH817</f>
        <v>0</v>
      </c>
      <c r="W817" s="5">
        <f>+$P817*BI817</f>
        <v>0</v>
      </c>
      <c r="X817" s="5">
        <f>+$P817*BJ817</f>
        <v>0</v>
      </c>
      <c r="Y817" s="5">
        <f>+$P817*BK817</f>
        <v>0</v>
      </c>
      <c r="Z817" s="5">
        <f>+$P817*BL817</f>
        <v>0</v>
      </c>
      <c r="AA817" s="5">
        <f>+$P817*BM817</f>
        <v>0</v>
      </c>
      <c r="AB817" s="5">
        <f>+$P817*BN817</f>
        <v>0</v>
      </c>
      <c r="AC817" s="5">
        <v>0</v>
      </c>
      <c r="AD817" s="5">
        <f>+$AC817*BC817</f>
        <v>0</v>
      </c>
      <c r="AE817" s="5">
        <f>+$AC817*BD817</f>
        <v>0</v>
      </c>
      <c r="AF817" s="5">
        <f>+$AC817*BE817</f>
        <v>0</v>
      </c>
      <c r="AG817" s="5">
        <f>+$AC817*BF817</f>
        <v>0</v>
      </c>
      <c r="AH817" s="5">
        <f>+$AC817*BG817</f>
        <v>0</v>
      </c>
      <c r="AI817" s="5">
        <f>+$AC817*BH817</f>
        <v>0</v>
      </c>
      <c r="AJ817" s="5">
        <f>+$AC817*BI817</f>
        <v>0</v>
      </c>
      <c r="AK817" s="5">
        <f>+$AC817*BJ817</f>
        <v>0</v>
      </c>
      <c r="AL817" s="5">
        <f>+$AC817*BK817</f>
        <v>0</v>
      </c>
      <c r="AM817" s="5">
        <f>+$AC817*BL817</f>
        <v>0</v>
      </c>
      <c r="AN817" s="5">
        <f>+$AC817*BM817</f>
        <v>0</v>
      </c>
      <c r="AO817" s="5">
        <f>+$AC817*BN817</f>
        <v>0</v>
      </c>
      <c r="AP817" s="5">
        <f>+AC817+P817+C817</f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2">
        <v>8.9181565948742242E-2</v>
      </c>
      <c r="BD817" s="2">
        <v>0.10665277883445198</v>
      </c>
      <c r="BE817" s="2">
        <v>9.438849084854764E-2</v>
      </c>
      <c r="BF817" s="2">
        <v>7.149564986855049E-2</v>
      </c>
      <c r="BG817" s="2">
        <v>0.10368571810536763</v>
      </c>
      <c r="BH817" s="2">
        <v>8.4970330952544637E-2</v>
      </c>
      <c r="BI817" s="2">
        <v>8.4593878877262704E-2</v>
      </c>
      <c r="BJ817" s="2">
        <v>5.7447105462779965E-2</v>
      </c>
      <c r="BK817" s="2">
        <v>8.5153852345557474E-2</v>
      </c>
      <c r="BL817" s="2">
        <v>7.4158058913035174E-2</v>
      </c>
      <c r="BM817" s="2">
        <v>7.5718189192107169E-2</v>
      </c>
      <c r="BN817" s="2">
        <v>7.3955559365675619E-2</v>
      </c>
    </row>
    <row r="818" spans="1:66" x14ac:dyDescent="0.25">
      <c r="A818" s="8">
        <v>5845</v>
      </c>
      <c r="B818" s="8" t="s">
        <v>178</v>
      </c>
      <c r="C818" s="5">
        <v>0</v>
      </c>
      <c r="D818" s="5">
        <f>+$C818*BC818</f>
        <v>0</v>
      </c>
      <c r="E818" s="5">
        <f>+$C818*BD818</f>
        <v>0</v>
      </c>
      <c r="F818" s="5">
        <f>+$C818*BE818</f>
        <v>0</v>
      </c>
      <c r="G818" s="5">
        <f>+$C818*BF818</f>
        <v>0</v>
      </c>
      <c r="H818" s="5">
        <f>+$C818*BG818</f>
        <v>0</v>
      </c>
      <c r="I818" s="5">
        <f>+$C818*BH818</f>
        <v>0</v>
      </c>
      <c r="J818" s="5">
        <f>+$C818*BI818</f>
        <v>0</v>
      </c>
      <c r="K818" s="5">
        <f>+$C818*BJ818</f>
        <v>0</v>
      </c>
      <c r="L818" s="5">
        <f>+$C818*BK818</f>
        <v>0</v>
      </c>
      <c r="M818" s="5">
        <f>+$C818*BL818</f>
        <v>0</v>
      </c>
      <c r="N818" s="5">
        <f>+$C818*BM818</f>
        <v>0</v>
      </c>
      <c r="O818" s="5">
        <f>+$C818*BN818</f>
        <v>0</v>
      </c>
      <c r="P818" s="5">
        <v>0</v>
      </c>
      <c r="Q818" s="5">
        <f>+$P818*BC818</f>
        <v>0</v>
      </c>
      <c r="R818" s="5">
        <f>+$P818*BD818</f>
        <v>0</v>
      </c>
      <c r="S818" s="5">
        <f>+$P818*BE818</f>
        <v>0</v>
      </c>
      <c r="T818" s="5">
        <f>+$P818*BF818</f>
        <v>0</v>
      </c>
      <c r="U818" s="5">
        <f>+$P818*BG818</f>
        <v>0</v>
      </c>
      <c r="V818" s="5">
        <f>+$P818*BH818</f>
        <v>0</v>
      </c>
      <c r="W818" s="5">
        <f>+$P818*BI818</f>
        <v>0</v>
      </c>
      <c r="X818" s="5">
        <f>+$P818*BJ818</f>
        <v>0</v>
      </c>
      <c r="Y818" s="5">
        <f>+$P818*BK818</f>
        <v>0</v>
      </c>
      <c r="Z818" s="5">
        <f>+$P818*BL818</f>
        <v>0</v>
      </c>
      <c r="AA818" s="5">
        <f>+$P818*BM818</f>
        <v>0</v>
      </c>
      <c r="AB818" s="5">
        <f>+$P818*BN818</f>
        <v>0</v>
      </c>
      <c r="AC818" s="5">
        <v>0</v>
      </c>
      <c r="AD818" s="5">
        <f>+$AC818*BC818</f>
        <v>0</v>
      </c>
      <c r="AE818" s="5">
        <f>+$AC818*BD818</f>
        <v>0</v>
      </c>
      <c r="AF818" s="5">
        <f>+$AC818*BE818</f>
        <v>0</v>
      </c>
      <c r="AG818" s="5">
        <f>+$AC818*BF818</f>
        <v>0</v>
      </c>
      <c r="AH818" s="5">
        <f>+$AC818*BG818</f>
        <v>0</v>
      </c>
      <c r="AI818" s="5">
        <f>+$AC818*BH818</f>
        <v>0</v>
      </c>
      <c r="AJ818" s="5">
        <f>+$AC818*BI818</f>
        <v>0</v>
      </c>
      <c r="AK818" s="5">
        <f>+$AC818*BJ818</f>
        <v>0</v>
      </c>
      <c r="AL818" s="5">
        <f>+$AC818*BK818</f>
        <v>0</v>
      </c>
      <c r="AM818" s="5">
        <f>+$AC818*BL818</f>
        <v>0</v>
      </c>
      <c r="AN818" s="5">
        <f>+$AC818*BM818</f>
        <v>0</v>
      </c>
      <c r="AO818" s="5">
        <f>+$AC818*BN818</f>
        <v>0</v>
      </c>
      <c r="AP818" s="5">
        <f>+AC818+P818+C818</f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2">
        <v>8.9181565948742242E-2</v>
      </c>
      <c r="BD818" s="2">
        <v>0.10665277883445198</v>
      </c>
      <c r="BE818" s="2">
        <v>9.438849084854764E-2</v>
      </c>
      <c r="BF818" s="2">
        <v>7.149564986855049E-2</v>
      </c>
      <c r="BG818" s="2">
        <v>0.10368571810536763</v>
      </c>
      <c r="BH818" s="2">
        <v>8.4970330952544637E-2</v>
      </c>
      <c r="BI818" s="2">
        <v>8.4593878877262704E-2</v>
      </c>
      <c r="BJ818" s="2">
        <v>5.7447105462779965E-2</v>
      </c>
      <c r="BK818" s="2">
        <v>8.5153852345557474E-2</v>
      </c>
      <c r="BL818" s="2">
        <v>7.4158058913035174E-2</v>
      </c>
      <c r="BM818" s="2">
        <v>7.5718189192107169E-2</v>
      </c>
      <c r="BN818" s="2">
        <v>7.3955559365675619E-2</v>
      </c>
    </row>
    <row r="819" spans="1:66" x14ac:dyDescent="0.25">
      <c r="A819" s="8">
        <v>6495</v>
      </c>
      <c r="B819" s="8" t="s">
        <v>177</v>
      </c>
      <c r="C819" s="5">
        <v>0</v>
      </c>
      <c r="D819" s="5">
        <f>+$C819*BC819</f>
        <v>0</v>
      </c>
      <c r="E819" s="5">
        <f>+$C819*BD819</f>
        <v>0</v>
      </c>
      <c r="F819" s="5">
        <f>+$C819*BE819</f>
        <v>0</v>
      </c>
      <c r="G819" s="5">
        <f>+$C819*BF819</f>
        <v>0</v>
      </c>
      <c r="H819" s="5">
        <f>+$C819*BG819</f>
        <v>0</v>
      </c>
      <c r="I819" s="5">
        <f>+$C819*BH819</f>
        <v>0</v>
      </c>
      <c r="J819" s="5">
        <f>+$C819*BI819</f>
        <v>0</v>
      </c>
      <c r="K819" s="5">
        <f>+$C819*BJ819</f>
        <v>0</v>
      </c>
      <c r="L819" s="5">
        <f>+$C819*BK819</f>
        <v>0</v>
      </c>
      <c r="M819" s="5">
        <f>+$C819*BL819</f>
        <v>0</v>
      </c>
      <c r="N819" s="5">
        <f>+$C819*BM819</f>
        <v>0</v>
      </c>
      <c r="O819" s="5">
        <f>+$C819*BN819</f>
        <v>0</v>
      </c>
      <c r="P819" s="5">
        <v>0</v>
      </c>
      <c r="Q819" s="5">
        <f>+$P819*BC819</f>
        <v>0</v>
      </c>
      <c r="R819" s="5">
        <f>+$P819*BD819</f>
        <v>0</v>
      </c>
      <c r="S819" s="5">
        <f>+$P819*BE819</f>
        <v>0</v>
      </c>
      <c r="T819" s="5">
        <f>+$P819*BF819</f>
        <v>0</v>
      </c>
      <c r="U819" s="5">
        <f>+$P819*BG819</f>
        <v>0</v>
      </c>
      <c r="V819" s="5">
        <f>+$P819*BH819</f>
        <v>0</v>
      </c>
      <c r="W819" s="5">
        <f>+$P819*BI819</f>
        <v>0</v>
      </c>
      <c r="X819" s="5">
        <f>+$P819*BJ819</f>
        <v>0</v>
      </c>
      <c r="Y819" s="5">
        <f>+$P819*BK819</f>
        <v>0</v>
      </c>
      <c r="Z819" s="5">
        <f>+$P819*BL819</f>
        <v>0</v>
      </c>
      <c r="AA819" s="5">
        <f>+$P819*BM819</f>
        <v>0</v>
      </c>
      <c r="AB819" s="5">
        <f>+$P819*BN819</f>
        <v>0</v>
      </c>
      <c r="AC819" s="5">
        <v>0</v>
      </c>
      <c r="AD819" s="5">
        <f>+$AC819*BC819</f>
        <v>0</v>
      </c>
      <c r="AE819" s="5">
        <f>+$AC819*BD819</f>
        <v>0</v>
      </c>
      <c r="AF819" s="5">
        <f>+$AC819*BE819</f>
        <v>0</v>
      </c>
      <c r="AG819" s="5">
        <f>+$AC819*BF819</f>
        <v>0</v>
      </c>
      <c r="AH819" s="5">
        <f>+$AC819*BG819</f>
        <v>0</v>
      </c>
      <c r="AI819" s="5">
        <f>+$AC819*BH819</f>
        <v>0</v>
      </c>
      <c r="AJ819" s="5">
        <f>+$AC819*BI819</f>
        <v>0</v>
      </c>
      <c r="AK819" s="5">
        <f>+$AC819*BJ819</f>
        <v>0</v>
      </c>
      <c r="AL819" s="5">
        <f>+$AC819*BK819</f>
        <v>0</v>
      </c>
      <c r="AM819" s="5">
        <f>+$AC819*BL819</f>
        <v>0</v>
      </c>
      <c r="AN819" s="5">
        <f>+$AC819*BM819</f>
        <v>0</v>
      </c>
      <c r="AO819" s="5">
        <f>+$AC819*BN819</f>
        <v>0</v>
      </c>
      <c r="AP819" s="5">
        <f>+AC819+P819+C819</f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2">
        <v>8.9181565948742242E-2</v>
      </c>
      <c r="BD819" s="2">
        <v>0.10665277883445198</v>
      </c>
      <c r="BE819" s="2">
        <v>9.438849084854764E-2</v>
      </c>
      <c r="BF819" s="2">
        <v>7.149564986855049E-2</v>
      </c>
      <c r="BG819" s="2">
        <v>0.10368571810536763</v>
      </c>
      <c r="BH819" s="2">
        <v>8.4970330952544637E-2</v>
      </c>
      <c r="BI819" s="2">
        <v>8.4593878877262704E-2</v>
      </c>
      <c r="BJ819" s="2">
        <v>5.7447105462779965E-2</v>
      </c>
      <c r="BK819" s="2">
        <v>8.5153852345557474E-2</v>
      </c>
      <c r="BL819" s="2">
        <v>7.4158058913035174E-2</v>
      </c>
      <c r="BM819" s="2">
        <v>7.5718189192107169E-2</v>
      </c>
      <c r="BN819" s="2">
        <v>7.3955559365675619E-2</v>
      </c>
    </row>
    <row r="820" spans="1:66" x14ac:dyDescent="0.25">
      <c r="A820" s="8">
        <v>6496</v>
      </c>
      <c r="B820" s="8" t="s">
        <v>176</v>
      </c>
      <c r="C820" s="5">
        <v>0</v>
      </c>
      <c r="D820" s="5">
        <f>+$C820*BC820</f>
        <v>0</v>
      </c>
      <c r="E820" s="5">
        <f>+$C820*BD820</f>
        <v>0</v>
      </c>
      <c r="F820" s="5">
        <f>+$C820*BE820</f>
        <v>0</v>
      </c>
      <c r="G820" s="5">
        <f>+$C820*BF820</f>
        <v>0</v>
      </c>
      <c r="H820" s="5">
        <f>+$C820*BG820</f>
        <v>0</v>
      </c>
      <c r="I820" s="5">
        <f>+$C820*BH820</f>
        <v>0</v>
      </c>
      <c r="J820" s="5">
        <f>+$C820*BI820</f>
        <v>0</v>
      </c>
      <c r="K820" s="5">
        <f>+$C820*BJ820</f>
        <v>0</v>
      </c>
      <c r="L820" s="5">
        <f>+$C820*BK820</f>
        <v>0</v>
      </c>
      <c r="M820" s="5">
        <f>+$C820*BL820</f>
        <v>0</v>
      </c>
      <c r="N820" s="5">
        <f>+$C820*BM820</f>
        <v>0</v>
      </c>
      <c r="O820" s="5">
        <f>+$C820*BN820</f>
        <v>0</v>
      </c>
      <c r="P820" s="5">
        <v>0</v>
      </c>
      <c r="Q820" s="5">
        <f>+$P820*BC820</f>
        <v>0</v>
      </c>
      <c r="R820" s="5">
        <f>+$P820*BD820</f>
        <v>0</v>
      </c>
      <c r="S820" s="5">
        <f>+$P820*BE820</f>
        <v>0</v>
      </c>
      <c r="T820" s="5">
        <f>+$P820*BF820</f>
        <v>0</v>
      </c>
      <c r="U820" s="5">
        <f>+$P820*BG820</f>
        <v>0</v>
      </c>
      <c r="V820" s="5">
        <f>+$P820*BH820</f>
        <v>0</v>
      </c>
      <c r="W820" s="5">
        <f>+$P820*BI820</f>
        <v>0</v>
      </c>
      <c r="X820" s="5">
        <f>+$P820*BJ820</f>
        <v>0</v>
      </c>
      <c r="Y820" s="5">
        <f>+$P820*BK820</f>
        <v>0</v>
      </c>
      <c r="Z820" s="5">
        <f>+$P820*BL820</f>
        <v>0</v>
      </c>
      <c r="AA820" s="5">
        <f>+$P820*BM820</f>
        <v>0</v>
      </c>
      <c r="AB820" s="5">
        <f>+$P820*BN820</f>
        <v>0</v>
      </c>
      <c r="AC820" s="5">
        <v>0</v>
      </c>
      <c r="AD820" s="5">
        <f>+$AC820*BC820</f>
        <v>0</v>
      </c>
      <c r="AE820" s="5">
        <f>+$AC820*BD820</f>
        <v>0</v>
      </c>
      <c r="AF820" s="5">
        <f>+$AC820*BE820</f>
        <v>0</v>
      </c>
      <c r="AG820" s="5">
        <f>+$AC820*BF820</f>
        <v>0</v>
      </c>
      <c r="AH820" s="5">
        <f>+$AC820*BG820</f>
        <v>0</v>
      </c>
      <c r="AI820" s="5">
        <f>+$AC820*BH820</f>
        <v>0</v>
      </c>
      <c r="AJ820" s="5">
        <f>+$AC820*BI820</f>
        <v>0</v>
      </c>
      <c r="AK820" s="5">
        <f>+$AC820*BJ820</f>
        <v>0</v>
      </c>
      <c r="AL820" s="5">
        <f>+$AC820*BK820</f>
        <v>0</v>
      </c>
      <c r="AM820" s="5">
        <f>+$AC820*BL820</f>
        <v>0</v>
      </c>
      <c r="AN820" s="5">
        <f>+$AC820*BM820</f>
        <v>0</v>
      </c>
      <c r="AO820" s="5">
        <f>+$AC820*BN820</f>
        <v>0</v>
      </c>
      <c r="AP820" s="5">
        <f>+AC820+P820+C820</f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2">
        <v>8.9181565948742242E-2</v>
      </c>
      <c r="BD820" s="2">
        <v>0.10665277883445198</v>
      </c>
      <c r="BE820" s="2">
        <v>9.438849084854764E-2</v>
      </c>
      <c r="BF820" s="2">
        <v>7.149564986855049E-2</v>
      </c>
      <c r="BG820" s="2">
        <v>0.10368571810536763</v>
      </c>
      <c r="BH820" s="2">
        <v>8.4970330952544637E-2</v>
      </c>
      <c r="BI820" s="2">
        <v>8.4593878877262704E-2</v>
      </c>
      <c r="BJ820" s="2">
        <v>5.7447105462779965E-2</v>
      </c>
      <c r="BK820" s="2">
        <v>8.5153852345557474E-2</v>
      </c>
      <c r="BL820" s="2">
        <v>7.4158058913035174E-2</v>
      </c>
      <c r="BM820" s="2">
        <v>7.5718189192107169E-2</v>
      </c>
      <c r="BN820" s="2">
        <v>7.3955559365675619E-2</v>
      </c>
    </row>
    <row r="821" spans="1:66" x14ac:dyDescent="0.25">
      <c r="A821" s="8">
        <v>6497</v>
      </c>
      <c r="B821" s="8" t="s">
        <v>175</v>
      </c>
      <c r="C821" s="5">
        <v>0</v>
      </c>
      <c r="D821" s="5">
        <f>+$C821*BC821</f>
        <v>0</v>
      </c>
      <c r="E821" s="5">
        <f>+$C821*BD821</f>
        <v>0</v>
      </c>
      <c r="F821" s="5">
        <f>+$C821*BE821</f>
        <v>0</v>
      </c>
      <c r="G821" s="5">
        <f>+$C821*BF821</f>
        <v>0</v>
      </c>
      <c r="H821" s="5">
        <f>+$C821*BG821</f>
        <v>0</v>
      </c>
      <c r="I821" s="5">
        <f>+$C821*BH821</f>
        <v>0</v>
      </c>
      <c r="J821" s="5">
        <f>+$C821*BI821</f>
        <v>0</v>
      </c>
      <c r="K821" s="5">
        <f>+$C821*BJ821</f>
        <v>0</v>
      </c>
      <c r="L821" s="5">
        <f>+$C821*BK821</f>
        <v>0</v>
      </c>
      <c r="M821" s="5">
        <f>+$C821*BL821</f>
        <v>0</v>
      </c>
      <c r="N821" s="5">
        <f>+$C821*BM821</f>
        <v>0</v>
      </c>
      <c r="O821" s="5">
        <f>+$C821*BN821</f>
        <v>0</v>
      </c>
      <c r="P821" s="5">
        <v>0</v>
      </c>
      <c r="Q821" s="5">
        <f>+$P821*BC821</f>
        <v>0</v>
      </c>
      <c r="R821" s="5">
        <f>+$P821*BD821</f>
        <v>0</v>
      </c>
      <c r="S821" s="5">
        <f>+$P821*BE821</f>
        <v>0</v>
      </c>
      <c r="T821" s="5">
        <f>+$P821*BF821</f>
        <v>0</v>
      </c>
      <c r="U821" s="5">
        <f>+$P821*BG821</f>
        <v>0</v>
      </c>
      <c r="V821" s="5">
        <f>+$P821*BH821</f>
        <v>0</v>
      </c>
      <c r="W821" s="5">
        <f>+$P821*BI821</f>
        <v>0</v>
      </c>
      <c r="X821" s="5">
        <f>+$P821*BJ821</f>
        <v>0</v>
      </c>
      <c r="Y821" s="5">
        <f>+$P821*BK821</f>
        <v>0</v>
      </c>
      <c r="Z821" s="5">
        <f>+$P821*BL821</f>
        <v>0</v>
      </c>
      <c r="AA821" s="5">
        <f>+$P821*BM821</f>
        <v>0</v>
      </c>
      <c r="AB821" s="5">
        <f>+$P821*BN821</f>
        <v>0</v>
      </c>
      <c r="AC821" s="5">
        <v>0</v>
      </c>
      <c r="AD821" s="5">
        <f>+$AC821*BC821</f>
        <v>0</v>
      </c>
      <c r="AE821" s="5">
        <f>+$AC821*BD821</f>
        <v>0</v>
      </c>
      <c r="AF821" s="5">
        <f>+$AC821*BE821</f>
        <v>0</v>
      </c>
      <c r="AG821" s="5">
        <f>+$AC821*BF821</f>
        <v>0</v>
      </c>
      <c r="AH821" s="5">
        <f>+$AC821*BG821</f>
        <v>0</v>
      </c>
      <c r="AI821" s="5">
        <f>+$AC821*BH821</f>
        <v>0</v>
      </c>
      <c r="AJ821" s="5">
        <f>+$AC821*BI821</f>
        <v>0</v>
      </c>
      <c r="AK821" s="5">
        <f>+$AC821*BJ821</f>
        <v>0</v>
      </c>
      <c r="AL821" s="5">
        <f>+$AC821*BK821</f>
        <v>0</v>
      </c>
      <c r="AM821" s="5">
        <f>+$AC821*BL821</f>
        <v>0</v>
      </c>
      <c r="AN821" s="5">
        <f>+$AC821*BM821</f>
        <v>0</v>
      </c>
      <c r="AO821" s="5">
        <f>+$AC821*BN821</f>
        <v>0</v>
      </c>
      <c r="AP821" s="5">
        <f>+AC821+P821+C821</f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2">
        <v>8.9181565948742242E-2</v>
      </c>
      <c r="BD821" s="2">
        <v>0.10665277883445198</v>
      </c>
      <c r="BE821" s="2">
        <v>9.438849084854764E-2</v>
      </c>
      <c r="BF821" s="2">
        <v>7.149564986855049E-2</v>
      </c>
      <c r="BG821" s="2">
        <v>0.10368571810536763</v>
      </c>
      <c r="BH821" s="2">
        <v>8.4970330952544637E-2</v>
      </c>
      <c r="BI821" s="2">
        <v>8.4593878877262704E-2</v>
      </c>
      <c r="BJ821" s="2">
        <v>5.7447105462779965E-2</v>
      </c>
      <c r="BK821" s="2">
        <v>8.5153852345557474E-2</v>
      </c>
      <c r="BL821" s="2">
        <v>7.4158058913035174E-2</v>
      </c>
      <c r="BM821" s="2">
        <v>7.5718189192107169E-2</v>
      </c>
      <c r="BN821" s="2">
        <v>7.3955559365675619E-2</v>
      </c>
    </row>
    <row r="822" spans="1:66" x14ac:dyDescent="0.25">
      <c r="A822" s="8">
        <v>6499</v>
      </c>
      <c r="B822" s="8" t="s">
        <v>174</v>
      </c>
      <c r="C822" s="5">
        <v>0</v>
      </c>
      <c r="D822" s="5">
        <f>+$C822*BC822</f>
        <v>0</v>
      </c>
      <c r="E822" s="5">
        <f>+$C822*BD822</f>
        <v>0</v>
      </c>
      <c r="F822" s="5">
        <f>+$C822*BE822</f>
        <v>0</v>
      </c>
      <c r="G822" s="5">
        <f>+$C822*BF822</f>
        <v>0</v>
      </c>
      <c r="H822" s="5">
        <f>+$C822*BG822</f>
        <v>0</v>
      </c>
      <c r="I822" s="5">
        <f>+$C822*BH822</f>
        <v>0</v>
      </c>
      <c r="J822" s="5">
        <f>+$C822*BI822</f>
        <v>0</v>
      </c>
      <c r="K822" s="5">
        <f>+$C822*BJ822</f>
        <v>0</v>
      </c>
      <c r="L822" s="5">
        <f>+$C822*BK822</f>
        <v>0</v>
      </c>
      <c r="M822" s="5">
        <f>+$C822*BL822</f>
        <v>0</v>
      </c>
      <c r="N822" s="5">
        <f>+$C822*BM822</f>
        <v>0</v>
      </c>
      <c r="O822" s="5">
        <f>+$C822*BN822</f>
        <v>0</v>
      </c>
      <c r="P822" s="5">
        <v>0</v>
      </c>
      <c r="Q822" s="5">
        <f>+$P822*BC822</f>
        <v>0</v>
      </c>
      <c r="R822" s="5">
        <f>+$P822*BD822</f>
        <v>0</v>
      </c>
      <c r="S822" s="5">
        <f>+$P822*BE822</f>
        <v>0</v>
      </c>
      <c r="T822" s="5">
        <f>+$P822*BF822</f>
        <v>0</v>
      </c>
      <c r="U822" s="5">
        <f>+$P822*BG822</f>
        <v>0</v>
      </c>
      <c r="V822" s="5">
        <f>+$P822*BH822</f>
        <v>0</v>
      </c>
      <c r="W822" s="5">
        <f>+$P822*BI822</f>
        <v>0</v>
      </c>
      <c r="X822" s="5">
        <f>+$P822*BJ822</f>
        <v>0</v>
      </c>
      <c r="Y822" s="5">
        <f>+$P822*BK822</f>
        <v>0</v>
      </c>
      <c r="Z822" s="5">
        <f>+$P822*BL822</f>
        <v>0</v>
      </c>
      <c r="AA822" s="5">
        <f>+$P822*BM822</f>
        <v>0</v>
      </c>
      <c r="AB822" s="5">
        <f>+$P822*BN822</f>
        <v>0</v>
      </c>
      <c r="AC822" s="5">
        <v>0</v>
      </c>
      <c r="AD822" s="5">
        <f>+$AC822*BC822</f>
        <v>0</v>
      </c>
      <c r="AE822" s="5">
        <f>+$AC822*BD822</f>
        <v>0</v>
      </c>
      <c r="AF822" s="5">
        <f>+$AC822*BE822</f>
        <v>0</v>
      </c>
      <c r="AG822" s="5">
        <f>+$AC822*BF822</f>
        <v>0</v>
      </c>
      <c r="AH822" s="5">
        <f>+$AC822*BG822</f>
        <v>0</v>
      </c>
      <c r="AI822" s="5">
        <f>+$AC822*BH822</f>
        <v>0</v>
      </c>
      <c r="AJ822" s="5">
        <f>+$AC822*BI822</f>
        <v>0</v>
      </c>
      <c r="AK822" s="5">
        <f>+$AC822*BJ822</f>
        <v>0</v>
      </c>
      <c r="AL822" s="5">
        <f>+$AC822*BK822</f>
        <v>0</v>
      </c>
      <c r="AM822" s="5">
        <f>+$AC822*BL822</f>
        <v>0</v>
      </c>
      <c r="AN822" s="5">
        <f>+$AC822*BM822</f>
        <v>0</v>
      </c>
      <c r="AO822" s="5">
        <f>+$AC822*BN822</f>
        <v>0</v>
      </c>
      <c r="AP822" s="5">
        <f>+AC822+P822+C822</f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2">
        <v>8.9181565948742242E-2</v>
      </c>
      <c r="BD822" s="2">
        <v>0.10665277883445198</v>
      </c>
      <c r="BE822" s="2">
        <v>9.438849084854764E-2</v>
      </c>
      <c r="BF822" s="2">
        <v>7.149564986855049E-2</v>
      </c>
      <c r="BG822" s="2">
        <v>0.10368571810536763</v>
      </c>
      <c r="BH822" s="2">
        <v>8.4970330952544637E-2</v>
      </c>
      <c r="BI822" s="2">
        <v>8.4593878877262704E-2</v>
      </c>
      <c r="BJ822" s="2">
        <v>5.7447105462779965E-2</v>
      </c>
      <c r="BK822" s="2">
        <v>8.5153852345557474E-2</v>
      </c>
      <c r="BL822" s="2">
        <v>7.4158058913035174E-2</v>
      </c>
      <c r="BM822" s="2">
        <v>7.5718189192107169E-2</v>
      </c>
      <c r="BN822" s="2">
        <v>7.3955559365675619E-2</v>
      </c>
    </row>
    <row r="823" spans="1:66" x14ac:dyDescent="0.25">
      <c r="A823" s="8">
        <v>6500</v>
      </c>
      <c r="B823" s="8" t="s">
        <v>173</v>
      </c>
      <c r="C823" s="5">
        <v>0</v>
      </c>
      <c r="D823" s="5">
        <f>+$C823*BC823</f>
        <v>0</v>
      </c>
      <c r="E823" s="5">
        <f>+$C823*BD823</f>
        <v>0</v>
      </c>
      <c r="F823" s="5">
        <f>+$C823*BE823</f>
        <v>0</v>
      </c>
      <c r="G823" s="5">
        <f>+$C823*BF823</f>
        <v>0</v>
      </c>
      <c r="H823" s="5">
        <f>+$C823*BG823</f>
        <v>0</v>
      </c>
      <c r="I823" s="5">
        <f>+$C823*BH823</f>
        <v>0</v>
      </c>
      <c r="J823" s="5">
        <f>+$C823*BI823</f>
        <v>0</v>
      </c>
      <c r="K823" s="5">
        <f>+$C823*BJ823</f>
        <v>0</v>
      </c>
      <c r="L823" s="5">
        <f>+$C823*BK823</f>
        <v>0</v>
      </c>
      <c r="M823" s="5">
        <f>+$C823*BL823</f>
        <v>0</v>
      </c>
      <c r="N823" s="5">
        <f>+$C823*BM823</f>
        <v>0</v>
      </c>
      <c r="O823" s="5">
        <f>+$C823*BN823</f>
        <v>0</v>
      </c>
      <c r="P823" s="5">
        <v>0</v>
      </c>
      <c r="Q823" s="5">
        <f>+$P823*BC823</f>
        <v>0</v>
      </c>
      <c r="R823" s="5">
        <f>+$P823*BD823</f>
        <v>0</v>
      </c>
      <c r="S823" s="5">
        <f>+$P823*BE823</f>
        <v>0</v>
      </c>
      <c r="T823" s="5">
        <f>+$P823*BF823</f>
        <v>0</v>
      </c>
      <c r="U823" s="5">
        <f>+$P823*BG823</f>
        <v>0</v>
      </c>
      <c r="V823" s="5">
        <f>+$P823*BH823</f>
        <v>0</v>
      </c>
      <c r="W823" s="5">
        <f>+$P823*BI823</f>
        <v>0</v>
      </c>
      <c r="X823" s="5">
        <f>+$P823*BJ823</f>
        <v>0</v>
      </c>
      <c r="Y823" s="5">
        <f>+$P823*BK823</f>
        <v>0</v>
      </c>
      <c r="Z823" s="5">
        <f>+$P823*BL823</f>
        <v>0</v>
      </c>
      <c r="AA823" s="5">
        <f>+$P823*BM823</f>
        <v>0</v>
      </c>
      <c r="AB823" s="5">
        <f>+$P823*BN823</f>
        <v>0</v>
      </c>
      <c r="AC823" s="5">
        <v>0</v>
      </c>
      <c r="AD823" s="5">
        <f>+$AC823*BC823</f>
        <v>0</v>
      </c>
      <c r="AE823" s="5">
        <f>+$AC823*BD823</f>
        <v>0</v>
      </c>
      <c r="AF823" s="5">
        <f>+$AC823*BE823</f>
        <v>0</v>
      </c>
      <c r="AG823" s="5">
        <f>+$AC823*BF823</f>
        <v>0</v>
      </c>
      <c r="AH823" s="5">
        <f>+$AC823*BG823</f>
        <v>0</v>
      </c>
      <c r="AI823" s="5">
        <f>+$AC823*BH823</f>
        <v>0</v>
      </c>
      <c r="AJ823" s="5">
        <f>+$AC823*BI823</f>
        <v>0</v>
      </c>
      <c r="AK823" s="5">
        <f>+$AC823*BJ823</f>
        <v>0</v>
      </c>
      <c r="AL823" s="5">
        <f>+$AC823*BK823</f>
        <v>0</v>
      </c>
      <c r="AM823" s="5">
        <f>+$AC823*BL823</f>
        <v>0</v>
      </c>
      <c r="AN823" s="5">
        <f>+$AC823*BM823</f>
        <v>0</v>
      </c>
      <c r="AO823" s="5">
        <f>+$AC823*BN823</f>
        <v>0</v>
      </c>
      <c r="AP823" s="5">
        <f>+AC823+P823+C823</f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2">
        <v>8.9181565948742242E-2</v>
      </c>
      <c r="BD823" s="2">
        <v>0.10665277883445198</v>
      </c>
      <c r="BE823" s="2">
        <v>9.438849084854764E-2</v>
      </c>
      <c r="BF823" s="2">
        <v>7.149564986855049E-2</v>
      </c>
      <c r="BG823" s="2">
        <v>0.10368571810536763</v>
      </c>
      <c r="BH823" s="2">
        <v>8.4970330952544637E-2</v>
      </c>
      <c r="BI823" s="2">
        <v>8.4593878877262704E-2</v>
      </c>
      <c r="BJ823" s="2">
        <v>5.7447105462779965E-2</v>
      </c>
      <c r="BK823" s="2">
        <v>8.5153852345557474E-2</v>
      </c>
      <c r="BL823" s="2">
        <v>7.4158058913035174E-2</v>
      </c>
      <c r="BM823" s="2">
        <v>7.5718189192107169E-2</v>
      </c>
      <c r="BN823" s="2">
        <v>7.3955559365675619E-2</v>
      </c>
    </row>
    <row r="824" spans="1:66" x14ac:dyDescent="0.25">
      <c r="A824" s="8">
        <v>6504</v>
      </c>
      <c r="B824" s="8" t="s">
        <v>172</v>
      </c>
      <c r="C824" s="5">
        <v>0</v>
      </c>
      <c r="D824" s="5">
        <f>+$C824*BC824</f>
        <v>0</v>
      </c>
      <c r="E824" s="5">
        <f>+$C824*BD824</f>
        <v>0</v>
      </c>
      <c r="F824" s="5">
        <f>+$C824*BE824</f>
        <v>0</v>
      </c>
      <c r="G824" s="5">
        <f>+$C824*BF824</f>
        <v>0</v>
      </c>
      <c r="H824" s="5">
        <f>+$C824*BG824</f>
        <v>0</v>
      </c>
      <c r="I824" s="5">
        <f>+$C824*BH824</f>
        <v>0</v>
      </c>
      <c r="J824" s="5">
        <f>+$C824*BI824</f>
        <v>0</v>
      </c>
      <c r="K824" s="5">
        <f>+$C824*BJ824</f>
        <v>0</v>
      </c>
      <c r="L824" s="5">
        <f>+$C824*BK824</f>
        <v>0</v>
      </c>
      <c r="M824" s="5">
        <f>+$C824*BL824</f>
        <v>0</v>
      </c>
      <c r="N824" s="5">
        <f>+$C824*BM824</f>
        <v>0</v>
      </c>
      <c r="O824" s="5">
        <f>+$C824*BN824</f>
        <v>0</v>
      </c>
      <c r="P824" s="5">
        <v>0</v>
      </c>
      <c r="Q824" s="5">
        <f>+$P824*BC824</f>
        <v>0</v>
      </c>
      <c r="R824" s="5">
        <f>+$P824*BD824</f>
        <v>0</v>
      </c>
      <c r="S824" s="5">
        <f>+$P824*BE824</f>
        <v>0</v>
      </c>
      <c r="T824" s="5">
        <f>+$P824*BF824</f>
        <v>0</v>
      </c>
      <c r="U824" s="5">
        <f>+$P824*BG824</f>
        <v>0</v>
      </c>
      <c r="V824" s="5">
        <f>+$P824*BH824</f>
        <v>0</v>
      </c>
      <c r="W824" s="5">
        <f>+$P824*BI824</f>
        <v>0</v>
      </c>
      <c r="X824" s="5">
        <f>+$P824*BJ824</f>
        <v>0</v>
      </c>
      <c r="Y824" s="5">
        <f>+$P824*BK824</f>
        <v>0</v>
      </c>
      <c r="Z824" s="5">
        <f>+$P824*BL824</f>
        <v>0</v>
      </c>
      <c r="AA824" s="5">
        <f>+$P824*BM824</f>
        <v>0</v>
      </c>
      <c r="AB824" s="5">
        <f>+$P824*BN824</f>
        <v>0</v>
      </c>
      <c r="AC824" s="5">
        <v>0</v>
      </c>
      <c r="AD824" s="5">
        <f>+$AC824*BC824</f>
        <v>0</v>
      </c>
      <c r="AE824" s="5">
        <f>+$AC824*BD824</f>
        <v>0</v>
      </c>
      <c r="AF824" s="5">
        <f>+$AC824*BE824</f>
        <v>0</v>
      </c>
      <c r="AG824" s="5">
        <f>+$AC824*BF824</f>
        <v>0</v>
      </c>
      <c r="AH824" s="5">
        <f>+$AC824*BG824</f>
        <v>0</v>
      </c>
      <c r="AI824" s="5">
        <f>+$AC824*BH824</f>
        <v>0</v>
      </c>
      <c r="AJ824" s="5">
        <f>+$AC824*BI824</f>
        <v>0</v>
      </c>
      <c r="AK824" s="5">
        <f>+$AC824*BJ824</f>
        <v>0</v>
      </c>
      <c r="AL824" s="5">
        <f>+$AC824*BK824</f>
        <v>0</v>
      </c>
      <c r="AM824" s="5">
        <f>+$AC824*BL824</f>
        <v>0</v>
      </c>
      <c r="AN824" s="5">
        <f>+$AC824*BM824</f>
        <v>0</v>
      </c>
      <c r="AO824" s="5">
        <f>+$AC824*BN824</f>
        <v>0</v>
      </c>
      <c r="AP824" s="5">
        <f>+AC824+P824+C824</f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2">
        <v>8.9181565948742242E-2</v>
      </c>
      <c r="BD824" s="2">
        <v>0.10665277883445198</v>
      </c>
      <c r="BE824" s="2">
        <v>9.438849084854764E-2</v>
      </c>
      <c r="BF824" s="2">
        <v>7.149564986855049E-2</v>
      </c>
      <c r="BG824" s="2">
        <v>0.10368571810536763</v>
      </c>
      <c r="BH824" s="2">
        <v>8.4970330952544637E-2</v>
      </c>
      <c r="BI824" s="2">
        <v>8.4593878877262704E-2</v>
      </c>
      <c r="BJ824" s="2">
        <v>5.7447105462779965E-2</v>
      </c>
      <c r="BK824" s="2">
        <v>8.5153852345557474E-2</v>
      </c>
      <c r="BL824" s="2">
        <v>7.4158058913035174E-2</v>
      </c>
      <c r="BM824" s="2">
        <v>7.5718189192107169E-2</v>
      </c>
      <c r="BN824" s="2">
        <v>7.3955559365675619E-2</v>
      </c>
    </row>
    <row r="825" spans="1:66" x14ac:dyDescent="0.25">
      <c r="A825" s="8">
        <v>6505</v>
      </c>
      <c r="B825" s="8" t="s">
        <v>171</v>
      </c>
      <c r="C825" s="5">
        <v>0</v>
      </c>
      <c r="D825" s="5">
        <f>+$C825*BC825</f>
        <v>0</v>
      </c>
      <c r="E825" s="5">
        <f>+$C825*BD825</f>
        <v>0</v>
      </c>
      <c r="F825" s="5">
        <f>+$C825*BE825</f>
        <v>0</v>
      </c>
      <c r="G825" s="5">
        <f>+$C825*BF825</f>
        <v>0</v>
      </c>
      <c r="H825" s="5">
        <f>+$C825*BG825</f>
        <v>0</v>
      </c>
      <c r="I825" s="5">
        <f>+$C825*BH825</f>
        <v>0</v>
      </c>
      <c r="J825" s="5">
        <f>+$C825*BI825</f>
        <v>0</v>
      </c>
      <c r="K825" s="5">
        <f>+$C825*BJ825</f>
        <v>0</v>
      </c>
      <c r="L825" s="5">
        <f>+$C825*BK825</f>
        <v>0</v>
      </c>
      <c r="M825" s="5">
        <f>+$C825*BL825</f>
        <v>0</v>
      </c>
      <c r="N825" s="5">
        <f>+$C825*BM825</f>
        <v>0</v>
      </c>
      <c r="O825" s="5">
        <f>+$C825*BN825</f>
        <v>0</v>
      </c>
      <c r="P825" s="5">
        <v>0</v>
      </c>
      <c r="Q825" s="5">
        <f>+$P825*BC825</f>
        <v>0</v>
      </c>
      <c r="R825" s="5">
        <f>+$P825*BD825</f>
        <v>0</v>
      </c>
      <c r="S825" s="5">
        <f>+$P825*BE825</f>
        <v>0</v>
      </c>
      <c r="T825" s="5">
        <f>+$P825*BF825</f>
        <v>0</v>
      </c>
      <c r="U825" s="5">
        <f>+$P825*BG825</f>
        <v>0</v>
      </c>
      <c r="V825" s="5">
        <f>+$P825*BH825</f>
        <v>0</v>
      </c>
      <c r="W825" s="5">
        <f>+$P825*BI825</f>
        <v>0</v>
      </c>
      <c r="X825" s="5">
        <f>+$P825*BJ825</f>
        <v>0</v>
      </c>
      <c r="Y825" s="5">
        <f>+$P825*BK825</f>
        <v>0</v>
      </c>
      <c r="Z825" s="5">
        <f>+$P825*BL825</f>
        <v>0</v>
      </c>
      <c r="AA825" s="5">
        <f>+$P825*BM825</f>
        <v>0</v>
      </c>
      <c r="AB825" s="5">
        <f>+$P825*BN825</f>
        <v>0</v>
      </c>
      <c r="AC825" s="5">
        <v>0</v>
      </c>
      <c r="AD825" s="5">
        <f>+$AC825*BC825</f>
        <v>0</v>
      </c>
      <c r="AE825" s="5">
        <f>+$AC825*BD825</f>
        <v>0</v>
      </c>
      <c r="AF825" s="5">
        <f>+$AC825*BE825</f>
        <v>0</v>
      </c>
      <c r="AG825" s="5">
        <f>+$AC825*BF825</f>
        <v>0</v>
      </c>
      <c r="AH825" s="5">
        <f>+$AC825*BG825</f>
        <v>0</v>
      </c>
      <c r="AI825" s="5">
        <f>+$AC825*BH825</f>
        <v>0</v>
      </c>
      <c r="AJ825" s="5">
        <f>+$AC825*BI825</f>
        <v>0</v>
      </c>
      <c r="AK825" s="5">
        <f>+$AC825*BJ825</f>
        <v>0</v>
      </c>
      <c r="AL825" s="5">
        <f>+$AC825*BK825</f>
        <v>0</v>
      </c>
      <c r="AM825" s="5">
        <f>+$AC825*BL825</f>
        <v>0</v>
      </c>
      <c r="AN825" s="5">
        <f>+$AC825*BM825</f>
        <v>0</v>
      </c>
      <c r="AO825" s="5">
        <f>+$AC825*BN825</f>
        <v>0</v>
      </c>
      <c r="AP825" s="5">
        <f>+AC825+P825+C825</f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2">
        <v>8.9181565948742242E-2</v>
      </c>
      <c r="BD825" s="2">
        <v>0.10665277883445198</v>
      </c>
      <c r="BE825" s="2">
        <v>9.438849084854764E-2</v>
      </c>
      <c r="BF825" s="2">
        <v>7.149564986855049E-2</v>
      </c>
      <c r="BG825" s="2">
        <v>0.10368571810536763</v>
      </c>
      <c r="BH825" s="2">
        <v>8.4970330952544637E-2</v>
      </c>
      <c r="BI825" s="2">
        <v>8.4593878877262704E-2</v>
      </c>
      <c r="BJ825" s="2">
        <v>5.7447105462779965E-2</v>
      </c>
      <c r="BK825" s="2">
        <v>8.5153852345557474E-2</v>
      </c>
      <c r="BL825" s="2">
        <v>7.4158058913035174E-2</v>
      </c>
      <c r="BM825" s="2">
        <v>7.5718189192107169E-2</v>
      </c>
      <c r="BN825" s="2">
        <v>7.3955559365675619E-2</v>
      </c>
    </row>
    <row r="826" spans="1:66" x14ac:dyDescent="0.25">
      <c r="A826" s="8">
        <v>6506</v>
      </c>
      <c r="B826" s="8" t="s">
        <v>170</v>
      </c>
      <c r="C826" s="5">
        <v>0</v>
      </c>
      <c r="D826" s="5">
        <f>+$C826*BC826</f>
        <v>0</v>
      </c>
      <c r="E826" s="5">
        <f>+$C826*BD826</f>
        <v>0</v>
      </c>
      <c r="F826" s="5">
        <f>+$C826*BE826</f>
        <v>0</v>
      </c>
      <c r="G826" s="5">
        <f>+$C826*BF826</f>
        <v>0</v>
      </c>
      <c r="H826" s="5">
        <f>+$C826*BG826</f>
        <v>0</v>
      </c>
      <c r="I826" s="5">
        <f>+$C826*BH826</f>
        <v>0</v>
      </c>
      <c r="J826" s="5">
        <f>+$C826*BI826</f>
        <v>0</v>
      </c>
      <c r="K826" s="5">
        <f>+$C826*BJ826</f>
        <v>0</v>
      </c>
      <c r="L826" s="5">
        <f>+$C826*BK826</f>
        <v>0</v>
      </c>
      <c r="M826" s="5">
        <f>+$C826*BL826</f>
        <v>0</v>
      </c>
      <c r="N826" s="5">
        <f>+$C826*BM826</f>
        <v>0</v>
      </c>
      <c r="O826" s="5">
        <f>+$C826*BN826</f>
        <v>0</v>
      </c>
      <c r="P826" s="5">
        <v>0</v>
      </c>
      <c r="Q826" s="5">
        <f>+$P826*BC826</f>
        <v>0</v>
      </c>
      <c r="R826" s="5">
        <f>+$P826*BD826</f>
        <v>0</v>
      </c>
      <c r="S826" s="5">
        <f>+$P826*BE826</f>
        <v>0</v>
      </c>
      <c r="T826" s="5">
        <f>+$P826*BF826</f>
        <v>0</v>
      </c>
      <c r="U826" s="5">
        <f>+$P826*BG826</f>
        <v>0</v>
      </c>
      <c r="V826" s="5">
        <f>+$P826*BH826</f>
        <v>0</v>
      </c>
      <c r="W826" s="5">
        <f>+$P826*BI826</f>
        <v>0</v>
      </c>
      <c r="X826" s="5">
        <f>+$P826*BJ826</f>
        <v>0</v>
      </c>
      <c r="Y826" s="5">
        <f>+$P826*BK826</f>
        <v>0</v>
      </c>
      <c r="Z826" s="5">
        <f>+$P826*BL826</f>
        <v>0</v>
      </c>
      <c r="AA826" s="5">
        <f>+$P826*BM826</f>
        <v>0</v>
      </c>
      <c r="AB826" s="5">
        <f>+$P826*BN826</f>
        <v>0</v>
      </c>
      <c r="AC826" s="5">
        <v>0</v>
      </c>
      <c r="AD826" s="5">
        <f>+$AC826*BC826</f>
        <v>0</v>
      </c>
      <c r="AE826" s="5">
        <f>+$AC826*BD826</f>
        <v>0</v>
      </c>
      <c r="AF826" s="5">
        <f>+$AC826*BE826</f>
        <v>0</v>
      </c>
      <c r="AG826" s="5">
        <f>+$AC826*BF826</f>
        <v>0</v>
      </c>
      <c r="AH826" s="5">
        <f>+$AC826*BG826</f>
        <v>0</v>
      </c>
      <c r="AI826" s="5">
        <f>+$AC826*BH826</f>
        <v>0</v>
      </c>
      <c r="AJ826" s="5">
        <f>+$AC826*BI826</f>
        <v>0</v>
      </c>
      <c r="AK826" s="5">
        <f>+$AC826*BJ826</f>
        <v>0</v>
      </c>
      <c r="AL826" s="5">
        <f>+$AC826*BK826</f>
        <v>0</v>
      </c>
      <c r="AM826" s="5">
        <f>+$AC826*BL826</f>
        <v>0</v>
      </c>
      <c r="AN826" s="5">
        <f>+$AC826*BM826</f>
        <v>0</v>
      </c>
      <c r="AO826" s="5">
        <f>+$AC826*BN826</f>
        <v>0</v>
      </c>
      <c r="AP826" s="5">
        <f>+AC826+P826+C826</f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2">
        <v>8.9181565948742242E-2</v>
      </c>
      <c r="BD826" s="2">
        <v>0.10665277883445198</v>
      </c>
      <c r="BE826" s="2">
        <v>9.438849084854764E-2</v>
      </c>
      <c r="BF826" s="2">
        <v>7.149564986855049E-2</v>
      </c>
      <c r="BG826" s="2">
        <v>0.10368571810536763</v>
      </c>
      <c r="BH826" s="2">
        <v>8.4970330952544637E-2</v>
      </c>
      <c r="BI826" s="2">
        <v>8.4593878877262704E-2</v>
      </c>
      <c r="BJ826" s="2">
        <v>5.7447105462779965E-2</v>
      </c>
      <c r="BK826" s="2">
        <v>8.5153852345557474E-2</v>
      </c>
      <c r="BL826" s="2">
        <v>7.4158058913035174E-2</v>
      </c>
      <c r="BM826" s="2">
        <v>7.5718189192107169E-2</v>
      </c>
      <c r="BN826" s="2">
        <v>7.3955559365675619E-2</v>
      </c>
    </row>
    <row r="827" spans="1:66" x14ac:dyDescent="0.25">
      <c r="A827" s="8">
        <v>6507</v>
      </c>
      <c r="B827" s="8" t="s">
        <v>169</v>
      </c>
      <c r="C827" s="5">
        <v>0</v>
      </c>
      <c r="D827" s="5">
        <f>+$C827*BC827</f>
        <v>0</v>
      </c>
      <c r="E827" s="5">
        <f>+$C827*BD827</f>
        <v>0</v>
      </c>
      <c r="F827" s="5">
        <f>+$C827*BE827</f>
        <v>0</v>
      </c>
      <c r="G827" s="5">
        <f>+$C827*BF827</f>
        <v>0</v>
      </c>
      <c r="H827" s="5">
        <f>+$C827*BG827</f>
        <v>0</v>
      </c>
      <c r="I827" s="5">
        <f>+$C827*BH827</f>
        <v>0</v>
      </c>
      <c r="J827" s="5">
        <f>+$C827*BI827</f>
        <v>0</v>
      </c>
      <c r="K827" s="5">
        <f>+$C827*BJ827</f>
        <v>0</v>
      </c>
      <c r="L827" s="5">
        <f>+$C827*BK827</f>
        <v>0</v>
      </c>
      <c r="M827" s="5">
        <f>+$C827*BL827</f>
        <v>0</v>
      </c>
      <c r="N827" s="5">
        <f>+$C827*BM827</f>
        <v>0</v>
      </c>
      <c r="O827" s="5">
        <f>+$C827*BN827</f>
        <v>0</v>
      </c>
      <c r="P827" s="5">
        <v>0</v>
      </c>
      <c r="Q827" s="5">
        <f>+$P827*BC827</f>
        <v>0</v>
      </c>
      <c r="R827" s="5">
        <f>+$P827*BD827</f>
        <v>0</v>
      </c>
      <c r="S827" s="5">
        <f>+$P827*BE827</f>
        <v>0</v>
      </c>
      <c r="T827" s="5">
        <f>+$P827*BF827</f>
        <v>0</v>
      </c>
      <c r="U827" s="5">
        <f>+$P827*BG827</f>
        <v>0</v>
      </c>
      <c r="V827" s="5">
        <f>+$P827*BH827</f>
        <v>0</v>
      </c>
      <c r="W827" s="5">
        <f>+$P827*BI827</f>
        <v>0</v>
      </c>
      <c r="X827" s="5">
        <f>+$P827*BJ827</f>
        <v>0</v>
      </c>
      <c r="Y827" s="5">
        <f>+$P827*BK827</f>
        <v>0</v>
      </c>
      <c r="Z827" s="5">
        <f>+$P827*BL827</f>
        <v>0</v>
      </c>
      <c r="AA827" s="5">
        <f>+$P827*BM827</f>
        <v>0</v>
      </c>
      <c r="AB827" s="5">
        <f>+$P827*BN827</f>
        <v>0</v>
      </c>
      <c r="AC827" s="5">
        <v>0</v>
      </c>
      <c r="AD827" s="5">
        <f>+$AC827*BC827</f>
        <v>0</v>
      </c>
      <c r="AE827" s="5">
        <f>+$AC827*BD827</f>
        <v>0</v>
      </c>
      <c r="AF827" s="5">
        <f>+$AC827*BE827</f>
        <v>0</v>
      </c>
      <c r="AG827" s="5">
        <f>+$AC827*BF827</f>
        <v>0</v>
      </c>
      <c r="AH827" s="5">
        <f>+$AC827*BG827</f>
        <v>0</v>
      </c>
      <c r="AI827" s="5">
        <f>+$AC827*BH827</f>
        <v>0</v>
      </c>
      <c r="AJ827" s="5">
        <f>+$AC827*BI827</f>
        <v>0</v>
      </c>
      <c r="AK827" s="5">
        <f>+$AC827*BJ827</f>
        <v>0</v>
      </c>
      <c r="AL827" s="5">
        <f>+$AC827*BK827</f>
        <v>0</v>
      </c>
      <c r="AM827" s="5">
        <f>+$AC827*BL827</f>
        <v>0</v>
      </c>
      <c r="AN827" s="5">
        <f>+$AC827*BM827</f>
        <v>0</v>
      </c>
      <c r="AO827" s="5">
        <f>+$AC827*BN827</f>
        <v>0</v>
      </c>
      <c r="AP827" s="5">
        <f>+AC827+P827+C827</f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2">
        <v>8.9181565948742242E-2</v>
      </c>
      <c r="BD827" s="2">
        <v>0.10665277883445198</v>
      </c>
      <c r="BE827" s="2">
        <v>9.438849084854764E-2</v>
      </c>
      <c r="BF827" s="2">
        <v>7.149564986855049E-2</v>
      </c>
      <c r="BG827" s="2">
        <v>0.10368571810536763</v>
      </c>
      <c r="BH827" s="2">
        <v>8.4970330952544637E-2</v>
      </c>
      <c r="BI827" s="2">
        <v>8.4593878877262704E-2</v>
      </c>
      <c r="BJ827" s="2">
        <v>5.7447105462779965E-2</v>
      </c>
      <c r="BK827" s="2">
        <v>8.5153852345557474E-2</v>
      </c>
      <c r="BL827" s="2">
        <v>7.4158058913035174E-2</v>
      </c>
      <c r="BM827" s="2">
        <v>7.5718189192107169E-2</v>
      </c>
      <c r="BN827" s="2">
        <v>7.3955559365675619E-2</v>
      </c>
    </row>
    <row r="828" spans="1:66" x14ac:dyDescent="0.25">
      <c r="A828" s="8">
        <v>6510</v>
      </c>
      <c r="B828" s="8" t="s">
        <v>168</v>
      </c>
      <c r="C828" s="5">
        <v>0</v>
      </c>
      <c r="D828" s="5">
        <f>+$C828*BC828</f>
        <v>0</v>
      </c>
      <c r="E828" s="5">
        <f>+$C828*BD828</f>
        <v>0</v>
      </c>
      <c r="F828" s="5">
        <f>+$C828*BE828</f>
        <v>0</v>
      </c>
      <c r="G828" s="5">
        <f>+$C828*BF828</f>
        <v>0</v>
      </c>
      <c r="H828" s="5">
        <f>+$C828*BG828</f>
        <v>0</v>
      </c>
      <c r="I828" s="5">
        <f>+$C828*BH828</f>
        <v>0</v>
      </c>
      <c r="J828" s="5">
        <f>+$C828*BI828</f>
        <v>0</v>
      </c>
      <c r="K828" s="5">
        <f>+$C828*BJ828</f>
        <v>0</v>
      </c>
      <c r="L828" s="5">
        <f>+$C828*BK828</f>
        <v>0</v>
      </c>
      <c r="M828" s="5">
        <f>+$C828*BL828</f>
        <v>0</v>
      </c>
      <c r="N828" s="5">
        <f>+$C828*BM828</f>
        <v>0</v>
      </c>
      <c r="O828" s="5">
        <f>+$C828*BN828</f>
        <v>0</v>
      </c>
      <c r="P828" s="5">
        <v>0</v>
      </c>
      <c r="Q828" s="5">
        <f>+$P828*BC828</f>
        <v>0</v>
      </c>
      <c r="R828" s="5">
        <f>+$P828*BD828</f>
        <v>0</v>
      </c>
      <c r="S828" s="5">
        <f>+$P828*BE828</f>
        <v>0</v>
      </c>
      <c r="T828" s="5">
        <f>+$P828*BF828</f>
        <v>0</v>
      </c>
      <c r="U828" s="5">
        <f>+$P828*BG828</f>
        <v>0</v>
      </c>
      <c r="V828" s="5">
        <f>+$P828*BH828</f>
        <v>0</v>
      </c>
      <c r="W828" s="5">
        <f>+$P828*BI828</f>
        <v>0</v>
      </c>
      <c r="X828" s="5">
        <f>+$P828*BJ828</f>
        <v>0</v>
      </c>
      <c r="Y828" s="5">
        <f>+$P828*BK828</f>
        <v>0</v>
      </c>
      <c r="Z828" s="5">
        <f>+$P828*BL828</f>
        <v>0</v>
      </c>
      <c r="AA828" s="5">
        <f>+$P828*BM828</f>
        <v>0</v>
      </c>
      <c r="AB828" s="5">
        <f>+$P828*BN828</f>
        <v>0</v>
      </c>
      <c r="AC828" s="5">
        <v>0</v>
      </c>
      <c r="AD828" s="5">
        <f>+$AC828*BC828</f>
        <v>0</v>
      </c>
      <c r="AE828" s="5">
        <f>+$AC828*BD828</f>
        <v>0</v>
      </c>
      <c r="AF828" s="5">
        <f>+$AC828*BE828</f>
        <v>0</v>
      </c>
      <c r="AG828" s="5">
        <f>+$AC828*BF828</f>
        <v>0</v>
      </c>
      <c r="AH828" s="5">
        <f>+$AC828*BG828</f>
        <v>0</v>
      </c>
      <c r="AI828" s="5">
        <f>+$AC828*BH828</f>
        <v>0</v>
      </c>
      <c r="AJ828" s="5">
        <f>+$AC828*BI828</f>
        <v>0</v>
      </c>
      <c r="AK828" s="5">
        <f>+$AC828*BJ828</f>
        <v>0</v>
      </c>
      <c r="AL828" s="5">
        <f>+$AC828*BK828</f>
        <v>0</v>
      </c>
      <c r="AM828" s="5">
        <f>+$AC828*BL828</f>
        <v>0</v>
      </c>
      <c r="AN828" s="5">
        <f>+$AC828*BM828</f>
        <v>0</v>
      </c>
      <c r="AO828" s="5">
        <f>+$AC828*BN828</f>
        <v>0</v>
      </c>
      <c r="AP828" s="5">
        <f>+AC828+P828+C828</f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2">
        <v>8.9181565948742242E-2</v>
      </c>
      <c r="BD828" s="2">
        <v>0.10665277883445198</v>
      </c>
      <c r="BE828" s="2">
        <v>9.438849084854764E-2</v>
      </c>
      <c r="BF828" s="2">
        <v>7.149564986855049E-2</v>
      </c>
      <c r="BG828" s="2">
        <v>0.10368571810536763</v>
      </c>
      <c r="BH828" s="2">
        <v>8.4970330952544637E-2</v>
      </c>
      <c r="BI828" s="2">
        <v>8.4593878877262704E-2</v>
      </c>
      <c r="BJ828" s="2">
        <v>5.7447105462779965E-2</v>
      </c>
      <c r="BK828" s="2">
        <v>8.5153852345557474E-2</v>
      </c>
      <c r="BL828" s="2">
        <v>7.4158058913035174E-2</v>
      </c>
      <c r="BM828" s="2">
        <v>7.5718189192107169E-2</v>
      </c>
      <c r="BN828" s="2">
        <v>7.3955559365675619E-2</v>
      </c>
    </row>
    <row r="829" spans="1:66" x14ac:dyDescent="0.25">
      <c r="A829" s="8">
        <v>6515</v>
      </c>
      <c r="B829" s="8" t="s">
        <v>167</v>
      </c>
      <c r="C829" s="5">
        <v>0</v>
      </c>
      <c r="D829" s="5">
        <f>+$C829*BC829</f>
        <v>0</v>
      </c>
      <c r="E829" s="5">
        <f>+$C829*BD829</f>
        <v>0</v>
      </c>
      <c r="F829" s="5">
        <f>+$C829*BE829</f>
        <v>0</v>
      </c>
      <c r="G829" s="5">
        <f>+$C829*BF829</f>
        <v>0</v>
      </c>
      <c r="H829" s="5">
        <f>+$C829*BG829</f>
        <v>0</v>
      </c>
      <c r="I829" s="5">
        <f>+$C829*BH829</f>
        <v>0</v>
      </c>
      <c r="J829" s="5">
        <f>+$C829*BI829</f>
        <v>0</v>
      </c>
      <c r="K829" s="5">
        <f>+$C829*BJ829</f>
        <v>0</v>
      </c>
      <c r="L829" s="5">
        <f>+$C829*BK829</f>
        <v>0</v>
      </c>
      <c r="M829" s="5">
        <f>+$C829*BL829</f>
        <v>0</v>
      </c>
      <c r="N829" s="5">
        <f>+$C829*BM829</f>
        <v>0</v>
      </c>
      <c r="O829" s="5">
        <f>+$C829*BN829</f>
        <v>0</v>
      </c>
      <c r="P829" s="5">
        <v>0</v>
      </c>
      <c r="Q829" s="5">
        <f>+$P829*BC829</f>
        <v>0</v>
      </c>
      <c r="R829" s="5">
        <f>+$P829*BD829</f>
        <v>0</v>
      </c>
      <c r="S829" s="5">
        <f>+$P829*BE829</f>
        <v>0</v>
      </c>
      <c r="T829" s="5">
        <f>+$P829*BF829</f>
        <v>0</v>
      </c>
      <c r="U829" s="5">
        <f>+$P829*BG829</f>
        <v>0</v>
      </c>
      <c r="V829" s="5">
        <f>+$P829*BH829</f>
        <v>0</v>
      </c>
      <c r="W829" s="5">
        <f>+$P829*BI829</f>
        <v>0</v>
      </c>
      <c r="X829" s="5">
        <f>+$P829*BJ829</f>
        <v>0</v>
      </c>
      <c r="Y829" s="5">
        <f>+$P829*BK829</f>
        <v>0</v>
      </c>
      <c r="Z829" s="5">
        <f>+$P829*BL829</f>
        <v>0</v>
      </c>
      <c r="AA829" s="5">
        <f>+$P829*BM829</f>
        <v>0</v>
      </c>
      <c r="AB829" s="5">
        <f>+$P829*BN829</f>
        <v>0</v>
      </c>
      <c r="AC829" s="5">
        <v>0</v>
      </c>
      <c r="AD829" s="5">
        <f>+$AC829*BC829</f>
        <v>0</v>
      </c>
      <c r="AE829" s="5">
        <f>+$AC829*BD829</f>
        <v>0</v>
      </c>
      <c r="AF829" s="5">
        <f>+$AC829*BE829</f>
        <v>0</v>
      </c>
      <c r="AG829" s="5">
        <f>+$AC829*BF829</f>
        <v>0</v>
      </c>
      <c r="AH829" s="5">
        <f>+$AC829*BG829</f>
        <v>0</v>
      </c>
      <c r="AI829" s="5">
        <f>+$AC829*BH829</f>
        <v>0</v>
      </c>
      <c r="AJ829" s="5">
        <f>+$AC829*BI829</f>
        <v>0</v>
      </c>
      <c r="AK829" s="5">
        <f>+$AC829*BJ829</f>
        <v>0</v>
      </c>
      <c r="AL829" s="5">
        <f>+$AC829*BK829</f>
        <v>0</v>
      </c>
      <c r="AM829" s="5">
        <f>+$AC829*BL829</f>
        <v>0</v>
      </c>
      <c r="AN829" s="5">
        <f>+$AC829*BM829</f>
        <v>0</v>
      </c>
      <c r="AO829" s="5">
        <f>+$AC829*BN829</f>
        <v>0</v>
      </c>
      <c r="AP829" s="5">
        <f>+AC829+P829+C829</f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2">
        <v>8.9181565948742242E-2</v>
      </c>
      <c r="BD829" s="2">
        <v>0.10665277883445198</v>
      </c>
      <c r="BE829" s="2">
        <v>9.438849084854764E-2</v>
      </c>
      <c r="BF829" s="2">
        <v>7.149564986855049E-2</v>
      </c>
      <c r="BG829" s="2">
        <v>0.10368571810536763</v>
      </c>
      <c r="BH829" s="2">
        <v>8.4970330952544637E-2</v>
      </c>
      <c r="BI829" s="2">
        <v>8.4593878877262704E-2</v>
      </c>
      <c r="BJ829" s="2">
        <v>5.7447105462779965E-2</v>
      </c>
      <c r="BK829" s="2">
        <v>8.5153852345557474E-2</v>
      </c>
      <c r="BL829" s="2">
        <v>7.4158058913035174E-2</v>
      </c>
      <c r="BM829" s="2">
        <v>7.5718189192107169E-2</v>
      </c>
      <c r="BN829" s="2">
        <v>7.3955559365675619E-2</v>
      </c>
    </row>
    <row r="830" spans="1:66" x14ac:dyDescent="0.25">
      <c r="A830" s="8">
        <v>6518</v>
      </c>
      <c r="B830" s="8" t="s">
        <v>166</v>
      </c>
      <c r="C830" s="5">
        <v>0</v>
      </c>
      <c r="D830" s="5">
        <f>+$C830*BC830</f>
        <v>0</v>
      </c>
      <c r="E830" s="5">
        <f>+$C830*BD830</f>
        <v>0</v>
      </c>
      <c r="F830" s="5">
        <f>+$C830*BE830</f>
        <v>0</v>
      </c>
      <c r="G830" s="5">
        <f>+$C830*BF830</f>
        <v>0</v>
      </c>
      <c r="H830" s="5">
        <f>+$C830*BG830</f>
        <v>0</v>
      </c>
      <c r="I830" s="5">
        <f>+$C830*BH830</f>
        <v>0</v>
      </c>
      <c r="J830" s="5">
        <f>+$C830*BI830</f>
        <v>0</v>
      </c>
      <c r="K830" s="5">
        <f>+$C830*BJ830</f>
        <v>0</v>
      </c>
      <c r="L830" s="5">
        <f>+$C830*BK830</f>
        <v>0</v>
      </c>
      <c r="M830" s="5">
        <f>+$C830*BL830</f>
        <v>0</v>
      </c>
      <c r="N830" s="5">
        <f>+$C830*BM830</f>
        <v>0</v>
      </c>
      <c r="O830" s="5">
        <f>+$C830*BN830</f>
        <v>0</v>
      </c>
      <c r="P830" s="5">
        <v>0</v>
      </c>
      <c r="Q830" s="5">
        <f>+$P830*BC830</f>
        <v>0</v>
      </c>
      <c r="R830" s="5">
        <f>+$P830*BD830</f>
        <v>0</v>
      </c>
      <c r="S830" s="5">
        <f>+$P830*BE830</f>
        <v>0</v>
      </c>
      <c r="T830" s="5">
        <f>+$P830*BF830</f>
        <v>0</v>
      </c>
      <c r="U830" s="5">
        <f>+$P830*BG830</f>
        <v>0</v>
      </c>
      <c r="V830" s="5">
        <f>+$P830*BH830</f>
        <v>0</v>
      </c>
      <c r="W830" s="5">
        <f>+$P830*BI830</f>
        <v>0</v>
      </c>
      <c r="X830" s="5">
        <f>+$P830*BJ830</f>
        <v>0</v>
      </c>
      <c r="Y830" s="5">
        <f>+$P830*BK830</f>
        <v>0</v>
      </c>
      <c r="Z830" s="5">
        <f>+$P830*BL830</f>
        <v>0</v>
      </c>
      <c r="AA830" s="5">
        <f>+$P830*BM830</f>
        <v>0</v>
      </c>
      <c r="AB830" s="5">
        <f>+$P830*BN830</f>
        <v>0</v>
      </c>
      <c r="AC830" s="5">
        <v>0</v>
      </c>
      <c r="AD830" s="5">
        <f>+$AC830*BC830</f>
        <v>0</v>
      </c>
      <c r="AE830" s="5">
        <f>+$AC830*BD830</f>
        <v>0</v>
      </c>
      <c r="AF830" s="5">
        <f>+$AC830*BE830</f>
        <v>0</v>
      </c>
      <c r="AG830" s="5">
        <f>+$AC830*BF830</f>
        <v>0</v>
      </c>
      <c r="AH830" s="5">
        <f>+$AC830*BG830</f>
        <v>0</v>
      </c>
      <c r="AI830" s="5">
        <f>+$AC830*BH830</f>
        <v>0</v>
      </c>
      <c r="AJ830" s="5">
        <f>+$AC830*BI830</f>
        <v>0</v>
      </c>
      <c r="AK830" s="5">
        <f>+$AC830*BJ830</f>
        <v>0</v>
      </c>
      <c r="AL830" s="5">
        <f>+$AC830*BK830</f>
        <v>0</v>
      </c>
      <c r="AM830" s="5">
        <f>+$AC830*BL830</f>
        <v>0</v>
      </c>
      <c r="AN830" s="5">
        <f>+$AC830*BM830</f>
        <v>0</v>
      </c>
      <c r="AO830" s="5">
        <f>+$AC830*BN830</f>
        <v>0</v>
      </c>
      <c r="AP830" s="5">
        <f>+AC830+P830+C830</f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2">
        <v>8.9181565948742242E-2</v>
      </c>
      <c r="BD830" s="2">
        <v>0.10665277883445198</v>
      </c>
      <c r="BE830" s="2">
        <v>9.438849084854764E-2</v>
      </c>
      <c r="BF830" s="2">
        <v>7.149564986855049E-2</v>
      </c>
      <c r="BG830" s="2">
        <v>0.10368571810536763</v>
      </c>
      <c r="BH830" s="2">
        <v>8.4970330952544637E-2</v>
      </c>
      <c r="BI830" s="2">
        <v>8.4593878877262704E-2</v>
      </c>
      <c r="BJ830" s="2">
        <v>5.7447105462779965E-2</v>
      </c>
      <c r="BK830" s="2">
        <v>8.5153852345557474E-2</v>
      </c>
      <c r="BL830" s="2">
        <v>7.4158058913035174E-2</v>
      </c>
      <c r="BM830" s="2">
        <v>7.5718189192107169E-2</v>
      </c>
      <c r="BN830" s="2">
        <v>7.3955559365675619E-2</v>
      </c>
    </row>
    <row r="831" spans="1:66" x14ac:dyDescent="0.25">
      <c r="A831" s="8">
        <v>6520</v>
      </c>
      <c r="B831" s="8" t="s">
        <v>165</v>
      </c>
      <c r="C831" s="5">
        <v>0</v>
      </c>
      <c r="D831" s="5">
        <f>+$C831*BC831</f>
        <v>0</v>
      </c>
      <c r="E831" s="5">
        <f>+$C831*BD831</f>
        <v>0</v>
      </c>
      <c r="F831" s="5">
        <f>+$C831*BE831</f>
        <v>0</v>
      </c>
      <c r="G831" s="5">
        <f>+$C831*BF831</f>
        <v>0</v>
      </c>
      <c r="H831" s="5">
        <f>+$C831*BG831</f>
        <v>0</v>
      </c>
      <c r="I831" s="5">
        <f>+$C831*BH831</f>
        <v>0</v>
      </c>
      <c r="J831" s="5">
        <f>+$C831*BI831</f>
        <v>0</v>
      </c>
      <c r="K831" s="5">
        <f>+$C831*BJ831</f>
        <v>0</v>
      </c>
      <c r="L831" s="5">
        <f>+$C831*BK831</f>
        <v>0</v>
      </c>
      <c r="M831" s="5">
        <f>+$C831*BL831</f>
        <v>0</v>
      </c>
      <c r="N831" s="5">
        <f>+$C831*BM831</f>
        <v>0</v>
      </c>
      <c r="O831" s="5">
        <f>+$C831*BN831</f>
        <v>0</v>
      </c>
      <c r="P831" s="5">
        <v>0</v>
      </c>
      <c r="Q831" s="5">
        <f>+$P831*BC831</f>
        <v>0</v>
      </c>
      <c r="R831" s="5">
        <f>+$P831*BD831</f>
        <v>0</v>
      </c>
      <c r="S831" s="5">
        <f>+$P831*BE831</f>
        <v>0</v>
      </c>
      <c r="T831" s="5">
        <f>+$P831*BF831</f>
        <v>0</v>
      </c>
      <c r="U831" s="5">
        <f>+$P831*BG831</f>
        <v>0</v>
      </c>
      <c r="V831" s="5">
        <f>+$P831*BH831</f>
        <v>0</v>
      </c>
      <c r="W831" s="5">
        <f>+$P831*BI831</f>
        <v>0</v>
      </c>
      <c r="X831" s="5">
        <f>+$P831*BJ831</f>
        <v>0</v>
      </c>
      <c r="Y831" s="5">
        <f>+$P831*BK831</f>
        <v>0</v>
      </c>
      <c r="Z831" s="5">
        <f>+$P831*BL831</f>
        <v>0</v>
      </c>
      <c r="AA831" s="5">
        <f>+$P831*BM831</f>
        <v>0</v>
      </c>
      <c r="AB831" s="5">
        <f>+$P831*BN831</f>
        <v>0</v>
      </c>
      <c r="AC831" s="5">
        <v>0</v>
      </c>
      <c r="AD831" s="5">
        <f>+$AC831*BC831</f>
        <v>0</v>
      </c>
      <c r="AE831" s="5">
        <f>+$AC831*BD831</f>
        <v>0</v>
      </c>
      <c r="AF831" s="5">
        <f>+$AC831*BE831</f>
        <v>0</v>
      </c>
      <c r="AG831" s="5">
        <f>+$AC831*BF831</f>
        <v>0</v>
      </c>
      <c r="AH831" s="5">
        <f>+$AC831*BG831</f>
        <v>0</v>
      </c>
      <c r="AI831" s="5">
        <f>+$AC831*BH831</f>
        <v>0</v>
      </c>
      <c r="AJ831" s="5">
        <f>+$AC831*BI831</f>
        <v>0</v>
      </c>
      <c r="AK831" s="5">
        <f>+$AC831*BJ831</f>
        <v>0</v>
      </c>
      <c r="AL831" s="5">
        <f>+$AC831*BK831</f>
        <v>0</v>
      </c>
      <c r="AM831" s="5">
        <f>+$AC831*BL831</f>
        <v>0</v>
      </c>
      <c r="AN831" s="5">
        <f>+$AC831*BM831</f>
        <v>0</v>
      </c>
      <c r="AO831" s="5">
        <f>+$AC831*BN831</f>
        <v>0</v>
      </c>
      <c r="AP831" s="5">
        <f>+AC831+P831+C831</f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2">
        <v>8.9181565948742242E-2</v>
      </c>
      <c r="BD831" s="2">
        <v>0.10665277883445198</v>
      </c>
      <c r="BE831" s="2">
        <v>9.438849084854764E-2</v>
      </c>
      <c r="BF831" s="2">
        <v>7.149564986855049E-2</v>
      </c>
      <c r="BG831" s="2">
        <v>0.10368571810536763</v>
      </c>
      <c r="BH831" s="2">
        <v>8.4970330952544637E-2</v>
      </c>
      <c r="BI831" s="2">
        <v>8.4593878877262704E-2</v>
      </c>
      <c r="BJ831" s="2">
        <v>5.7447105462779965E-2</v>
      </c>
      <c r="BK831" s="2">
        <v>8.5153852345557474E-2</v>
      </c>
      <c r="BL831" s="2">
        <v>7.4158058913035174E-2</v>
      </c>
      <c r="BM831" s="2">
        <v>7.5718189192107169E-2</v>
      </c>
      <c r="BN831" s="2">
        <v>7.3955559365675619E-2</v>
      </c>
    </row>
    <row r="832" spans="1:66" x14ac:dyDescent="0.25">
      <c r="A832" s="8">
        <v>6521</v>
      </c>
      <c r="B832" s="8" t="s">
        <v>164</v>
      </c>
      <c r="C832" s="5">
        <v>0</v>
      </c>
      <c r="D832" s="5">
        <f>+$C832*BC832</f>
        <v>0</v>
      </c>
      <c r="E832" s="5">
        <f>+$C832*BD832</f>
        <v>0</v>
      </c>
      <c r="F832" s="5">
        <f>+$C832*BE832</f>
        <v>0</v>
      </c>
      <c r="G832" s="5">
        <f>+$C832*BF832</f>
        <v>0</v>
      </c>
      <c r="H832" s="5">
        <f>+$C832*BG832</f>
        <v>0</v>
      </c>
      <c r="I832" s="5">
        <f>+$C832*BH832</f>
        <v>0</v>
      </c>
      <c r="J832" s="5">
        <f>+$C832*BI832</f>
        <v>0</v>
      </c>
      <c r="K832" s="5">
        <f>+$C832*BJ832</f>
        <v>0</v>
      </c>
      <c r="L832" s="5">
        <f>+$C832*BK832</f>
        <v>0</v>
      </c>
      <c r="M832" s="5">
        <f>+$C832*BL832</f>
        <v>0</v>
      </c>
      <c r="N832" s="5">
        <f>+$C832*BM832</f>
        <v>0</v>
      </c>
      <c r="O832" s="5">
        <f>+$C832*BN832</f>
        <v>0</v>
      </c>
      <c r="P832" s="5">
        <v>0</v>
      </c>
      <c r="Q832" s="5">
        <f>+$P832*BC832</f>
        <v>0</v>
      </c>
      <c r="R832" s="5">
        <f>+$P832*BD832</f>
        <v>0</v>
      </c>
      <c r="S832" s="5">
        <f>+$P832*BE832</f>
        <v>0</v>
      </c>
      <c r="T832" s="5">
        <f>+$P832*BF832</f>
        <v>0</v>
      </c>
      <c r="U832" s="5">
        <f>+$P832*BG832</f>
        <v>0</v>
      </c>
      <c r="V832" s="5">
        <f>+$P832*BH832</f>
        <v>0</v>
      </c>
      <c r="W832" s="5">
        <f>+$P832*BI832</f>
        <v>0</v>
      </c>
      <c r="X832" s="5">
        <f>+$P832*BJ832</f>
        <v>0</v>
      </c>
      <c r="Y832" s="5">
        <f>+$P832*BK832</f>
        <v>0</v>
      </c>
      <c r="Z832" s="5">
        <f>+$P832*BL832</f>
        <v>0</v>
      </c>
      <c r="AA832" s="5">
        <f>+$P832*BM832</f>
        <v>0</v>
      </c>
      <c r="AB832" s="5">
        <f>+$P832*BN832</f>
        <v>0</v>
      </c>
      <c r="AC832" s="5">
        <v>0</v>
      </c>
      <c r="AD832" s="5">
        <f>+$AC832*BC832</f>
        <v>0</v>
      </c>
      <c r="AE832" s="5">
        <f>+$AC832*BD832</f>
        <v>0</v>
      </c>
      <c r="AF832" s="5">
        <f>+$AC832*BE832</f>
        <v>0</v>
      </c>
      <c r="AG832" s="5">
        <f>+$AC832*BF832</f>
        <v>0</v>
      </c>
      <c r="AH832" s="5">
        <f>+$AC832*BG832</f>
        <v>0</v>
      </c>
      <c r="AI832" s="5">
        <f>+$AC832*BH832</f>
        <v>0</v>
      </c>
      <c r="AJ832" s="5">
        <f>+$AC832*BI832</f>
        <v>0</v>
      </c>
      <c r="AK832" s="5">
        <f>+$AC832*BJ832</f>
        <v>0</v>
      </c>
      <c r="AL832" s="5">
        <f>+$AC832*BK832</f>
        <v>0</v>
      </c>
      <c r="AM832" s="5">
        <f>+$AC832*BL832</f>
        <v>0</v>
      </c>
      <c r="AN832" s="5">
        <f>+$AC832*BM832</f>
        <v>0</v>
      </c>
      <c r="AO832" s="5">
        <f>+$AC832*BN832</f>
        <v>0</v>
      </c>
      <c r="AP832" s="5">
        <f>+AC832+P832+C832</f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2">
        <v>8.9181565948742242E-2</v>
      </c>
      <c r="BD832" s="2">
        <v>0.10665277883445198</v>
      </c>
      <c r="BE832" s="2">
        <v>9.438849084854764E-2</v>
      </c>
      <c r="BF832" s="2">
        <v>7.149564986855049E-2</v>
      </c>
      <c r="BG832" s="2">
        <v>0.10368571810536763</v>
      </c>
      <c r="BH832" s="2">
        <v>8.4970330952544637E-2</v>
      </c>
      <c r="BI832" s="2">
        <v>8.4593878877262704E-2</v>
      </c>
      <c r="BJ832" s="2">
        <v>5.7447105462779965E-2</v>
      </c>
      <c r="BK832" s="2">
        <v>8.5153852345557474E-2</v>
      </c>
      <c r="BL832" s="2">
        <v>7.4158058913035174E-2</v>
      </c>
      <c r="BM832" s="2">
        <v>7.5718189192107169E-2</v>
      </c>
      <c r="BN832" s="2">
        <v>7.3955559365675619E-2</v>
      </c>
    </row>
    <row r="833" spans="1:66" x14ac:dyDescent="0.25">
      <c r="A833" s="8">
        <v>6522</v>
      </c>
      <c r="B833" s="8" t="s">
        <v>163</v>
      </c>
      <c r="C833" s="5">
        <v>0</v>
      </c>
      <c r="D833" s="5">
        <f>+$C833*BC833</f>
        <v>0</v>
      </c>
      <c r="E833" s="5">
        <f>+$C833*BD833</f>
        <v>0</v>
      </c>
      <c r="F833" s="5">
        <f>+$C833*BE833</f>
        <v>0</v>
      </c>
      <c r="G833" s="5">
        <f>+$C833*BF833</f>
        <v>0</v>
      </c>
      <c r="H833" s="5">
        <f>+$C833*BG833</f>
        <v>0</v>
      </c>
      <c r="I833" s="5">
        <f>+$C833*BH833</f>
        <v>0</v>
      </c>
      <c r="J833" s="5">
        <f>+$C833*BI833</f>
        <v>0</v>
      </c>
      <c r="K833" s="5">
        <f>+$C833*BJ833</f>
        <v>0</v>
      </c>
      <c r="L833" s="5">
        <f>+$C833*BK833</f>
        <v>0</v>
      </c>
      <c r="M833" s="5">
        <f>+$C833*BL833</f>
        <v>0</v>
      </c>
      <c r="N833" s="5">
        <f>+$C833*BM833</f>
        <v>0</v>
      </c>
      <c r="O833" s="5">
        <f>+$C833*BN833</f>
        <v>0</v>
      </c>
      <c r="P833" s="5">
        <v>0</v>
      </c>
      <c r="Q833" s="5">
        <f>+$P833*BC833</f>
        <v>0</v>
      </c>
      <c r="R833" s="5">
        <f>+$P833*BD833</f>
        <v>0</v>
      </c>
      <c r="S833" s="5">
        <f>+$P833*BE833</f>
        <v>0</v>
      </c>
      <c r="T833" s="5">
        <f>+$P833*BF833</f>
        <v>0</v>
      </c>
      <c r="U833" s="5">
        <f>+$P833*BG833</f>
        <v>0</v>
      </c>
      <c r="V833" s="5">
        <f>+$P833*BH833</f>
        <v>0</v>
      </c>
      <c r="W833" s="5">
        <f>+$P833*BI833</f>
        <v>0</v>
      </c>
      <c r="X833" s="5">
        <f>+$P833*BJ833</f>
        <v>0</v>
      </c>
      <c r="Y833" s="5">
        <f>+$P833*BK833</f>
        <v>0</v>
      </c>
      <c r="Z833" s="5">
        <f>+$P833*BL833</f>
        <v>0</v>
      </c>
      <c r="AA833" s="5">
        <f>+$P833*BM833</f>
        <v>0</v>
      </c>
      <c r="AB833" s="5">
        <f>+$P833*BN833</f>
        <v>0</v>
      </c>
      <c r="AC833" s="5">
        <v>0</v>
      </c>
      <c r="AD833" s="5">
        <f>+$AC833*BC833</f>
        <v>0</v>
      </c>
      <c r="AE833" s="5">
        <f>+$AC833*BD833</f>
        <v>0</v>
      </c>
      <c r="AF833" s="5">
        <f>+$AC833*BE833</f>
        <v>0</v>
      </c>
      <c r="AG833" s="5">
        <f>+$AC833*BF833</f>
        <v>0</v>
      </c>
      <c r="AH833" s="5">
        <f>+$AC833*BG833</f>
        <v>0</v>
      </c>
      <c r="AI833" s="5">
        <f>+$AC833*BH833</f>
        <v>0</v>
      </c>
      <c r="AJ833" s="5">
        <f>+$AC833*BI833</f>
        <v>0</v>
      </c>
      <c r="AK833" s="5">
        <f>+$AC833*BJ833</f>
        <v>0</v>
      </c>
      <c r="AL833" s="5">
        <f>+$AC833*BK833</f>
        <v>0</v>
      </c>
      <c r="AM833" s="5">
        <f>+$AC833*BL833</f>
        <v>0</v>
      </c>
      <c r="AN833" s="5">
        <f>+$AC833*BM833</f>
        <v>0</v>
      </c>
      <c r="AO833" s="5">
        <f>+$AC833*BN833</f>
        <v>0</v>
      </c>
      <c r="AP833" s="5">
        <f>+AC833+P833+C833</f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2">
        <v>8.9181565948742242E-2</v>
      </c>
      <c r="BD833" s="2">
        <v>0.10665277883445198</v>
      </c>
      <c r="BE833" s="2">
        <v>9.438849084854764E-2</v>
      </c>
      <c r="BF833" s="2">
        <v>7.149564986855049E-2</v>
      </c>
      <c r="BG833" s="2">
        <v>0.10368571810536763</v>
      </c>
      <c r="BH833" s="2">
        <v>8.4970330952544637E-2</v>
      </c>
      <c r="BI833" s="2">
        <v>8.4593878877262704E-2</v>
      </c>
      <c r="BJ833" s="2">
        <v>5.7447105462779965E-2</v>
      </c>
      <c r="BK833" s="2">
        <v>8.5153852345557474E-2</v>
      </c>
      <c r="BL833" s="2">
        <v>7.4158058913035174E-2</v>
      </c>
      <c r="BM833" s="2">
        <v>7.5718189192107169E-2</v>
      </c>
      <c r="BN833" s="2">
        <v>7.3955559365675619E-2</v>
      </c>
    </row>
    <row r="834" spans="1:66" x14ac:dyDescent="0.25">
      <c r="A834" s="8">
        <v>6524</v>
      </c>
      <c r="B834" s="8" t="s">
        <v>162</v>
      </c>
      <c r="C834" s="5">
        <v>0</v>
      </c>
      <c r="D834" s="5">
        <f>+$C834*BC834</f>
        <v>0</v>
      </c>
      <c r="E834" s="5">
        <f>+$C834*BD834</f>
        <v>0</v>
      </c>
      <c r="F834" s="5">
        <f>+$C834*BE834</f>
        <v>0</v>
      </c>
      <c r="G834" s="5">
        <f>+$C834*BF834</f>
        <v>0</v>
      </c>
      <c r="H834" s="5">
        <f>+$C834*BG834</f>
        <v>0</v>
      </c>
      <c r="I834" s="5">
        <f>+$C834*BH834</f>
        <v>0</v>
      </c>
      <c r="J834" s="5">
        <f>+$C834*BI834</f>
        <v>0</v>
      </c>
      <c r="K834" s="5">
        <f>+$C834*BJ834</f>
        <v>0</v>
      </c>
      <c r="L834" s="5">
        <f>+$C834*BK834</f>
        <v>0</v>
      </c>
      <c r="M834" s="5">
        <f>+$C834*BL834</f>
        <v>0</v>
      </c>
      <c r="N834" s="5">
        <f>+$C834*BM834</f>
        <v>0</v>
      </c>
      <c r="O834" s="5">
        <f>+$C834*BN834</f>
        <v>0</v>
      </c>
      <c r="P834" s="5">
        <v>0</v>
      </c>
      <c r="Q834" s="5">
        <f>+$P834*BC834</f>
        <v>0</v>
      </c>
      <c r="R834" s="5">
        <f>+$P834*BD834</f>
        <v>0</v>
      </c>
      <c r="S834" s="5">
        <f>+$P834*BE834</f>
        <v>0</v>
      </c>
      <c r="T834" s="5">
        <f>+$P834*BF834</f>
        <v>0</v>
      </c>
      <c r="U834" s="5">
        <f>+$P834*BG834</f>
        <v>0</v>
      </c>
      <c r="V834" s="5">
        <f>+$P834*BH834</f>
        <v>0</v>
      </c>
      <c r="W834" s="5">
        <f>+$P834*BI834</f>
        <v>0</v>
      </c>
      <c r="X834" s="5">
        <f>+$P834*BJ834</f>
        <v>0</v>
      </c>
      <c r="Y834" s="5">
        <f>+$P834*BK834</f>
        <v>0</v>
      </c>
      <c r="Z834" s="5">
        <f>+$P834*BL834</f>
        <v>0</v>
      </c>
      <c r="AA834" s="5">
        <f>+$P834*BM834</f>
        <v>0</v>
      </c>
      <c r="AB834" s="5">
        <f>+$P834*BN834</f>
        <v>0</v>
      </c>
      <c r="AC834" s="5">
        <v>1500</v>
      </c>
      <c r="AD834" s="5">
        <f>+$AC834*BC834</f>
        <v>133.77234892311336</v>
      </c>
      <c r="AE834" s="5">
        <f>+$AC834*BD834</f>
        <v>159.97916825167798</v>
      </c>
      <c r="AF834" s="5">
        <f>+$AC834*BE834</f>
        <v>141.58273627282145</v>
      </c>
      <c r="AG834" s="5">
        <f>+$AC834*BF834</f>
        <v>107.24347480282573</v>
      </c>
      <c r="AH834" s="5">
        <f>+$AC834*BG834</f>
        <v>155.52857715805143</v>
      </c>
      <c r="AI834" s="5">
        <f>+$AC834*BH834</f>
        <v>127.45549642881696</v>
      </c>
      <c r="AJ834" s="5">
        <f>+$AC834*BI834</f>
        <v>126.89081831589405</v>
      </c>
      <c r="AK834" s="5">
        <f>+$AC834*BJ834</f>
        <v>86.170658194169945</v>
      </c>
      <c r="AL834" s="5">
        <f>+$AC834*BK834</f>
        <v>127.73077851833621</v>
      </c>
      <c r="AM834" s="5">
        <f>+$AC834*BL834</f>
        <v>111.23708836955277</v>
      </c>
      <c r="AN834" s="5">
        <f>+$AC834*BM834</f>
        <v>113.57728378816076</v>
      </c>
      <c r="AO834" s="5">
        <f>+$AC834*BN834</f>
        <v>110.93333904851343</v>
      </c>
      <c r="AP834" s="5">
        <f>+AC834+P834+C834</f>
        <v>1500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2">
        <v>8.9181565948742242E-2</v>
      </c>
      <c r="BD834" s="2">
        <v>0.10665277883445198</v>
      </c>
      <c r="BE834" s="2">
        <v>9.438849084854764E-2</v>
      </c>
      <c r="BF834" s="2">
        <v>7.149564986855049E-2</v>
      </c>
      <c r="BG834" s="2">
        <v>0.10368571810536763</v>
      </c>
      <c r="BH834" s="2">
        <v>8.4970330952544637E-2</v>
      </c>
      <c r="BI834" s="2">
        <v>8.4593878877262704E-2</v>
      </c>
      <c r="BJ834" s="2">
        <v>5.7447105462779965E-2</v>
      </c>
      <c r="BK834" s="2">
        <v>8.5153852345557474E-2</v>
      </c>
      <c r="BL834" s="2">
        <v>7.4158058913035174E-2</v>
      </c>
      <c r="BM834" s="2">
        <v>7.5718189192107169E-2</v>
      </c>
      <c r="BN834" s="2">
        <v>7.3955559365675619E-2</v>
      </c>
    </row>
    <row r="835" spans="1:66" x14ac:dyDescent="0.25">
      <c r="A835" s="8">
        <v>6526</v>
      </c>
      <c r="B835" s="8" t="s">
        <v>161</v>
      </c>
      <c r="C835" s="5">
        <v>0</v>
      </c>
      <c r="D835" s="5">
        <f>+$C835*BC835</f>
        <v>0</v>
      </c>
      <c r="E835" s="5">
        <f>+$C835*BD835</f>
        <v>0</v>
      </c>
      <c r="F835" s="5">
        <f>+$C835*BE835</f>
        <v>0</v>
      </c>
      <c r="G835" s="5">
        <f>+$C835*BF835</f>
        <v>0</v>
      </c>
      <c r="H835" s="5">
        <f>+$C835*BG835</f>
        <v>0</v>
      </c>
      <c r="I835" s="5">
        <f>+$C835*BH835</f>
        <v>0</v>
      </c>
      <c r="J835" s="5">
        <f>+$C835*BI835</f>
        <v>0</v>
      </c>
      <c r="K835" s="5">
        <f>+$C835*BJ835</f>
        <v>0</v>
      </c>
      <c r="L835" s="5">
        <f>+$C835*BK835</f>
        <v>0</v>
      </c>
      <c r="M835" s="5">
        <f>+$C835*BL835</f>
        <v>0</v>
      </c>
      <c r="N835" s="5">
        <f>+$C835*BM835</f>
        <v>0</v>
      </c>
      <c r="O835" s="5">
        <f>+$C835*BN835</f>
        <v>0</v>
      </c>
      <c r="P835" s="5">
        <v>0</v>
      </c>
      <c r="Q835" s="5">
        <f>+$P835*BC835</f>
        <v>0</v>
      </c>
      <c r="R835" s="5">
        <f>+$P835*BD835</f>
        <v>0</v>
      </c>
      <c r="S835" s="5">
        <f>+$P835*BE835</f>
        <v>0</v>
      </c>
      <c r="T835" s="5">
        <f>+$P835*BF835</f>
        <v>0</v>
      </c>
      <c r="U835" s="5">
        <f>+$P835*BG835</f>
        <v>0</v>
      </c>
      <c r="V835" s="5">
        <f>+$P835*BH835</f>
        <v>0</v>
      </c>
      <c r="W835" s="5">
        <f>+$P835*BI835</f>
        <v>0</v>
      </c>
      <c r="X835" s="5">
        <f>+$P835*BJ835</f>
        <v>0</v>
      </c>
      <c r="Y835" s="5">
        <f>+$P835*BK835</f>
        <v>0</v>
      </c>
      <c r="Z835" s="5">
        <f>+$P835*BL835</f>
        <v>0</v>
      </c>
      <c r="AA835" s="5">
        <f>+$P835*BM835</f>
        <v>0</v>
      </c>
      <c r="AB835" s="5">
        <f>+$P835*BN835</f>
        <v>0</v>
      </c>
      <c r="AC835" s="5">
        <v>0</v>
      </c>
      <c r="AD835" s="5">
        <f>+$AC835*BC835</f>
        <v>0</v>
      </c>
      <c r="AE835" s="5">
        <f>+$AC835*BD835</f>
        <v>0</v>
      </c>
      <c r="AF835" s="5">
        <f>+$AC835*BE835</f>
        <v>0</v>
      </c>
      <c r="AG835" s="5">
        <f>+$AC835*BF835</f>
        <v>0</v>
      </c>
      <c r="AH835" s="5">
        <f>+$AC835*BG835</f>
        <v>0</v>
      </c>
      <c r="AI835" s="5">
        <f>+$AC835*BH835</f>
        <v>0</v>
      </c>
      <c r="AJ835" s="5">
        <f>+$AC835*BI835</f>
        <v>0</v>
      </c>
      <c r="AK835" s="5">
        <f>+$AC835*BJ835</f>
        <v>0</v>
      </c>
      <c r="AL835" s="5">
        <f>+$AC835*BK835</f>
        <v>0</v>
      </c>
      <c r="AM835" s="5">
        <f>+$AC835*BL835</f>
        <v>0</v>
      </c>
      <c r="AN835" s="5">
        <f>+$AC835*BM835</f>
        <v>0</v>
      </c>
      <c r="AO835" s="5">
        <f>+$AC835*BN835</f>
        <v>0</v>
      </c>
      <c r="AP835" s="5">
        <f>+AC835+P835+C835</f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2">
        <v>8.9181565948742242E-2</v>
      </c>
      <c r="BD835" s="2">
        <v>0.10665277883445198</v>
      </c>
      <c r="BE835" s="2">
        <v>9.438849084854764E-2</v>
      </c>
      <c r="BF835" s="2">
        <v>7.149564986855049E-2</v>
      </c>
      <c r="BG835" s="2">
        <v>0.10368571810536763</v>
      </c>
      <c r="BH835" s="2">
        <v>8.4970330952544637E-2</v>
      </c>
      <c r="BI835" s="2">
        <v>8.4593878877262704E-2</v>
      </c>
      <c r="BJ835" s="2">
        <v>5.7447105462779965E-2</v>
      </c>
      <c r="BK835" s="2">
        <v>8.5153852345557474E-2</v>
      </c>
      <c r="BL835" s="2">
        <v>7.4158058913035174E-2</v>
      </c>
      <c r="BM835" s="2">
        <v>7.5718189192107169E-2</v>
      </c>
      <c r="BN835" s="2">
        <v>7.3955559365675619E-2</v>
      </c>
    </row>
    <row r="836" spans="1:66" x14ac:dyDescent="0.25">
      <c r="A836" s="8">
        <v>6529</v>
      </c>
      <c r="B836" s="8" t="s">
        <v>160</v>
      </c>
      <c r="C836" s="5">
        <v>0</v>
      </c>
      <c r="D836" s="5">
        <f>+$C836*BC836</f>
        <v>0</v>
      </c>
      <c r="E836" s="5">
        <f>+$C836*BD836</f>
        <v>0</v>
      </c>
      <c r="F836" s="5">
        <f>+$C836*BE836</f>
        <v>0</v>
      </c>
      <c r="G836" s="5">
        <f>+$C836*BF836</f>
        <v>0</v>
      </c>
      <c r="H836" s="5">
        <f>+$C836*BG836</f>
        <v>0</v>
      </c>
      <c r="I836" s="5">
        <f>+$C836*BH836</f>
        <v>0</v>
      </c>
      <c r="J836" s="5">
        <f>+$C836*BI836</f>
        <v>0</v>
      </c>
      <c r="K836" s="5">
        <f>+$C836*BJ836</f>
        <v>0</v>
      </c>
      <c r="L836" s="5">
        <f>+$C836*BK836</f>
        <v>0</v>
      </c>
      <c r="M836" s="5">
        <f>+$C836*BL836</f>
        <v>0</v>
      </c>
      <c r="N836" s="5">
        <f>+$C836*BM836</f>
        <v>0</v>
      </c>
      <c r="O836" s="5">
        <f>+$C836*BN836</f>
        <v>0</v>
      </c>
      <c r="P836" s="5">
        <v>0</v>
      </c>
      <c r="Q836" s="5">
        <f>+$P836*BC836</f>
        <v>0</v>
      </c>
      <c r="R836" s="5">
        <f>+$P836*BD836</f>
        <v>0</v>
      </c>
      <c r="S836" s="5">
        <f>+$P836*BE836</f>
        <v>0</v>
      </c>
      <c r="T836" s="5">
        <f>+$P836*BF836</f>
        <v>0</v>
      </c>
      <c r="U836" s="5">
        <f>+$P836*BG836</f>
        <v>0</v>
      </c>
      <c r="V836" s="5">
        <f>+$P836*BH836</f>
        <v>0</v>
      </c>
      <c r="W836" s="5">
        <f>+$P836*BI836</f>
        <v>0</v>
      </c>
      <c r="X836" s="5">
        <f>+$P836*BJ836</f>
        <v>0</v>
      </c>
      <c r="Y836" s="5">
        <f>+$P836*BK836</f>
        <v>0</v>
      </c>
      <c r="Z836" s="5">
        <f>+$P836*BL836</f>
        <v>0</v>
      </c>
      <c r="AA836" s="5">
        <f>+$P836*BM836</f>
        <v>0</v>
      </c>
      <c r="AB836" s="5">
        <f>+$P836*BN836</f>
        <v>0</v>
      </c>
      <c r="AC836" s="5">
        <v>0</v>
      </c>
      <c r="AD836" s="5">
        <f>+$AC836*BC836</f>
        <v>0</v>
      </c>
      <c r="AE836" s="5">
        <f>+$AC836*BD836</f>
        <v>0</v>
      </c>
      <c r="AF836" s="5">
        <f>+$AC836*BE836</f>
        <v>0</v>
      </c>
      <c r="AG836" s="5">
        <f>+$AC836*BF836</f>
        <v>0</v>
      </c>
      <c r="AH836" s="5">
        <f>+$AC836*BG836</f>
        <v>0</v>
      </c>
      <c r="AI836" s="5">
        <f>+$AC836*BH836</f>
        <v>0</v>
      </c>
      <c r="AJ836" s="5">
        <f>+$AC836*BI836</f>
        <v>0</v>
      </c>
      <c r="AK836" s="5">
        <f>+$AC836*BJ836</f>
        <v>0</v>
      </c>
      <c r="AL836" s="5">
        <f>+$AC836*BK836</f>
        <v>0</v>
      </c>
      <c r="AM836" s="5">
        <f>+$AC836*BL836</f>
        <v>0</v>
      </c>
      <c r="AN836" s="5">
        <f>+$AC836*BM836</f>
        <v>0</v>
      </c>
      <c r="AO836" s="5">
        <f>+$AC836*BN836</f>
        <v>0</v>
      </c>
      <c r="AP836" s="5">
        <f>+AC836+P836+C836</f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2">
        <v>8.9181565948742242E-2</v>
      </c>
      <c r="BD836" s="2">
        <v>0.10665277883445198</v>
      </c>
      <c r="BE836" s="2">
        <v>9.438849084854764E-2</v>
      </c>
      <c r="BF836" s="2">
        <v>7.149564986855049E-2</v>
      </c>
      <c r="BG836" s="2">
        <v>0.10368571810536763</v>
      </c>
      <c r="BH836" s="2">
        <v>8.4970330952544637E-2</v>
      </c>
      <c r="BI836" s="2">
        <v>8.4593878877262704E-2</v>
      </c>
      <c r="BJ836" s="2">
        <v>5.7447105462779965E-2</v>
      </c>
      <c r="BK836" s="2">
        <v>8.5153852345557474E-2</v>
      </c>
      <c r="BL836" s="2">
        <v>7.4158058913035174E-2</v>
      </c>
      <c r="BM836" s="2">
        <v>7.5718189192107169E-2</v>
      </c>
      <c r="BN836" s="2">
        <v>7.3955559365675619E-2</v>
      </c>
    </row>
    <row r="837" spans="1:66" x14ac:dyDescent="0.25">
      <c r="A837" s="8">
        <v>6531</v>
      </c>
      <c r="B837" s="8" t="s">
        <v>159</v>
      </c>
      <c r="C837" s="5">
        <v>0</v>
      </c>
      <c r="D837" s="5">
        <f>+$C837*BC837</f>
        <v>0</v>
      </c>
      <c r="E837" s="5">
        <f>+$C837*BD837</f>
        <v>0</v>
      </c>
      <c r="F837" s="5">
        <f>+$C837*BE837</f>
        <v>0</v>
      </c>
      <c r="G837" s="5">
        <f>+$C837*BF837</f>
        <v>0</v>
      </c>
      <c r="H837" s="5">
        <f>+$C837*BG837</f>
        <v>0</v>
      </c>
      <c r="I837" s="5">
        <f>+$C837*BH837</f>
        <v>0</v>
      </c>
      <c r="J837" s="5">
        <f>+$C837*BI837</f>
        <v>0</v>
      </c>
      <c r="K837" s="5">
        <f>+$C837*BJ837</f>
        <v>0</v>
      </c>
      <c r="L837" s="5">
        <f>+$C837*BK837</f>
        <v>0</v>
      </c>
      <c r="M837" s="5">
        <f>+$C837*BL837</f>
        <v>0</v>
      </c>
      <c r="N837" s="5">
        <f>+$C837*BM837</f>
        <v>0</v>
      </c>
      <c r="O837" s="5">
        <f>+$C837*BN837</f>
        <v>0</v>
      </c>
      <c r="P837" s="5">
        <v>0</v>
      </c>
      <c r="Q837" s="5">
        <f>+$P837*BC837</f>
        <v>0</v>
      </c>
      <c r="R837" s="5">
        <f>+$P837*BD837</f>
        <v>0</v>
      </c>
      <c r="S837" s="5">
        <f>+$P837*BE837</f>
        <v>0</v>
      </c>
      <c r="T837" s="5">
        <f>+$P837*BF837</f>
        <v>0</v>
      </c>
      <c r="U837" s="5">
        <f>+$P837*BG837</f>
        <v>0</v>
      </c>
      <c r="V837" s="5">
        <f>+$P837*BH837</f>
        <v>0</v>
      </c>
      <c r="W837" s="5">
        <f>+$P837*BI837</f>
        <v>0</v>
      </c>
      <c r="X837" s="5">
        <f>+$P837*BJ837</f>
        <v>0</v>
      </c>
      <c r="Y837" s="5">
        <f>+$P837*BK837</f>
        <v>0</v>
      </c>
      <c r="Z837" s="5">
        <f>+$P837*BL837</f>
        <v>0</v>
      </c>
      <c r="AA837" s="5">
        <f>+$P837*BM837</f>
        <v>0</v>
      </c>
      <c r="AB837" s="5">
        <f>+$P837*BN837</f>
        <v>0</v>
      </c>
      <c r="AC837" s="5">
        <v>0</v>
      </c>
      <c r="AD837" s="5">
        <f>+$AC837*BC837</f>
        <v>0</v>
      </c>
      <c r="AE837" s="5">
        <f>+$AC837*BD837</f>
        <v>0</v>
      </c>
      <c r="AF837" s="5">
        <f>+$AC837*BE837</f>
        <v>0</v>
      </c>
      <c r="AG837" s="5">
        <f>+$AC837*BF837</f>
        <v>0</v>
      </c>
      <c r="AH837" s="5">
        <f>+$AC837*BG837</f>
        <v>0</v>
      </c>
      <c r="AI837" s="5">
        <f>+$AC837*BH837</f>
        <v>0</v>
      </c>
      <c r="AJ837" s="5">
        <f>+$AC837*BI837</f>
        <v>0</v>
      </c>
      <c r="AK837" s="5">
        <f>+$AC837*BJ837</f>
        <v>0</v>
      </c>
      <c r="AL837" s="5">
        <f>+$AC837*BK837</f>
        <v>0</v>
      </c>
      <c r="AM837" s="5">
        <f>+$AC837*BL837</f>
        <v>0</v>
      </c>
      <c r="AN837" s="5">
        <f>+$AC837*BM837</f>
        <v>0</v>
      </c>
      <c r="AO837" s="5">
        <f>+$AC837*BN837</f>
        <v>0</v>
      </c>
      <c r="AP837" s="5">
        <f>+AC837+P837+C837</f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2">
        <v>8.9181565948742242E-2</v>
      </c>
      <c r="BD837" s="2">
        <v>0.10665277883445198</v>
      </c>
      <c r="BE837" s="2">
        <v>9.438849084854764E-2</v>
      </c>
      <c r="BF837" s="2">
        <v>7.149564986855049E-2</v>
      </c>
      <c r="BG837" s="2">
        <v>0.10368571810536763</v>
      </c>
      <c r="BH837" s="2">
        <v>8.4970330952544637E-2</v>
      </c>
      <c r="BI837" s="2">
        <v>8.4593878877262704E-2</v>
      </c>
      <c r="BJ837" s="2">
        <v>5.7447105462779965E-2</v>
      </c>
      <c r="BK837" s="2">
        <v>8.5153852345557474E-2</v>
      </c>
      <c r="BL837" s="2">
        <v>7.4158058913035174E-2</v>
      </c>
      <c r="BM837" s="2">
        <v>7.5718189192107169E-2</v>
      </c>
      <c r="BN837" s="2">
        <v>7.3955559365675619E-2</v>
      </c>
    </row>
    <row r="838" spans="1:66" x14ac:dyDescent="0.25">
      <c r="A838" s="8">
        <v>6532</v>
      </c>
      <c r="B838" s="8" t="s">
        <v>158</v>
      </c>
      <c r="C838" s="5">
        <v>0</v>
      </c>
      <c r="D838" s="5">
        <f>+$C838*BC838</f>
        <v>0</v>
      </c>
      <c r="E838" s="5">
        <f>+$C838*BD838</f>
        <v>0</v>
      </c>
      <c r="F838" s="5">
        <f>+$C838*BE838</f>
        <v>0</v>
      </c>
      <c r="G838" s="5">
        <f>+$C838*BF838</f>
        <v>0</v>
      </c>
      <c r="H838" s="5">
        <f>+$C838*BG838</f>
        <v>0</v>
      </c>
      <c r="I838" s="5">
        <f>+$C838*BH838</f>
        <v>0</v>
      </c>
      <c r="J838" s="5">
        <f>+$C838*BI838</f>
        <v>0</v>
      </c>
      <c r="K838" s="5">
        <f>+$C838*BJ838</f>
        <v>0</v>
      </c>
      <c r="L838" s="5">
        <f>+$C838*BK838</f>
        <v>0</v>
      </c>
      <c r="M838" s="5">
        <f>+$C838*BL838</f>
        <v>0</v>
      </c>
      <c r="N838" s="5">
        <f>+$C838*BM838</f>
        <v>0</v>
      </c>
      <c r="O838" s="5">
        <f>+$C838*BN838</f>
        <v>0</v>
      </c>
      <c r="P838" s="5">
        <v>0</v>
      </c>
      <c r="Q838" s="5">
        <f>+$P838*BC838</f>
        <v>0</v>
      </c>
      <c r="R838" s="5">
        <f>+$P838*BD838</f>
        <v>0</v>
      </c>
      <c r="S838" s="5">
        <f>+$P838*BE838</f>
        <v>0</v>
      </c>
      <c r="T838" s="5">
        <f>+$P838*BF838</f>
        <v>0</v>
      </c>
      <c r="U838" s="5">
        <f>+$P838*BG838</f>
        <v>0</v>
      </c>
      <c r="V838" s="5">
        <f>+$P838*BH838</f>
        <v>0</v>
      </c>
      <c r="W838" s="5">
        <f>+$P838*BI838</f>
        <v>0</v>
      </c>
      <c r="X838" s="5">
        <f>+$P838*BJ838</f>
        <v>0</v>
      </c>
      <c r="Y838" s="5">
        <f>+$P838*BK838</f>
        <v>0</v>
      </c>
      <c r="Z838" s="5">
        <f>+$P838*BL838</f>
        <v>0</v>
      </c>
      <c r="AA838" s="5">
        <f>+$P838*BM838</f>
        <v>0</v>
      </c>
      <c r="AB838" s="5">
        <f>+$P838*BN838</f>
        <v>0</v>
      </c>
      <c r="AC838" s="5">
        <v>0</v>
      </c>
      <c r="AD838" s="5">
        <f>+$AC838*BC838</f>
        <v>0</v>
      </c>
      <c r="AE838" s="5">
        <f>+$AC838*BD838</f>
        <v>0</v>
      </c>
      <c r="AF838" s="5">
        <f>+$AC838*BE838</f>
        <v>0</v>
      </c>
      <c r="AG838" s="5">
        <f>+$AC838*BF838</f>
        <v>0</v>
      </c>
      <c r="AH838" s="5">
        <f>+$AC838*BG838</f>
        <v>0</v>
      </c>
      <c r="AI838" s="5">
        <f>+$AC838*BH838</f>
        <v>0</v>
      </c>
      <c r="AJ838" s="5">
        <f>+$AC838*BI838</f>
        <v>0</v>
      </c>
      <c r="AK838" s="5">
        <f>+$AC838*BJ838</f>
        <v>0</v>
      </c>
      <c r="AL838" s="5">
        <f>+$AC838*BK838</f>
        <v>0</v>
      </c>
      <c r="AM838" s="5">
        <f>+$AC838*BL838</f>
        <v>0</v>
      </c>
      <c r="AN838" s="5">
        <f>+$AC838*BM838</f>
        <v>0</v>
      </c>
      <c r="AO838" s="5">
        <f>+$AC838*BN838</f>
        <v>0</v>
      </c>
      <c r="AP838" s="5">
        <f>+AC838+P838+C838</f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2">
        <v>8.9181565948742242E-2</v>
      </c>
      <c r="BD838" s="2">
        <v>0.10665277883445198</v>
      </c>
      <c r="BE838" s="2">
        <v>9.438849084854764E-2</v>
      </c>
      <c r="BF838" s="2">
        <v>7.149564986855049E-2</v>
      </c>
      <c r="BG838" s="2">
        <v>0.10368571810536763</v>
      </c>
      <c r="BH838" s="2">
        <v>8.4970330952544637E-2</v>
      </c>
      <c r="BI838" s="2">
        <v>8.4593878877262704E-2</v>
      </c>
      <c r="BJ838" s="2">
        <v>5.7447105462779965E-2</v>
      </c>
      <c r="BK838" s="2">
        <v>8.5153852345557474E-2</v>
      </c>
      <c r="BL838" s="2">
        <v>7.4158058913035174E-2</v>
      </c>
      <c r="BM838" s="2">
        <v>7.5718189192107169E-2</v>
      </c>
      <c r="BN838" s="2">
        <v>7.3955559365675619E-2</v>
      </c>
    </row>
    <row r="839" spans="1:66" x14ac:dyDescent="0.25">
      <c r="A839" s="8">
        <v>6533</v>
      </c>
      <c r="B839" s="8" t="s">
        <v>157</v>
      </c>
      <c r="C839" s="5">
        <v>0</v>
      </c>
      <c r="D839" s="5">
        <f>+$C839*BC839</f>
        <v>0</v>
      </c>
      <c r="E839" s="5">
        <f>+$C839*BD839</f>
        <v>0</v>
      </c>
      <c r="F839" s="5">
        <f>+$C839*BE839</f>
        <v>0</v>
      </c>
      <c r="G839" s="5">
        <f>+$C839*BF839</f>
        <v>0</v>
      </c>
      <c r="H839" s="5">
        <f>+$C839*BG839</f>
        <v>0</v>
      </c>
      <c r="I839" s="5">
        <f>+$C839*BH839</f>
        <v>0</v>
      </c>
      <c r="J839" s="5">
        <f>+$C839*BI839</f>
        <v>0</v>
      </c>
      <c r="K839" s="5">
        <f>+$C839*BJ839</f>
        <v>0</v>
      </c>
      <c r="L839" s="5">
        <f>+$C839*BK839</f>
        <v>0</v>
      </c>
      <c r="M839" s="5">
        <f>+$C839*BL839</f>
        <v>0</v>
      </c>
      <c r="N839" s="5">
        <f>+$C839*BM839</f>
        <v>0</v>
      </c>
      <c r="O839" s="5">
        <f>+$C839*BN839</f>
        <v>0</v>
      </c>
      <c r="P839" s="5">
        <v>0</v>
      </c>
      <c r="Q839" s="5">
        <f>+$P839*BC839</f>
        <v>0</v>
      </c>
      <c r="R839" s="5">
        <f>+$P839*BD839</f>
        <v>0</v>
      </c>
      <c r="S839" s="5">
        <f>+$P839*BE839</f>
        <v>0</v>
      </c>
      <c r="T839" s="5">
        <f>+$P839*BF839</f>
        <v>0</v>
      </c>
      <c r="U839" s="5">
        <f>+$P839*BG839</f>
        <v>0</v>
      </c>
      <c r="V839" s="5">
        <f>+$P839*BH839</f>
        <v>0</v>
      </c>
      <c r="W839" s="5">
        <f>+$P839*BI839</f>
        <v>0</v>
      </c>
      <c r="X839" s="5">
        <f>+$P839*BJ839</f>
        <v>0</v>
      </c>
      <c r="Y839" s="5">
        <f>+$P839*BK839</f>
        <v>0</v>
      </c>
      <c r="Z839" s="5">
        <f>+$P839*BL839</f>
        <v>0</v>
      </c>
      <c r="AA839" s="5">
        <f>+$P839*BM839</f>
        <v>0</v>
      </c>
      <c r="AB839" s="5">
        <f>+$P839*BN839</f>
        <v>0</v>
      </c>
      <c r="AC839" s="5">
        <v>0</v>
      </c>
      <c r="AD839" s="5">
        <f>+$AC839*BC839</f>
        <v>0</v>
      </c>
      <c r="AE839" s="5">
        <f>+$AC839*BD839</f>
        <v>0</v>
      </c>
      <c r="AF839" s="5">
        <f>+$AC839*BE839</f>
        <v>0</v>
      </c>
      <c r="AG839" s="5">
        <f>+$AC839*BF839</f>
        <v>0</v>
      </c>
      <c r="AH839" s="5">
        <f>+$AC839*BG839</f>
        <v>0</v>
      </c>
      <c r="AI839" s="5">
        <f>+$AC839*BH839</f>
        <v>0</v>
      </c>
      <c r="AJ839" s="5">
        <f>+$AC839*BI839</f>
        <v>0</v>
      </c>
      <c r="AK839" s="5">
        <f>+$AC839*BJ839</f>
        <v>0</v>
      </c>
      <c r="AL839" s="5">
        <f>+$AC839*BK839</f>
        <v>0</v>
      </c>
      <c r="AM839" s="5">
        <f>+$AC839*BL839</f>
        <v>0</v>
      </c>
      <c r="AN839" s="5">
        <f>+$AC839*BM839</f>
        <v>0</v>
      </c>
      <c r="AO839" s="5">
        <f>+$AC839*BN839</f>
        <v>0</v>
      </c>
      <c r="AP839" s="5">
        <f>+AC839+P839+C839</f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2">
        <v>8.9181565948742242E-2</v>
      </c>
      <c r="BD839" s="2">
        <v>0.10665277883445198</v>
      </c>
      <c r="BE839" s="2">
        <v>9.438849084854764E-2</v>
      </c>
      <c r="BF839" s="2">
        <v>7.149564986855049E-2</v>
      </c>
      <c r="BG839" s="2">
        <v>0.10368571810536763</v>
      </c>
      <c r="BH839" s="2">
        <v>8.4970330952544637E-2</v>
      </c>
      <c r="BI839" s="2">
        <v>8.4593878877262704E-2</v>
      </c>
      <c r="BJ839" s="2">
        <v>5.7447105462779965E-2</v>
      </c>
      <c r="BK839" s="2">
        <v>8.5153852345557474E-2</v>
      </c>
      <c r="BL839" s="2">
        <v>7.4158058913035174E-2</v>
      </c>
      <c r="BM839" s="2">
        <v>7.5718189192107169E-2</v>
      </c>
      <c r="BN839" s="2">
        <v>7.3955559365675619E-2</v>
      </c>
    </row>
    <row r="840" spans="1:66" x14ac:dyDescent="0.25">
      <c r="A840" s="8">
        <v>6534</v>
      </c>
      <c r="B840" s="8" t="s">
        <v>156</v>
      </c>
      <c r="C840" s="5">
        <v>0</v>
      </c>
      <c r="D840" s="5">
        <f>+$C840*BC840</f>
        <v>0</v>
      </c>
      <c r="E840" s="5">
        <f>+$C840*BD840</f>
        <v>0</v>
      </c>
      <c r="F840" s="5">
        <f>+$C840*BE840</f>
        <v>0</v>
      </c>
      <c r="G840" s="5">
        <f>+$C840*BF840</f>
        <v>0</v>
      </c>
      <c r="H840" s="5">
        <f>+$C840*BG840</f>
        <v>0</v>
      </c>
      <c r="I840" s="5">
        <f>+$C840*BH840</f>
        <v>0</v>
      </c>
      <c r="J840" s="5">
        <f>+$C840*BI840</f>
        <v>0</v>
      </c>
      <c r="K840" s="5">
        <f>+$C840*BJ840</f>
        <v>0</v>
      </c>
      <c r="L840" s="5">
        <f>+$C840*BK840</f>
        <v>0</v>
      </c>
      <c r="M840" s="5">
        <f>+$C840*BL840</f>
        <v>0</v>
      </c>
      <c r="N840" s="5">
        <f>+$C840*BM840</f>
        <v>0</v>
      </c>
      <c r="O840" s="5">
        <f>+$C840*BN840</f>
        <v>0</v>
      </c>
      <c r="P840" s="5">
        <v>0</v>
      </c>
      <c r="Q840" s="5">
        <f>+$P840*BC840</f>
        <v>0</v>
      </c>
      <c r="R840" s="5">
        <f>+$P840*BD840</f>
        <v>0</v>
      </c>
      <c r="S840" s="5">
        <f>+$P840*BE840</f>
        <v>0</v>
      </c>
      <c r="T840" s="5">
        <f>+$P840*BF840</f>
        <v>0</v>
      </c>
      <c r="U840" s="5">
        <f>+$P840*BG840</f>
        <v>0</v>
      </c>
      <c r="V840" s="5">
        <f>+$P840*BH840</f>
        <v>0</v>
      </c>
      <c r="W840" s="5">
        <f>+$P840*BI840</f>
        <v>0</v>
      </c>
      <c r="X840" s="5">
        <f>+$P840*BJ840</f>
        <v>0</v>
      </c>
      <c r="Y840" s="5">
        <f>+$P840*BK840</f>
        <v>0</v>
      </c>
      <c r="Z840" s="5">
        <f>+$P840*BL840</f>
        <v>0</v>
      </c>
      <c r="AA840" s="5">
        <f>+$P840*BM840</f>
        <v>0</v>
      </c>
      <c r="AB840" s="5">
        <f>+$P840*BN840</f>
        <v>0</v>
      </c>
      <c r="AC840" s="5">
        <v>500</v>
      </c>
      <c r="AD840" s="5">
        <f>+$AC840*BC840</f>
        <v>44.590782974371123</v>
      </c>
      <c r="AE840" s="5">
        <f>+$AC840*BD840</f>
        <v>53.32638941722599</v>
      </c>
      <c r="AF840" s="5">
        <f>+$AC840*BE840</f>
        <v>47.194245424273824</v>
      </c>
      <c r="AG840" s="5">
        <f>+$AC840*BF840</f>
        <v>35.747824934275243</v>
      </c>
      <c r="AH840" s="5">
        <f>+$AC840*BG840</f>
        <v>51.842859052683814</v>
      </c>
      <c r="AI840" s="5">
        <f>+$AC840*BH840</f>
        <v>42.485165476272321</v>
      </c>
      <c r="AJ840" s="5">
        <f>+$AC840*BI840</f>
        <v>42.296939438631355</v>
      </c>
      <c r="AK840" s="5">
        <f>+$AC840*BJ840</f>
        <v>28.723552731389983</v>
      </c>
      <c r="AL840" s="5">
        <f>+$AC840*BK840</f>
        <v>42.576926172778734</v>
      </c>
      <c r="AM840" s="5">
        <f>+$AC840*BL840</f>
        <v>37.079029456517588</v>
      </c>
      <c r="AN840" s="5">
        <f>+$AC840*BM840</f>
        <v>37.859094596053588</v>
      </c>
      <c r="AO840" s="5">
        <f>+$AC840*BN840</f>
        <v>36.977779682837813</v>
      </c>
      <c r="AP840" s="5">
        <f>+AC840+P840+C840</f>
        <v>500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2">
        <v>8.9181565948742242E-2</v>
      </c>
      <c r="BD840" s="2">
        <v>0.10665277883445198</v>
      </c>
      <c r="BE840" s="2">
        <v>9.438849084854764E-2</v>
      </c>
      <c r="BF840" s="2">
        <v>7.149564986855049E-2</v>
      </c>
      <c r="BG840" s="2">
        <v>0.10368571810536763</v>
      </c>
      <c r="BH840" s="2">
        <v>8.4970330952544637E-2</v>
      </c>
      <c r="BI840" s="2">
        <v>8.4593878877262704E-2</v>
      </c>
      <c r="BJ840" s="2">
        <v>5.7447105462779965E-2</v>
      </c>
      <c r="BK840" s="2">
        <v>8.5153852345557474E-2</v>
      </c>
      <c r="BL840" s="2">
        <v>7.4158058913035174E-2</v>
      </c>
      <c r="BM840" s="2">
        <v>7.5718189192107169E-2</v>
      </c>
      <c r="BN840" s="2">
        <v>7.3955559365675619E-2</v>
      </c>
    </row>
    <row r="841" spans="1:66" x14ac:dyDescent="0.25">
      <c r="A841" s="8">
        <v>6539</v>
      </c>
      <c r="B841" s="8" t="s">
        <v>155</v>
      </c>
      <c r="C841" s="5">
        <v>0</v>
      </c>
      <c r="D841" s="5">
        <f>+$C841*BC841</f>
        <v>0</v>
      </c>
      <c r="E841" s="5">
        <f>+$C841*BD841</f>
        <v>0</v>
      </c>
      <c r="F841" s="5">
        <f>+$C841*BE841</f>
        <v>0</v>
      </c>
      <c r="G841" s="5">
        <f>+$C841*BF841</f>
        <v>0</v>
      </c>
      <c r="H841" s="5">
        <f>+$C841*BG841</f>
        <v>0</v>
      </c>
      <c r="I841" s="5">
        <f>+$C841*BH841</f>
        <v>0</v>
      </c>
      <c r="J841" s="5">
        <f>+$C841*BI841</f>
        <v>0</v>
      </c>
      <c r="K841" s="5">
        <f>+$C841*BJ841</f>
        <v>0</v>
      </c>
      <c r="L841" s="5">
        <f>+$C841*BK841</f>
        <v>0</v>
      </c>
      <c r="M841" s="5">
        <f>+$C841*BL841</f>
        <v>0</v>
      </c>
      <c r="N841" s="5">
        <f>+$C841*BM841</f>
        <v>0</v>
      </c>
      <c r="O841" s="5">
        <f>+$C841*BN841</f>
        <v>0</v>
      </c>
      <c r="P841" s="5">
        <v>0</v>
      </c>
      <c r="Q841" s="5">
        <f>+$P841*BC841</f>
        <v>0</v>
      </c>
      <c r="R841" s="5">
        <f>+$P841*BD841</f>
        <v>0</v>
      </c>
      <c r="S841" s="5">
        <f>+$P841*BE841</f>
        <v>0</v>
      </c>
      <c r="T841" s="5">
        <f>+$P841*BF841</f>
        <v>0</v>
      </c>
      <c r="U841" s="5">
        <f>+$P841*BG841</f>
        <v>0</v>
      </c>
      <c r="V841" s="5">
        <f>+$P841*BH841</f>
        <v>0</v>
      </c>
      <c r="W841" s="5">
        <f>+$P841*BI841</f>
        <v>0</v>
      </c>
      <c r="X841" s="5">
        <f>+$P841*BJ841</f>
        <v>0</v>
      </c>
      <c r="Y841" s="5">
        <f>+$P841*BK841</f>
        <v>0</v>
      </c>
      <c r="Z841" s="5">
        <f>+$P841*BL841</f>
        <v>0</v>
      </c>
      <c r="AA841" s="5">
        <f>+$P841*BM841</f>
        <v>0</v>
      </c>
      <c r="AB841" s="5">
        <f>+$P841*BN841</f>
        <v>0</v>
      </c>
      <c r="AC841" s="5">
        <v>0</v>
      </c>
      <c r="AD841" s="5">
        <f>+$AC841*BC841</f>
        <v>0</v>
      </c>
      <c r="AE841" s="5">
        <f>+$AC841*BD841</f>
        <v>0</v>
      </c>
      <c r="AF841" s="5">
        <f>+$AC841*BE841</f>
        <v>0</v>
      </c>
      <c r="AG841" s="5">
        <f>+$AC841*BF841</f>
        <v>0</v>
      </c>
      <c r="AH841" s="5">
        <f>+$AC841*BG841</f>
        <v>0</v>
      </c>
      <c r="AI841" s="5">
        <f>+$AC841*BH841</f>
        <v>0</v>
      </c>
      <c r="AJ841" s="5">
        <f>+$AC841*BI841</f>
        <v>0</v>
      </c>
      <c r="AK841" s="5">
        <f>+$AC841*BJ841</f>
        <v>0</v>
      </c>
      <c r="AL841" s="5">
        <f>+$AC841*BK841</f>
        <v>0</v>
      </c>
      <c r="AM841" s="5">
        <f>+$AC841*BL841</f>
        <v>0</v>
      </c>
      <c r="AN841" s="5">
        <f>+$AC841*BM841</f>
        <v>0</v>
      </c>
      <c r="AO841" s="5">
        <f>+$AC841*BN841</f>
        <v>0</v>
      </c>
      <c r="AP841" s="5">
        <f>+AC841+P841+C841</f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2">
        <v>8.9181565948742242E-2</v>
      </c>
      <c r="BD841" s="2">
        <v>0.10665277883445198</v>
      </c>
      <c r="BE841" s="2">
        <v>9.438849084854764E-2</v>
      </c>
      <c r="BF841" s="2">
        <v>7.149564986855049E-2</v>
      </c>
      <c r="BG841" s="2">
        <v>0.10368571810536763</v>
      </c>
      <c r="BH841" s="2">
        <v>8.4970330952544637E-2</v>
      </c>
      <c r="BI841" s="2">
        <v>8.4593878877262704E-2</v>
      </c>
      <c r="BJ841" s="2">
        <v>5.7447105462779965E-2</v>
      </c>
      <c r="BK841" s="2">
        <v>8.5153852345557474E-2</v>
      </c>
      <c r="BL841" s="2">
        <v>7.4158058913035174E-2</v>
      </c>
      <c r="BM841" s="2">
        <v>7.5718189192107169E-2</v>
      </c>
      <c r="BN841" s="2">
        <v>7.3955559365675619E-2</v>
      </c>
    </row>
    <row r="842" spans="1:66" x14ac:dyDescent="0.25">
      <c r="A842" s="8">
        <v>6544</v>
      </c>
      <c r="B842" s="8" t="s">
        <v>154</v>
      </c>
      <c r="C842" s="5">
        <v>0</v>
      </c>
      <c r="D842" s="5">
        <f>+$C842*BC842</f>
        <v>0</v>
      </c>
      <c r="E842" s="5">
        <f>+$C842*BD842</f>
        <v>0</v>
      </c>
      <c r="F842" s="5">
        <f>+$C842*BE842</f>
        <v>0</v>
      </c>
      <c r="G842" s="5">
        <f>+$C842*BF842</f>
        <v>0</v>
      </c>
      <c r="H842" s="5">
        <f>+$C842*BG842</f>
        <v>0</v>
      </c>
      <c r="I842" s="5">
        <f>+$C842*BH842</f>
        <v>0</v>
      </c>
      <c r="J842" s="5">
        <f>+$C842*BI842</f>
        <v>0</v>
      </c>
      <c r="K842" s="5">
        <f>+$C842*BJ842</f>
        <v>0</v>
      </c>
      <c r="L842" s="5">
        <f>+$C842*BK842</f>
        <v>0</v>
      </c>
      <c r="M842" s="5">
        <f>+$C842*BL842</f>
        <v>0</v>
      </c>
      <c r="N842" s="5">
        <f>+$C842*BM842</f>
        <v>0</v>
      </c>
      <c r="O842" s="5">
        <f>+$C842*BN842</f>
        <v>0</v>
      </c>
      <c r="P842" s="5">
        <v>0</v>
      </c>
      <c r="Q842" s="5">
        <f>+$P842*BC842</f>
        <v>0</v>
      </c>
      <c r="R842" s="5">
        <f>+$P842*BD842</f>
        <v>0</v>
      </c>
      <c r="S842" s="5">
        <f>+$P842*BE842</f>
        <v>0</v>
      </c>
      <c r="T842" s="5">
        <f>+$P842*BF842</f>
        <v>0</v>
      </c>
      <c r="U842" s="5">
        <f>+$P842*BG842</f>
        <v>0</v>
      </c>
      <c r="V842" s="5">
        <f>+$P842*BH842</f>
        <v>0</v>
      </c>
      <c r="W842" s="5">
        <f>+$P842*BI842</f>
        <v>0</v>
      </c>
      <c r="X842" s="5">
        <f>+$P842*BJ842</f>
        <v>0</v>
      </c>
      <c r="Y842" s="5">
        <f>+$P842*BK842</f>
        <v>0</v>
      </c>
      <c r="Z842" s="5">
        <f>+$P842*BL842</f>
        <v>0</v>
      </c>
      <c r="AA842" s="5">
        <f>+$P842*BM842</f>
        <v>0</v>
      </c>
      <c r="AB842" s="5">
        <f>+$P842*BN842</f>
        <v>0</v>
      </c>
      <c r="AC842" s="5">
        <v>0</v>
      </c>
      <c r="AD842" s="5">
        <f>+$AC842*BC842</f>
        <v>0</v>
      </c>
      <c r="AE842" s="5">
        <f>+$AC842*BD842</f>
        <v>0</v>
      </c>
      <c r="AF842" s="5">
        <f>+$AC842*BE842</f>
        <v>0</v>
      </c>
      <c r="AG842" s="5">
        <f>+$AC842*BF842</f>
        <v>0</v>
      </c>
      <c r="AH842" s="5">
        <f>+$AC842*BG842</f>
        <v>0</v>
      </c>
      <c r="AI842" s="5">
        <f>+$AC842*BH842</f>
        <v>0</v>
      </c>
      <c r="AJ842" s="5">
        <f>+$AC842*BI842</f>
        <v>0</v>
      </c>
      <c r="AK842" s="5">
        <f>+$AC842*BJ842</f>
        <v>0</v>
      </c>
      <c r="AL842" s="5">
        <f>+$AC842*BK842</f>
        <v>0</v>
      </c>
      <c r="AM842" s="5">
        <f>+$AC842*BL842</f>
        <v>0</v>
      </c>
      <c r="AN842" s="5">
        <f>+$AC842*BM842</f>
        <v>0</v>
      </c>
      <c r="AO842" s="5">
        <f>+$AC842*BN842</f>
        <v>0</v>
      </c>
      <c r="AP842" s="5">
        <f>+AC842+P842+C842</f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2">
        <v>8.9181565948742242E-2</v>
      </c>
      <c r="BD842" s="2">
        <v>0.10665277883445198</v>
      </c>
      <c r="BE842" s="2">
        <v>9.438849084854764E-2</v>
      </c>
      <c r="BF842" s="2">
        <v>7.149564986855049E-2</v>
      </c>
      <c r="BG842" s="2">
        <v>0.10368571810536763</v>
      </c>
      <c r="BH842" s="2">
        <v>8.4970330952544637E-2</v>
      </c>
      <c r="BI842" s="2">
        <v>8.4593878877262704E-2</v>
      </c>
      <c r="BJ842" s="2">
        <v>5.7447105462779965E-2</v>
      </c>
      <c r="BK842" s="2">
        <v>8.5153852345557474E-2</v>
      </c>
      <c r="BL842" s="2">
        <v>7.4158058913035174E-2</v>
      </c>
      <c r="BM842" s="2">
        <v>7.5718189192107169E-2</v>
      </c>
      <c r="BN842" s="2">
        <v>7.3955559365675619E-2</v>
      </c>
    </row>
    <row r="843" spans="1:66" x14ac:dyDescent="0.25">
      <c r="A843" s="8">
        <v>6545</v>
      </c>
      <c r="B843" s="8" t="s">
        <v>153</v>
      </c>
      <c r="C843" s="5">
        <v>0</v>
      </c>
      <c r="D843" s="5">
        <f>+$C843*BC843</f>
        <v>0</v>
      </c>
      <c r="E843" s="5">
        <f>+$C843*BD843</f>
        <v>0</v>
      </c>
      <c r="F843" s="5">
        <f>+$C843*BE843</f>
        <v>0</v>
      </c>
      <c r="G843" s="5">
        <f>+$C843*BF843</f>
        <v>0</v>
      </c>
      <c r="H843" s="5">
        <f>+$C843*BG843</f>
        <v>0</v>
      </c>
      <c r="I843" s="5">
        <f>+$C843*BH843</f>
        <v>0</v>
      </c>
      <c r="J843" s="5">
        <f>+$C843*BI843</f>
        <v>0</v>
      </c>
      <c r="K843" s="5">
        <f>+$C843*BJ843</f>
        <v>0</v>
      </c>
      <c r="L843" s="5">
        <f>+$C843*BK843</f>
        <v>0</v>
      </c>
      <c r="M843" s="5">
        <f>+$C843*BL843</f>
        <v>0</v>
      </c>
      <c r="N843" s="5">
        <f>+$C843*BM843</f>
        <v>0</v>
      </c>
      <c r="O843" s="5">
        <f>+$C843*BN843</f>
        <v>0</v>
      </c>
      <c r="P843" s="5">
        <v>0</v>
      </c>
      <c r="Q843" s="5">
        <f>+$P843*BC843</f>
        <v>0</v>
      </c>
      <c r="R843" s="5">
        <f>+$P843*BD843</f>
        <v>0</v>
      </c>
      <c r="S843" s="5">
        <f>+$P843*BE843</f>
        <v>0</v>
      </c>
      <c r="T843" s="5">
        <f>+$P843*BF843</f>
        <v>0</v>
      </c>
      <c r="U843" s="5">
        <f>+$P843*BG843</f>
        <v>0</v>
      </c>
      <c r="V843" s="5">
        <f>+$P843*BH843</f>
        <v>0</v>
      </c>
      <c r="W843" s="5">
        <f>+$P843*BI843</f>
        <v>0</v>
      </c>
      <c r="X843" s="5">
        <f>+$P843*BJ843</f>
        <v>0</v>
      </c>
      <c r="Y843" s="5">
        <f>+$P843*BK843</f>
        <v>0</v>
      </c>
      <c r="Z843" s="5">
        <f>+$P843*BL843</f>
        <v>0</v>
      </c>
      <c r="AA843" s="5">
        <f>+$P843*BM843</f>
        <v>0</v>
      </c>
      <c r="AB843" s="5">
        <f>+$P843*BN843</f>
        <v>0</v>
      </c>
      <c r="AC843" s="5">
        <v>0</v>
      </c>
      <c r="AD843" s="5">
        <f>+$AC843*BC843</f>
        <v>0</v>
      </c>
      <c r="AE843" s="5">
        <f>+$AC843*BD843</f>
        <v>0</v>
      </c>
      <c r="AF843" s="5">
        <f>+$AC843*BE843</f>
        <v>0</v>
      </c>
      <c r="AG843" s="5">
        <f>+$AC843*BF843</f>
        <v>0</v>
      </c>
      <c r="AH843" s="5">
        <f>+$AC843*BG843</f>
        <v>0</v>
      </c>
      <c r="AI843" s="5">
        <f>+$AC843*BH843</f>
        <v>0</v>
      </c>
      <c r="AJ843" s="5">
        <f>+$AC843*BI843</f>
        <v>0</v>
      </c>
      <c r="AK843" s="5">
        <f>+$AC843*BJ843</f>
        <v>0</v>
      </c>
      <c r="AL843" s="5">
        <f>+$AC843*BK843</f>
        <v>0</v>
      </c>
      <c r="AM843" s="5">
        <f>+$AC843*BL843</f>
        <v>0</v>
      </c>
      <c r="AN843" s="5">
        <f>+$AC843*BM843</f>
        <v>0</v>
      </c>
      <c r="AO843" s="5">
        <f>+$AC843*BN843</f>
        <v>0</v>
      </c>
      <c r="AP843" s="5">
        <f>+AC843+P843+C843</f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2">
        <v>8.9181565948742242E-2</v>
      </c>
      <c r="BD843" s="2">
        <v>0.10665277883445198</v>
      </c>
      <c r="BE843" s="2">
        <v>9.438849084854764E-2</v>
      </c>
      <c r="BF843" s="2">
        <v>7.149564986855049E-2</v>
      </c>
      <c r="BG843" s="2">
        <v>0.10368571810536763</v>
      </c>
      <c r="BH843" s="2">
        <v>8.4970330952544637E-2</v>
      </c>
      <c r="BI843" s="2">
        <v>8.4593878877262704E-2</v>
      </c>
      <c r="BJ843" s="2">
        <v>5.7447105462779965E-2</v>
      </c>
      <c r="BK843" s="2">
        <v>8.5153852345557474E-2</v>
      </c>
      <c r="BL843" s="2">
        <v>7.4158058913035174E-2</v>
      </c>
      <c r="BM843" s="2">
        <v>7.5718189192107169E-2</v>
      </c>
      <c r="BN843" s="2">
        <v>7.3955559365675619E-2</v>
      </c>
    </row>
    <row r="844" spans="1:66" x14ac:dyDescent="0.25">
      <c r="A844" s="8">
        <v>6548</v>
      </c>
      <c r="B844" s="8" t="s">
        <v>152</v>
      </c>
      <c r="C844" s="5">
        <v>0</v>
      </c>
      <c r="D844" s="5">
        <f>+$C844*BC844</f>
        <v>0</v>
      </c>
      <c r="E844" s="5">
        <f>+$C844*BD844</f>
        <v>0</v>
      </c>
      <c r="F844" s="5">
        <f>+$C844*BE844</f>
        <v>0</v>
      </c>
      <c r="G844" s="5">
        <f>+$C844*BF844</f>
        <v>0</v>
      </c>
      <c r="H844" s="5">
        <f>+$C844*BG844</f>
        <v>0</v>
      </c>
      <c r="I844" s="5">
        <f>+$C844*BH844</f>
        <v>0</v>
      </c>
      <c r="J844" s="5">
        <f>+$C844*BI844</f>
        <v>0</v>
      </c>
      <c r="K844" s="5">
        <f>+$C844*BJ844</f>
        <v>0</v>
      </c>
      <c r="L844" s="5">
        <f>+$C844*BK844</f>
        <v>0</v>
      </c>
      <c r="M844" s="5">
        <f>+$C844*BL844</f>
        <v>0</v>
      </c>
      <c r="N844" s="5">
        <f>+$C844*BM844</f>
        <v>0</v>
      </c>
      <c r="O844" s="5">
        <f>+$C844*BN844</f>
        <v>0</v>
      </c>
      <c r="P844" s="5">
        <v>0</v>
      </c>
      <c r="Q844" s="5">
        <f>+$P844*BC844</f>
        <v>0</v>
      </c>
      <c r="R844" s="5">
        <f>+$P844*BD844</f>
        <v>0</v>
      </c>
      <c r="S844" s="5">
        <f>+$P844*BE844</f>
        <v>0</v>
      </c>
      <c r="T844" s="5">
        <f>+$P844*BF844</f>
        <v>0</v>
      </c>
      <c r="U844" s="5">
        <f>+$P844*BG844</f>
        <v>0</v>
      </c>
      <c r="V844" s="5">
        <f>+$P844*BH844</f>
        <v>0</v>
      </c>
      <c r="W844" s="5">
        <f>+$P844*BI844</f>
        <v>0</v>
      </c>
      <c r="X844" s="5">
        <f>+$P844*BJ844</f>
        <v>0</v>
      </c>
      <c r="Y844" s="5">
        <f>+$P844*BK844</f>
        <v>0</v>
      </c>
      <c r="Z844" s="5">
        <f>+$P844*BL844</f>
        <v>0</v>
      </c>
      <c r="AA844" s="5">
        <f>+$P844*BM844</f>
        <v>0</v>
      </c>
      <c r="AB844" s="5">
        <f>+$P844*BN844</f>
        <v>0</v>
      </c>
      <c r="AC844" s="5">
        <v>0</v>
      </c>
      <c r="AD844" s="5">
        <f>+$AC844*BC844</f>
        <v>0</v>
      </c>
      <c r="AE844" s="5">
        <f>+$AC844*BD844</f>
        <v>0</v>
      </c>
      <c r="AF844" s="5">
        <f>+$AC844*BE844</f>
        <v>0</v>
      </c>
      <c r="AG844" s="5">
        <f>+$AC844*BF844</f>
        <v>0</v>
      </c>
      <c r="AH844" s="5">
        <f>+$AC844*BG844</f>
        <v>0</v>
      </c>
      <c r="AI844" s="5">
        <f>+$AC844*BH844</f>
        <v>0</v>
      </c>
      <c r="AJ844" s="5">
        <f>+$AC844*BI844</f>
        <v>0</v>
      </c>
      <c r="AK844" s="5">
        <f>+$AC844*BJ844</f>
        <v>0</v>
      </c>
      <c r="AL844" s="5">
        <f>+$AC844*BK844</f>
        <v>0</v>
      </c>
      <c r="AM844" s="5">
        <f>+$AC844*BL844</f>
        <v>0</v>
      </c>
      <c r="AN844" s="5">
        <f>+$AC844*BM844</f>
        <v>0</v>
      </c>
      <c r="AO844" s="5">
        <f>+$AC844*BN844</f>
        <v>0</v>
      </c>
      <c r="AP844" s="5">
        <f>+AC844+P844+C844</f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2">
        <v>8.9181565948742242E-2</v>
      </c>
      <c r="BD844" s="2">
        <v>0.10665277883445198</v>
      </c>
      <c r="BE844" s="2">
        <v>9.438849084854764E-2</v>
      </c>
      <c r="BF844" s="2">
        <v>7.149564986855049E-2</v>
      </c>
      <c r="BG844" s="2">
        <v>0.10368571810536763</v>
      </c>
      <c r="BH844" s="2">
        <v>8.4970330952544637E-2</v>
      </c>
      <c r="BI844" s="2">
        <v>8.4593878877262704E-2</v>
      </c>
      <c r="BJ844" s="2">
        <v>5.7447105462779965E-2</v>
      </c>
      <c r="BK844" s="2">
        <v>8.5153852345557474E-2</v>
      </c>
      <c r="BL844" s="2">
        <v>7.4158058913035174E-2</v>
      </c>
      <c r="BM844" s="2">
        <v>7.5718189192107169E-2</v>
      </c>
      <c r="BN844" s="2">
        <v>7.3955559365675619E-2</v>
      </c>
    </row>
    <row r="845" spans="1:66" x14ac:dyDescent="0.25">
      <c r="A845" s="8">
        <v>6550</v>
      </c>
      <c r="B845" s="8" t="s">
        <v>151</v>
      </c>
      <c r="C845" s="5">
        <v>0</v>
      </c>
      <c r="D845" s="5">
        <f>+$C845*BC845</f>
        <v>0</v>
      </c>
      <c r="E845" s="5">
        <f>+$C845*BD845</f>
        <v>0</v>
      </c>
      <c r="F845" s="5">
        <f>+$C845*BE845</f>
        <v>0</v>
      </c>
      <c r="G845" s="5">
        <f>+$C845*BF845</f>
        <v>0</v>
      </c>
      <c r="H845" s="5">
        <f>+$C845*BG845</f>
        <v>0</v>
      </c>
      <c r="I845" s="5">
        <f>+$C845*BH845</f>
        <v>0</v>
      </c>
      <c r="J845" s="5">
        <f>+$C845*BI845</f>
        <v>0</v>
      </c>
      <c r="K845" s="5">
        <f>+$C845*BJ845</f>
        <v>0</v>
      </c>
      <c r="L845" s="5">
        <f>+$C845*BK845</f>
        <v>0</v>
      </c>
      <c r="M845" s="5">
        <f>+$C845*BL845</f>
        <v>0</v>
      </c>
      <c r="N845" s="5">
        <f>+$C845*BM845</f>
        <v>0</v>
      </c>
      <c r="O845" s="5">
        <f>+$C845*BN845</f>
        <v>0</v>
      </c>
      <c r="P845" s="5">
        <v>0</v>
      </c>
      <c r="Q845" s="5">
        <f>+$P845*BC845</f>
        <v>0</v>
      </c>
      <c r="R845" s="5">
        <f>+$P845*BD845</f>
        <v>0</v>
      </c>
      <c r="S845" s="5">
        <f>+$P845*BE845</f>
        <v>0</v>
      </c>
      <c r="T845" s="5">
        <f>+$P845*BF845</f>
        <v>0</v>
      </c>
      <c r="U845" s="5">
        <f>+$P845*BG845</f>
        <v>0</v>
      </c>
      <c r="V845" s="5">
        <f>+$P845*BH845</f>
        <v>0</v>
      </c>
      <c r="W845" s="5">
        <f>+$P845*BI845</f>
        <v>0</v>
      </c>
      <c r="X845" s="5">
        <f>+$P845*BJ845</f>
        <v>0</v>
      </c>
      <c r="Y845" s="5">
        <f>+$P845*BK845</f>
        <v>0</v>
      </c>
      <c r="Z845" s="5">
        <f>+$P845*BL845</f>
        <v>0</v>
      </c>
      <c r="AA845" s="5">
        <f>+$P845*BM845</f>
        <v>0</v>
      </c>
      <c r="AB845" s="5">
        <f>+$P845*BN845</f>
        <v>0</v>
      </c>
      <c r="AC845" s="5">
        <v>0</v>
      </c>
      <c r="AD845" s="5">
        <f>+$AC845*BC845</f>
        <v>0</v>
      </c>
      <c r="AE845" s="5">
        <f>+$AC845*BD845</f>
        <v>0</v>
      </c>
      <c r="AF845" s="5">
        <f>+$AC845*BE845</f>
        <v>0</v>
      </c>
      <c r="AG845" s="5">
        <f>+$AC845*BF845</f>
        <v>0</v>
      </c>
      <c r="AH845" s="5">
        <f>+$AC845*BG845</f>
        <v>0</v>
      </c>
      <c r="AI845" s="5">
        <f>+$AC845*BH845</f>
        <v>0</v>
      </c>
      <c r="AJ845" s="5">
        <f>+$AC845*BI845</f>
        <v>0</v>
      </c>
      <c r="AK845" s="5">
        <f>+$AC845*BJ845</f>
        <v>0</v>
      </c>
      <c r="AL845" s="5">
        <f>+$AC845*BK845</f>
        <v>0</v>
      </c>
      <c r="AM845" s="5">
        <f>+$AC845*BL845</f>
        <v>0</v>
      </c>
      <c r="AN845" s="5">
        <f>+$AC845*BM845</f>
        <v>0</v>
      </c>
      <c r="AO845" s="5">
        <f>+$AC845*BN845</f>
        <v>0</v>
      </c>
      <c r="AP845" s="5">
        <f>+AC845+P845+C845</f>
        <v>0</v>
      </c>
      <c r="AQ845" s="1">
        <v>7.7498780809457015</v>
      </c>
      <c r="AR845" s="1">
        <v>9.2681264807138781</v>
      </c>
      <c r="AS845" s="1">
        <v>8.2023598547387913</v>
      </c>
      <c r="AT845" s="1">
        <v>6.2129719735770381</v>
      </c>
      <c r="AU845" s="1">
        <v>9.0102889033564466</v>
      </c>
      <c r="AV845" s="1">
        <v>7.3839217597761291</v>
      </c>
      <c r="AW845" s="1">
        <v>7.3512080744341297</v>
      </c>
      <c r="AX845" s="1">
        <v>4.992153464715579</v>
      </c>
      <c r="AY845" s="1">
        <v>7.3998697688289452</v>
      </c>
      <c r="AZ845" s="1">
        <v>6.4443353195427573</v>
      </c>
      <c r="BA845" s="1">
        <v>6.5799106407941137</v>
      </c>
      <c r="BB845" s="1">
        <v>6.4267381088772115</v>
      </c>
      <c r="BC845" s="2">
        <v>8.9181565948742242E-2</v>
      </c>
      <c r="BD845" s="2">
        <v>0.10665277883445198</v>
      </c>
      <c r="BE845" s="2">
        <v>9.438849084854764E-2</v>
      </c>
      <c r="BF845" s="2">
        <v>7.149564986855049E-2</v>
      </c>
      <c r="BG845" s="2">
        <v>0.10368571810536763</v>
      </c>
      <c r="BH845" s="2">
        <v>8.4970330952544637E-2</v>
      </c>
      <c r="BI845" s="2">
        <v>8.4593878877262704E-2</v>
      </c>
      <c r="BJ845" s="2">
        <v>5.7447105462779965E-2</v>
      </c>
      <c r="BK845" s="2">
        <v>8.5153852345557474E-2</v>
      </c>
      <c r="BL845" s="2">
        <v>7.4158058913035174E-2</v>
      </c>
      <c r="BM845" s="2">
        <v>7.5718189192107169E-2</v>
      </c>
      <c r="BN845" s="2">
        <v>7.3955559365675619E-2</v>
      </c>
    </row>
    <row r="846" spans="1:66" x14ac:dyDescent="0.25">
      <c r="A846" s="8">
        <v>6551</v>
      </c>
      <c r="B846" s="8" t="s">
        <v>150</v>
      </c>
      <c r="C846" s="5">
        <v>0</v>
      </c>
      <c r="D846" s="5">
        <f>+$C846*BC846</f>
        <v>0</v>
      </c>
      <c r="E846" s="5">
        <f>+$C846*BD846</f>
        <v>0</v>
      </c>
      <c r="F846" s="5">
        <f>+$C846*BE846</f>
        <v>0</v>
      </c>
      <c r="G846" s="5">
        <f>+$C846*BF846</f>
        <v>0</v>
      </c>
      <c r="H846" s="5">
        <f>+$C846*BG846</f>
        <v>0</v>
      </c>
      <c r="I846" s="5">
        <f>+$C846*BH846</f>
        <v>0</v>
      </c>
      <c r="J846" s="5">
        <f>+$C846*BI846</f>
        <v>0</v>
      </c>
      <c r="K846" s="5">
        <f>+$C846*BJ846</f>
        <v>0</v>
      </c>
      <c r="L846" s="5">
        <f>+$C846*BK846</f>
        <v>0</v>
      </c>
      <c r="M846" s="5">
        <f>+$C846*BL846</f>
        <v>0</v>
      </c>
      <c r="N846" s="5">
        <f>+$C846*BM846</f>
        <v>0</v>
      </c>
      <c r="O846" s="5">
        <f>+$C846*BN846</f>
        <v>0</v>
      </c>
      <c r="P846" s="5">
        <v>0</v>
      </c>
      <c r="Q846" s="5">
        <f>+$P846*BC846</f>
        <v>0</v>
      </c>
      <c r="R846" s="5">
        <f>+$P846*BD846</f>
        <v>0</v>
      </c>
      <c r="S846" s="5">
        <f>+$P846*BE846</f>
        <v>0</v>
      </c>
      <c r="T846" s="5">
        <f>+$P846*BF846</f>
        <v>0</v>
      </c>
      <c r="U846" s="5">
        <f>+$P846*BG846</f>
        <v>0</v>
      </c>
      <c r="V846" s="5">
        <f>+$P846*BH846</f>
        <v>0</v>
      </c>
      <c r="W846" s="5">
        <f>+$P846*BI846</f>
        <v>0</v>
      </c>
      <c r="X846" s="5">
        <f>+$P846*BJ846</f>
        <v>0</v>
      </c>
      <c r="Y846" s="5">
        <f>+$P846*BK846</f>
        <v>0</v>
      </c>
      <c r="Z846" s="5">
        <f>+$P846*BL846</f>
        <v>0</v>
      </c>
      <c r="AA846" s="5">
        <f>+$P846*BM846</f>
        <v>0</v>
      </c>
      <c r="AB846" s="5">
        <f>+$P846*BN846</f>
        <v>0</v>
      </c>
      <c r="AC846" s="5">
        <v>0</v>
      </c>
      <c r="AD846" s="5">
        <f>+$AC846*BC846</f>
        <v>0</v>
      </c>
      <c r="AE846" s="5">
        <f>+$AC846*BD846</f>
        <v>0</v>
      </c>
      <c r="AF846" s="5">
        <f>+$AC846*BE846</f>
        <v>0</v>
      </c>
      <c r="AG846" s="5">
        <f>+$AC846*BF846</f>
        <v>0</v>
      </c>
      <c r="AH846" s="5">
        <f>+$AC846*BG846</f>
        <v>0</v>
      </c>
      <c r="AI846" s="5">
        <f>+$AC846*BH846</f>
        <v>0</v>
      </c>
      <c r="AJ846" s="5">
        <f>+$AC846*BI846</f>
        <v>0</v>
      </c>
      <c r="AK846" s="5">
        <f>+$AC846*BJ846</f>
        <v>0</v>
      </c>
      <c r="AL846" s="5">
        <f>+$AC846*BK846</f>
        <v>0</v>
      </c>
      <c r="AM846" s="5">
        <f>+$AC846*BL846</f>
        <v>0</v>
      </c>
      <c r="AN846" s="5">
        <f>+$AC846*BM846</f>
        <v>0</v>
      </c>
      <c r="AO846" s="5">
        <f>+$AC846*BN846</f>
        <v>0</v>
      </c>
      <c r="AP846" s="5">
        <f>+AC846+P846+C846</f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2">
        <v>8.9181565948742242E-2</v>
      </c>
      <c r="BD846" s="2">
        <v>0.10665277883445198</v>
      </c>
      <c r="BE846" s="2">
        <v>9.438849084854764E-2</v>
      </c>
      <c r="BF846" s="2">
        <v>7.149564986855049E-2</v>
      </c>
      <c r="BG846" s="2">
        <v>0.10368571810536763</v>
      </c>
      <c r="BH846" s="2">
        <v>8.4970330952544637E-2</v>
      </c>
      <c r="BI846" s="2">
        <v>8.4593878877262704E-2</v>
      </c>
      <c r="BJ846" s="2">
        <v>5.7447105462779965E-2</v>
      </c>
      <c r="BK846" s="2">
        <v>8.5153852345557474E-2</v>
      </c>
      <c r="BL846" s="2">
        <v>7.4158058913035174E-2</v>
      </c>
      <c r="BM846" s="2">
        <v>7.5718189192107169E-2</v>
      </c>
      <c r="BN846" s="2">
        <v>7.3955559365675619E-2</v>
      </c>
    </row>
    <row r="847" spans="1:66" x14ac:dyDescent="0.25">
      <c r="A847" s="8">
        <v>6555</v>
      </c>
      <c r="B847" s="8" t="s">
        <v>149</v>
      </c>
      <c r="C847" s="5">
        <v>0</v>
      </c>
      <c r="D847" s="5">
        <f>+$C847*BC847</f>
        <v>0</v>
      </c>
      <c r="E847" s="5">
        <f>+$C847*BD847</f>
        <v>0</v>
      </c>
      <c r="F847" s="5">
        <f>+$C847*BE847</f>
        <v>0</v>
      </c>
      <c r="G847" s="5">
        <f>+$C847*BF847</f>
        <v>0</v>
      </c>
      <c r="H847" s="5">
        <f>+$C847*BG847</f>
        <v>0</v>
      </c>
      <c r="I847" s="5">
        <f>+$C847*BH847</f>
        <v>0</v>
      </c>
      <c r="J847" s="5">
        <f>+$C847*BI847</f>
        <v>0</v>
      </c>
      <c r="K847" s="5">
        <f>+$C847*BJ847</f>
        <v>0</v>
      </c>
      <c r="L847" s="5">
        <f>+$C847*BK847</f>
        <v>0</v>
      </c>
      <c r="M847" s="5">
        <f>+$C847*BL847</f>
        <v>0</v>
      </c>
      <c r="N847" s="5">
        <f>+$C847*BM847</f>
        <v>0</v>
      </c>
      <c r="O847" s="5">
        <f>+$C847*BN847</f>
        <v>0</v>
      </c>
      <c r="P847" s="5">
        <v>0</v>
      </c>
      <c r="Q847" s="5">
        <f>+$P847*BC847</f>
        <v>0</v>
      </c>
      <c r="R847" s="5">
        <f>+$P847*BD847</f>
        <v>0</v>
      </c>
      <c r="S847" s="5">
        <f>+$P847*BE847</f>
        <v>0</v>
      </c>
      <c r="T847" s="5">
        <f>+$P847*BF847</f>
        <v>0</v>
      </c>
      <c r="U847" s="5">
        <f>+$P847*BG847</f>
        <v>0</v>
      </c>
      <c r="V847" s="5">
        <f>+$P847*BH847</f>
        <v>0</v>
      </c>
      <c r="W847" s="5">
        <f>+$P847*BI847</f>
        <v>0</v>
      </c>
      <c r="X847" s="5">
        <f>+$P847*BJ847</f>
        <v>0</v>
      </c>
      <c r="Y847" s="5">
        <f>+$P847*BK847</f>
        <v>0</v>
      </c>
      <c r="Z847" s="5">
        <f>+$P847*BL847</f>
        <v>0</v>
      </c>
      <c r="AA847" s="5">
        <f>+$P847*BM847</f>
        <v>0</v>
      </c>
      <c r="AB847" s="5">
        <f>+$P847*BN847</f>
        <v>0</v>
      </c>
      <c r="AC847" s="5">
        <v>0</v>
      </c>
      <c r="AD847" s="5">
        <f>+$AC847*BC847</f>
        <v>0</v>
      </c>
      <c r="AE847" s="5">
        <f>+$AC847*BD847</f>
        <v>0</v>
      </c>
      <c r="AF847" s="5">
        <f>+$AC847*BE847</f>
        <v>0</v>
      </c>
      <c r="AG847" s="5">
        <f>+$AC847*BF847</f>
        <v>0</v>
      </c>
      <c r="AH847" s="5">
        <f>+$AC847*BG847</f>
        <v>0</v>
      </c>
      <c r="AI847" s="5">
        <f>+$AC847*BH847</f>
        <v>0</v>
      </c>
      <c r="AJ847" s="5">
        <f>+$AC847*BI847</f>
        <v>0</v>
      </c>
      <c r="AK847" s="5">
        <f>+$AC847*BJ847</f>
        <v>0</v>
      </c>
      <c r="AL847" s="5">
        <f>+$AC847*BK847</f>
        <v>0</v>
      </c>
      <c r="AM847" s="5">
        <f>+$AC847*BL847</f>
        <v>0</v>
      </c>
      <c r="AN847" s="5">
        <f>+$AC847*BM847</f>
        <v>0</v>
      </c>
      <c r="AO847" s="5">
        <f>+$AC847*BN847</f>
        <v>0</v>
      </c>
      <c r="AP847" s="5">
        <f>+AC847+P847+C847</f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2">
        <v>8.9181565948742242E-2</v>
      </c>
      <c r="BD847" s="2">
        <v>0.10665277883445198</v>
      </c>
      <c r="BE847" s="2">
        <v>9.438849084854764E-2</v>
      </c>
      <c r="BF847" s="2">
        <v>7.149564986855049E-2</v>
      </c>
      <c r="BG847" s="2">
        <v>0.10368571810536763</v>
      </c>
      <c r="BH847" s="2">
        <v>8.4970330952544637E-2</v>
      </c>
      <c r="BI847" s="2">
        <v>8.4593878877262704E-2</v>
      </c>
      <c r="BJ847" s="2">
        <v>5.7447105462779965E-2</v>
      </c>
      <c r="BK847" s="2">
        <v>8.5153852345557474E-2</v>
      </c>
      <c r="BL847" s="2">
        <v>7.4158058913035174E-2</v>
      </c>
      <c r="BM847" s="2">
        <v>7.5718189192107169E-2</v>
      </c>
      <c r="BN847" s="2">
        <v>7.3955559365675619E-2</v>
      </c>
    </row>
    <row r="848" spans="1:66" x14ac:dyDescent="0.25">
      <c r="A848" s="8">
        <v>6559</v>
      </c>
      <c r="B848" s="8" t="s">
        <v>148</v>
      </c>
      <c r="C848" s="5">
        <v>0</v>
      </c>
      <c r="D848" s="5">
        <f>+$C848*BC848</f>
        <v>0</v>
      </c>
      <c r="E848" s="5">
        <f>+$C848*BD848</f>
        <v>0</v>
      </c>
      <c r="F848" s="5">
        <f>+$C848*BE848</f>
        <v>0</v>
      </c>
      <c r="G848" s="5">
        <f>+$C848*BF848</f>
        <v>0</v>
      </c>
      <c r="H848" s="5">
        <f>+$C848*BG848</f>
        <v>0</v>
      </c>
      <c r="I848" s="5">
        <f>+$C848*BH848</f>
        <v>0</v>
      </c>
      <c r="J848" s="5">
        <f>+$C848*BI848</f>
        <v>0</v>
      </c>
      <c r="K848" s="5">
        <f>+$C848*BJ848</f>
        <v>0</v>
      </c>
      <c r="L848" s="5">
        <f>+$C848*BK848</f>
        <v>0</v>
      </c>
      <c r="M848" s="5">
        <f>+$C848*BL848</f>
        <v>0</v>
      </c>
      <c r="N848" s="5">
        <f>+$C848*BM848</f>
        <v>0</v>
      </c>
      <c r="O848" s="5">
        <f>+$C848*BN848</f>
        <v>0</v>
      </c>
      <c r="P848" s="5">
        <v>0</v>
      </c>
      <c r="Q848" s="5">
        <f>+$P848*BC848</f>
        <v>0</v>
      </c>
      <c r="R848" s="5">
        <f>+$P848*BD848</f>
        <v>0</v>
      </c>
      <c r="S848" s="5">
        <f>+$P848*BE848</f>
        <v>0</v>
      </c>
      <c r="T848" s="5">
        <f>+$P848*BF848</f>
        <v>0</v>
      </c>
      <c r="U848" s="5">
        <f>+$P848*BG848</f>
        <v>0</v>
      </c>
      <c r="V848" s="5">
        <f>+$P848*BH848</f>
        <v>0</v>
      </c>
      <c r="W848" s="5">
        <f>+$P848*BI848</f>
        <v>0</v>
      </c>
      <c r="X848" s="5">
        <f>+$P848*BJ848</f>
        <v>0</v>
      </c>
      <c r="Y848" s="5">
        <f>+$P848*BK848</f>
        <v>0</v>
      </c>
      <c r="Z848" s="5">
        <f>+$P848*BL848</f>
        <v>0</v>
      </c>
      <c r="AA848" s="5">
        <f>+$P848*BM848</f>
        <v>0</v>
      </c>
      <c r="AB848" s="5">
        <f>+$P848*BN848</f>
        <v>0</v>
      </c>
      <c r="AC848" s="5">
        <v>0</v>
      </c>
      <c r="AD848" s="5">
        <f>+$AC848*BC848</f>
        <v>0</v>
      </c>
      <c r="AE848" s="5">
        <f>+$AC848*BD848</f>
        <v>0</v>
      </c>
      <c r="AF848" s="5">
        <f>+$AC848*BE848</f>
        <v>0</v>
      </c>
      <c r="AG848" s="5">
        <f>+$AC848*BF848</f>
        <v>0</v>
      </c>
      <c r="AH848" s="5">
        <f>+$AC848*BG848</f>
        <v>0</v>
      </c>
      <c r="AI848" s="5">
        <f>+$AC848*BH848</f>
        <v>0</v>
      </c>
      <c r="AJ848" s="5">
        <f>+$AC848*BI848</f>
        <v>0</v>
      </c>
      <c r="AK848" s="5">
        <f>+$AC848*BJ848</f>
        <v>0</v>
      </c>
      <c r="AL848" s="5">
        <f>+$AC848*BK848</f>
        <v>0</v>
      </c>
      <c r="AM848" s="5">
        <f>+$AC848*BL848</f>
        <v>0</v>
      </c>
      <c r="AN848" s="5">
        <f>+$AC848*BM848</f>
        <v>0</v>
      </c>
      <c r="AO848" s="5">
        <f>+$AC848*BN848</f>
        <v>0</v>
      </c>
      <c r="AP848" s="5">
        <f>+AC848+P848+C848</f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2">
        <v>8.9181565948742242E-2</v>
      </c>
      <c r="BD848" s="2">
        <v>0.10665277883445198</v>
      </c>
      <c r="BE848" s="2">
        <v>9.438849084854764E-2</v>
      </c>
      <c r="BF848" s="2">
        <v>7.149564986855049E-2</v>
      </c>
      <c r="BG848" s="2">
        <v>0.10368571810536763</v>
      </c>
      <c r="BH848" s="2">
        <v>8.4970330952544637E-2</v>
      </c>
      <c r="BI848" s="2">
        <v>8.4593878877262704E-2</v>
      </c>
      <c r="BJ848" s="2">
        <v>5.7447105462779965E-2</v>
      </c>
      <c r="BK848" s="2">
        <v>8.5153852345557474E-2</v>
      </c>
      <c r="BL848" s="2">
        <v>7.4158058913035174E-2</v>
      </c>
      <c r="BM848" s="2">
        <v>7.5718189192107169E-2</v>
      </c>
      <c r="BN848" s="2">
        <v>7.3955559365675619E-2</v>
      </c>
    </row>
    <row r="849" spans="1:66" x14ac:dyDescent="0.25">
      <c r="A849" s="8">
        <v>6562</v>
      </c>
      <c r="B849" s="8" t="s">
        <v>147</v>
      </c>
      <c r="C849" s="5">
        <v>0</v>
      </c>
      <c r="D849" s="5">
        <f>+$C849*BC849</f>
        <v>0</v>
      </c>
      <c r="E849" s="5">
        <f>+$C849*BD849</f>
        <v>0</v>
      </c>
      <c r="F849" s="5">
        <f>+$C849*BE849</f>
        <v>0</v>
      </c>
      <c r="G849" s="5">
        <f>+$C849*BF849</f>
        <v>0</v>
      </c>
      <c r="H849" s="5">
        <f>+$C849*BG849</f>
        <v>0</v>
      </c>
      <c r="I849" s="5">
        <f>+$C849*BH849</f>
        <v>0</v>
      </c>
      <c r="J849" s="5">
        <f>+$C849*BI849</f>
        <v>0</v>
      </c>
      <c r="K849" s="5">
        <f>+$C849*BJ849</f>
        <v>0</v>
      </c>
      <c r="L849" s="5">
        <f>+$C849*BK849</f>
        <v>0</v>
      </c>
      <c r="M849" s="5">
        <f>+$C849*BL849</f>
        <v>0</v>
      </c>
      <c r="N849" s="5">
        <f>+$C849*BM849</f>
        <v>0</v>
      </c>
      <c r="O849" s="5">
        <f>+$C849*BN849</f>
        <v>0</v>
      </c>
      <c r="P849" s="5">
        <v>0</v>
      </c>
      <c r="Q849" s="5">
        <f>+$P849*BC849</f>
        <v>0</v>
      </c>
      <c r="R849" s="5">
        <f>+$P849*BD849</f>
        <v>0</v>
      </c>
      <c r="S849" s="5">
        <f>+$P849*BE849</f>
        <v>0</v>
      </c>
      <c r="T849" s="5">
        <f>+$P849*BF849</f>
        <v>0</v>
      </c>
      <c r="U849" s="5">
        <f>+$P849*BG849</f>
        <v>0</v>
      </c>
      <c r="V849" s="5">
        <f>+$P849*BH849</f>
        <v>0</v>
      </c>
      <c r="W849" s="5">
        <f>+$P849*BI849</f>
        <v>0</v>
      </c>
      <c r="X849" s="5">
        <f>+$P849*BJ849</f>
        <v>0</v>
      </c>
      <c r="Y849" s="5">
        <f>+$P849*BK849</f>
        <v>0</v>
      </c>
      <c r="Z849" s="5">
        <f>+$P849*BL849</f>
        <v>0</v>
      </c>
      <c r="AA849" s="5">
        <f>+$P849*BM849</f>
        <v>0</v>
      </c>
      <c r="AB849" s="5">
        <f>+$P849*BN849</f>
        <v>0</v>
      </c>
      <c r="AC849" s="5">
        <v>0</v>
      </c>
      <c r="AD849" s="5">
        <f>+$AC849*BC849</f>
        <v>0</v>
      </c>
      <c r="AE849" s="5">
        <f>+$AC849*BD849</f>
        <v>0</v>
      </c>
      <c r="AF849" s="5">
        <f>+$AC849*BE849</f>
        <v>0</v>
      </c>
      <c r="AG849" s="5">
        <f>+$AC849*BF849</f>
        <v>0</v>
      </c>
      <c r="AH849" s="5">
        <f>+$AC849*BG849</f>
        <v>0</v>
      </c>
      <c r="AI849" s="5">
        <f>+$AC849*BH849</f>
        <v>0</v>
      </c>
      <c r="AJ849" s="5">
        <f>+$AC849*BI849</f>
        <v>0</v>
      </c>
      <c r="AK849" s="5">
        <f>+$AC849*BJ849</f>
        <v>0</v>
      </c>
      <c r="AL849" s="5">
        <f>+$AC849*BK849</f>
        <v>0</v>
      </c>
      <c r="AM849" s="5">
        <f>+$AC849*BL849</f>
        <v>0</v>
      </c>
      <c r="AN849" s="5">
        <f>+$AC849*BM849</f>
        <v>0</v>
      </c>
      <c r="AO849" s="5">
        <f>+$AC849*BN849</f>
        <v>0</v>
      </c>
      <c r="AP849" s="5">
        <f>+AC849+P849+C849</f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2">
        <v>8.9181565948742242E-2</v>
      </c>
      <c r="BD849" s="2">
        <v>0.10665277883445198</v>
      </c>
      <c r="BE849" s="2">
        <v>9.438849084854764E-2</v>
      </c>
      <c r="BF849" s="2">
        <v>7.149564986855049E-2</v>
      </c>
      <c r="BG849" s="2">
        <v>0.10368571810536763</v>
      </c>
      <c r="BH849" s="2">
        <v>8.4970330952544637E-2</v>
      </c>
      <c r="BI849" s="2">
        <v>8.4593878877262704E-2</v>
      </c>
      <c r="BJ849" s="2">
        <v>5.7447105462779965E-2</v>
      </c>
      <c r="BK849" s="2">
        <v>8.5153852345557474E-2</v>
      </c>
      <c r="BL849" s="2">
        <v>7.4158058913035174E-2</v>
      </c>
      <c r="BM849" s="2">
        <v>7.5718189192107169E-2</v>
      </c>
      <c r="BN849" s="2">
        <v>7.3955559365675619E-2</v>
      </c>
    </row>
    <row r="850" spans="1:66" x14ac:dyDescent="0.25">
      <c r="A850" s="8">
        <v>6563</v>
      </c>
      <c r="B850" s="8" t="s">
        <v>146</v>
      </c>
      <c r="C850" s="5">
        <v>0</v>
      </c>
      <c r="D850" s="5">
        <f>+$C850*BC850</f>
        <v>0</v>
      </c>
      <c r="E850" s="5">
        <f>+$C850*BD850</f>
        <v>0</v>
      </c>
      <c r="F850" s="5">
        <f>+$C850*BE850</f>
        <v>0</v>
      </c>
      <c r="G850" s="5">
        <f>+$C850*BF850</f>
        <v>0</v>
      </c>
      <c r="H850" s="5">
        <f>+$C850*BG850</f>
        <v>0</v>
      </c>
      <c r="I850" s="5">
        <f>+$C850*BH850</f>
        <v>0</v>
      </c>
      <c r="J850" s="5">
        <f>+$C850*BI850</f>
        <v>0</v>
      </c>
      <c r="K850" s="5">
        <f>+$C850*BJ850</f>
        <v>0</v>
      </c>
      <c r="L850" s="5">
        <f>+$C850*BK850</f>
        <v>0</v>
      </c>
      <c r="M850" s="5">
        <f>+$C850*BL850</f>
        <v>0</v>
      </c>
      <c r="N850" s="5">
        <f>+$C850*BM850</f>
        <v>0</v>
      </c>
      <c r="O850" s="5">
        <f>+$C850*BN850</f>
        <v>0</v>
      </c>
      <c r="P850" s="5">
        <v>0</v>
      </c>
      <c r="Q850" s="5">
        <f>+$P850*BC850</f>
        <v>0</v>
      </c>
      <c r="R850" s="5">
        <f>+$P850*BD850</f>
        <v>0</v>
      </c>
      <c r="S850" s="5">
        <f>+$P850*BE850</f>
        <v>0</v>
      </c>
      <c r="T850" s="5">
        <f>+$P850*BF850</f>
        <v>0</v>
      </c>
      <c r="U850" s="5">
        <f>+$P850*BG850</f>
        <v>0</v>
      </c>
      <c r="V850" s="5">
        <f>+$P850*BH850</f>
        <v>0</v>
      </c>
      <c r="W850" s="5">
        <f>+$P850*BI850</f>
        <v>0</v>
      </c>
      <c r="X850" s="5">
        <f>+$P850*BJ850</f>
        <v>0</v>
      </c>
      <c r="Y850" s="5">
        <f>+$P850*BK850</f>
        <v>0</v>
      </c>
      <c r="Z850" s="5">
        <f>+$P850*BL850</f>
        <v>0</v>
      </c>
      <c r="AA850" s="5">
        <f>+$P850*BM850</f>
        <v>0</v>
      </c>
      <c r="AB850" s="5">
        <f>+$P850*BN850</f>
        <v>0</v>
      </c>
      <c r="AC850" s="5">
        <v>0</v>
      </c>
      <c r="AD850" s="5">
        <f>+$AC850*BC850</f>
        <v>0</v>
      </c>
      <c r="AE850" s="5">
        <f>+$AC850*BD850</f>
        <v>0</v>
      </c>
      <c r="AF850" s="5">
        <f>+$AC850*BE850</f>
        <v>0</v>
      </c>
      <c r="AG850" s="5">
        <f>+$AC850*BF850</f>
        <v>0</v>
      </c>
      <c r="AH850" s="5">
        <f>+$AC850*BG850</f>
        <v>0</v>
      </c>
      <c r="AI850" s="5">
        <f>+$AC850*BH850</f>
        <v>0</v>
      </c>
      <c r="AJ850" s="5">
        <f>+$AC850*BI850</f>
        <v>0</v>
      </c>
      <c r="AK850" s="5">
        <f>+$AC850*BJ850</f>
        <v>0</v>
      </c>
      <c r="AL850" s="5">
        <f>+$AC850*BK850</f>
        <v>0</v>
      </c>
      <c r="AM850" s="5">
        <f>+$AC850*BL850</f>
        <v>0</v>
      </c>
      <c r="AN850" s="5">
        <f>+$AC850*BM850</f>
        <v>0</v>
      </c>
      <c r="AO850" s="5">
        <f>+$AC850*BN850</f>
        <v>0</v>
      </c>
      <c r="AP850" s="5">
        <f>+AC850+P850+C850</f>
        <v>0</v>
      </c>
      <c r="AQ850" s="1">
        <v>2.4524930635904121</v>
      </c>
      <c r="AR850" s="1">
        <v>2.9329514179474301</v>
      </c>
      <c r="AS850" s="1">
        <v>2.5956834983350605</v>
      </c>
      <c r="AT850" s="1">
        <v>1.9661303713851388</v>
      </c>
      <c r="AU850" s="1">
        <v>2.8513572478976101</v>
      </c>
      <c r="AV850" s="1">
        <v>2.3366841011949777</v>
      </c>
      <c r="AW850" s="1">
        <v>2.3263316691247247</v>
      </c>
      <c r="AX850" s="1">
        <v>1.5797954002264492</v>
      </c>
      <c r="AY850" s="1">
        <v>2.3417309395028307</v>
      </c>
      <c r="AZ850" s="1">
        <v>2.0393466201084673</v>
      </c>
      <c r="BA850" s="1">
        <v>2.0822502027829475</v>
      </c>
      <c r="BB850" s="1">
        <v>2.0337778825560799</v>
      </c>
      <c r="BC850" s="2">
        <v>8.9181565948742242E-2</v>
      </c>
      <c r="BD850" s="2">
        <v>0.10665277883445198</v>
      </c>
      <c r="BE850" s="2">
        <v>9.438849084854764E-2</v>
      </c>
      <c r="BF850" s="2">
        <v>7.149564986855049E-2</v>
      </c>
      <c r="BG850" s="2">
        <v>0.10368571810536763</v>
      </c>
      <c r="BH850" s="2">
        <v>8.4970330952544637E-2</v>
      </c>
      <c r="BI850" s="2">
        <v>8.4593878877262704E-2</v>
      </c>
      <c r="BJ850" s="2">
        <v>5.7447105462779965E-2</v>
      </c>
      <c r="BK850" s="2">
        <v>8.5153852345557474E-2</v>
      </c>
      <c r="BL850" s="2">
        <v>7.4158058913035174E-2</v>
      </c>
      <c r="BM850" s="2">
        <v>7.5718189192107169E-2</v>
      </c>
      <c r="BN850" s="2">
        <v>7.3955559365675619E-2</v>
      </c>
    </row>
    <row r="851" spans="1:66" x14ac:dyDescent="0.25">
      <c r="A851" s="8">
        <v>6568</v>
      </c>
      <c r="B851" s="8" t="s">
        <v>145</v>
      </c>
      <c r="C851" s="5">
        <v>0</v>
      </c>
      <c r="D851" s="5">
        <f>+$C851*BC851</f>
        <v>0</v>
      </c>
      <c r="E851" s="5">
        <f>+$C851*BD851</f>
        <v>0</v>
      </c>
      <c r="F851" s="5">
        <f>+$C851*BE851</f>
        <v>0</v>
      </c>
      <c r="G851" s="5">
        <f>+$C851*BF851</f>
        <v>0</v>
      </c>
      <c r="H851" s="5">
        <f>+$C851*BG851</f>
        <v>0</v>
      </c>
      <c r="I851" s="5">
        <f>+$C851*BH851</f>
        <v>0</v>
      </c>
      <c r="J851" s="5">
        <f>+$C851*BI851</f>
        <v>0</v>
      </c>
      <c r="K851" s="5">
        <f>+$C851*BJ851</f>
        <v>0</v>
      </c>
      <c r="L851" s="5">
        <f>+$C851*BK851</f>
        <v>0</v>
      </c>
      <c r="M851" s="5">
        <f>+$C851*BL851</f>
        <v>0</v>
      </c>
      <c r="N851" s="5">
        <f>+$C851*BM851</f>
        <v>0</v>
      </c>
      <c r="O851" s="5">
        <f>+$C851*BN851</f>
        <v>0</v>
      </c>
      <c r="P851" s="5">
        <v>0</v>
      </c>
      <c r="Q851" s="5">
        <f>+$P851*BC851</f>
        <v>0</v>
      </c>
      <c r="R851" s="5">
        <f>+$P851*BD851</f>
        <v>0</v>
      </c>
      <c r="S851" s="5">
        <f>+$P851*BE851</f>
        <v>0</v>
      </c>
      <c r="T851" s="5">
        <f>+$P851*BF851</f>
        <v>0</v>
      </c>
      <c r="U851" s="5">
        <f>+$P851*BG851</f>
        <v>0</v>
      </c>
      <c r="V851" s="5">
        <f>+$P851*BH851</f>
        <v>0</v>
      </c>
      <c r="W851" s="5">
        <f>+$P851*BI851</f>
        <v>0</v>
      </c>
      <c r="X851" s="5">
        <f>+$P851*BJ851</f>
        <v>0</v>
      </c>
      <c r="Y851" s="5">
        <f>+$P851*BK851</f>
        <v>0</v>
      </c>
      <c r="Z851" s="5">
        <f>+$P851*BL851</f>
        <v>0</v>
      </c>
      <c r="AA851" s="5">
        <f>+$P851*BM851</f>
        <v>0</v>
      </c>
      <c r="AB851" s="5">
        <f>+$P851*BN851</f>
        <v>0</v>
      </c>
      <c r="AC851" s="5">
        <v>0</v>
      </c>
      <c r="AD851" s="5">
        <f>+$AC851*BC851</f>
        <v>0</v>
      </c>
      <c r="AE851" s="5">
        <f>+$AC851*BD851</f>
        <v>0</v>
      </c>
      <c r="AF851" s="5">
        <f>+$AC851*BE851</f>
        <v>0</v>
      </c>
      <c r="AG851" s="5">
        <f>+$AC851*BF851</f>
        <v>0</v>
      </c>
      <c r="AH851" s="5">
        <f>+$AC851*BG851</f>
        <v>0</v>
      </c>
      <c r="AI851" s="5">
        <f>+$AC851*BH851</f>
        <v>0</v>
      </c>
      <c r="AJ851" s="5">
        <f>+$AC851*BI851</f>
        <v>0</v>
      </c>
      <c r="AK851" s="5">
        <f>+$AC851*BJ851</f>
        <v>0</v>
      </c>
      <c r="AL851" s="5">
        <f>+$AC851*BK851</f>
        <v>0</v>
      </c>
      <c r="AM851" s="5">
        <f>+$AC851*BL851</f>
        <v>0</v>
      </c>
      <c r="AN851" s="5">
        <f>+$AC851*BM851</f>
        <v>0</v>
      </c>
      <c r="AO851" s="5">
        <f>+$AC851*BN851</f>
        <v>0</v>
      </c>
      <c r="AP851" s="5">
        <f>+AC851+P851+C851</f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2">
        <v>8.9181565948742242E-2</v>
      </c>
      <c r="BD851" s="2">
        <v>0.10665277883445198</v>
      </c>
      <c r="BE851" s="2">
        <v>9.438849084854764E-2</v>
      </c>
      <c r="BF851" s="2">
        <v>7.149564986855049E-2</v>
      </c>
      <c r="BG851" s="2">
        <v>0.10368571810536763</v>
      </c>
      <c r="BH851" s="2">
        <v>8.4970330952544637E-2</v>
      </c>
      <c r="BI851" s="2">
        <v>8.4593878877262704E-2</v>
      </c>
      <c r="BJ851" s="2">
        <v>5.7447105462779965E-2</v>
      </c>
      <c r="BK851" s="2">
        <v>8.5153852345557474E-2</v>
      </c>
      <c r="BL851" s="2">
        <v>7.4158058913035174E-2</v>
      </c>
      <c r="BM851" s="2">
        <v>7.5718189192107169E-2</v>
      </c>
      <c r="BN851" s="2">
        <v>7.3955559365675619E-2</v>
      </c>
    </row>
    <row r="852" spans="1:66" x14ac:dyDescent="0.25">
      <c r="A852" s="8">
        <v>6569</v>
      </c>
      <c r="B852" s="8" t="s">
        <v>144</v>
      </c>
      <c r="C852" s="5">
        <v>0</v>
      </c>
      <c r="D852" s="5">
        <f>+$C852*BC852</f>
        <v>0</v>
      </c>
      <c r="E852" s="5">
        <f>+$C852*BD852</f>
        <v>0</v>
      </c>
      <c r="F852" s="5">
        <f>+$C852*BE852</f>
        <v>0</v>
      </c>
      <c r="G852" s="5">
        <f>+$C852*BF852</f>
        <v>0</v>
      </c>
      <c r="H852" s="5">
        <f>+$C852*BG852</f>
        <v>0</v>
      </c>
      <c r="I852" s="5">
        <f>+$C852*BH852</f>
        <v>0</v>
      </c>
      <c r="J852" s="5">
        <f>+$C852*BI852</f>
        <v>0</v>
      </c>
      <c r="K852" s="5">
        <f>+$C852*BJ852</f>
        <v>0</v>
      </c>
      <c r="L852" s="5">
        <f>+$C852*BK852</f>
        <v>0</v>
      </c>
      <c r="M852" s="5">
        <f>+$C852*BL852</f>
        <v>0</v>
      </c>
      <c r="N852" s="5">
        <f>+$C852*BM852</f>
        <v>0</v>
      </c>
      <c r="O852" s="5">
        <f>+$C852*BN852</f>
        <v>0</v>
      </c>
      <c r="P852" s="5">
        <v>0</v>
      </c>
      <c r="Q852" s="5">
        <f>+$P852*BC852</f>
        <v>0</v>
      </c>
      <c r="R852" s="5">
        <f>+$P852*BD852</f>
        <v>0</v>
      </c>
      <c r="S852" s="5">
        <f>+$P852*BE852</f>
        <v>0</v>
      </c>
      <c r="T852" s="5">
        <f>+$P852*BF852</f>
        <v>0</v>
      </c>
      <c r="U852" s="5">
        <f>+$P852*BG852</f>
        <v>0</v>
      </c>
      <c r="V852" s="5">
        <f>+$P852*BH852</f>
        <v>0</v>
      </c>
      <c r="W852" s="5">
        <f>+$P852*BI852</f>
        <v>0</v>
      </c>
      <c r="X852" s="5">
        <f>+$P852*BJ852</f>
        <v>0</v>
      </c>
      <c r="Y852" s="5">
        <f>+$P852*BK852</f>
        <v>0</v>
      </c>
      <c r="Z852" s="5">
        <f>+$P852*BL852</f>
        <v>0</v>
      </c>
      <c r="AA852" s="5">
        <f>+$P852*BM852</f>
        <v>0</v>
      </c>
      <c r="AB852" s="5">
        <f>+$P852*BN852</f>
        <v>0</v>
      </c>
      <c r="AC852" s="5">
        <v>0</v>
      </c>
      <c r="AD852" s="5">
        <f>+$AC852*BC852</f>
        <v>0</v>
      </c>
      <c r="AE852" s="5">
        <f>+$AC852*BD852</f>
        <v>0</v>
      </c>
      <c r="AF852" s="5">
        <f>+$AC852*BE852</f>
        <v>0</v>
      </c>
      <c r="AG852" s="5">
        <f>+$AC852*BF852</f>
        <v>0</v>
      </c>
      <c r="AH852" s="5">
        <f>+$AC852*BG852</f>
        <v>0</v>
      </c>
      <c r="AI852" s="5">
        <f>+$AC852*BH852</f>
        <v>0</v>
      </c>
      <c r="AJ852" s="5">
        <f>+$AC852*BI852</f>
        <v>0</v>
      </c>
      <c r="AK852" s="5">
        <f>+$AC852*BJ852</f>
        <v>0</v>
      </c>
      <c r="AL852" s="5">
        <f>+$AC852*BK852</f>
        <v>0</v>
      </c>
      <c r="AM852" s="5">
        <f>+$AC852*BL852</f>
        <v>0</v>
      </c>
      <c r="AN852" s="5">
        <f>+$AC852*BM852</f>
        <v>0</v>
      </c>
      <c r="AO852" s="5">
        <f>+$AC852*BN852</f>
        <v>0</v>
      </c>
      <c r="AP852" s="5">
        <f>+AC852+P852+C852</f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2">
        <v>8.9181565948742242E-2</v>
      </c>
      <c r="BD852" s="2">
        <v>0.10665277883445198</v>
      </c>
      <c r="BE852" s="2">
        <v>9.438849084854764E-2</v>
      </c>
      <c r="BF852" s="2">
        <v>7.149564986855049E-2</v>
      </c>
      <c r="BG852" s="2">
        <v>0.10368571810536763</v>
      </c>
      <c r="BH852" s="2">
        <v>8.4970330952544637E-2</v>
      </c>
      <c r="BI852" s="2">
        <v>8.4593878877262704E-2</v>
      </c>
      <c r="BJ852" s="2">
        <v>5.7447105462779965E-2</v>
      </c>
      <c r="BK852" s="2">
        <v>8.5153852345557474E-2</v>
      </c>
      <c r="BL852" s="2">
        <v>7.4158058913035174E-2</v>
      </c>
      <c r="BM852" s="2">
        <v>7.5718189192107169E-2</v>
      </c>
      <c r="BN852" s="2">
        <v>7.3955559365675619E-2</v>
      </c>
    </row>
    <row r="853" spans="1:66" x14ac:dyDescent="0.25">
      <c r="A853" s="8">
        <v>6573</v>
      </c>
      <c r="B853" s="8" t="s">
        <v>143</v>
      </c>
      <c r="C853" s="5">
        <v>0</v>
      </c>
      <c r="D853" s="5">
        <f>+$C853*BC853</f>
        <v>0</v>
      </c>
      <c r="E853" s="5">
        <f>+$C853*BD853</f>
        <v>0</v>
      </c>
      <c r="F853" s="5">
        <f>+$C853*BE853</f>
        <v>0</v>
      </c>
      <c r="G853" s="5">
        <f>+$C853*BF853</f>
        <v>0</v>
      </c>
      <c r="H853" s="5">
        <f>+$C853*BG853</f>
        <v>0</v>
      </c>
      <c r="I853" s="5">
        <f>+$C853*BH853</f>
        <v>0</v>
      </c>
      <c r="J853" s="5">
        <f>+$C853*BI853</f>
        <v>0</v>
      </c>
      <c r="K853" s="5">
        <f>+$C853*BJ853</f>
        <v>0</v>
      </c>
      <c r="L853" s="5">
        <f>+$C853*BK853</f>
        <v>0</v>
      </c>
      <c r="M853" s="5">
        <f>+$C853*BL853</f>
        <v>0</v>
      </c>
      <c r="N853" s="5">
        <f>+$C853*BM853</f>
        <v>0</v>
      </c>
      <c r="O853" s="5">
        <f>+$C853*BN853</f>
        <v>0</v>
      </c>
      <c r="P853" s="5">
        <v>0</v>
      </c>
      <c r="Q853" s="5">
        <f>+$P853*BC853</f>
        <v>0</v>
      </c>
      <c r="R853" s="5">
        <f>+$P853*BD853</f>
        <v>0</v>
      </c>
      <c r="S853" s="5">
        <f>+$P853*BE853</f>
        <v>0</v>
      </c>
      <c r="T853" s="5">
        <f>+$P853*BF853</f>
        <v>0</v>
      </c>
      <c r="U853" s="5">
        <f>+$P853*BG853</f>
        <v>0</v>
      </c>
      <c r="V853" s="5">
        <f>+$P853*BH853</f>
        <v>0</v>
      </c>
      <c r="W853" s="5">
        <f>+$P853*BI853</f>
        <v>0</v>
      </c>
      <c r="X853" s="5">
        <f>+$P853*BJ853</f>
        <v>0</v>
      </c>
      <c r="Y853" s="5">
        <f>+$P853*BK853</f>
        <v>0</v>
      </c>
      <c r="Z853" s="5">
        <f>+$P853*BL853</f>
        <v>0</v>
      </c>
      <c r="AA853" s="5">
        <f>+$P853*BM853</f>
        <v>0</v>
      </c>
      <c r="AB853" s="5">
        <f>+$P853*BN853</f>
        <v>0</v>
      </c>
      <c r="AC853" s="5">
        <v>300</v>
      </c>
      <c r="AD853" s="5">
        <f>+$AC853*BC853</f>
        <v>26.754469784622671</v>
      </c>
      <c r="AE853" s="5">
        <f>+$AC853*BD853</f>
        <v>31.995833650335594</v>
      </c>
      <c r="AF853" s="5">
        <f>+$AC853*BE853</f>
        <v>28.316547254564291</v>
      </c>
      <c r="AG853" s="5">
        <f>+$AC853*BF853</f>
        <v>21.448694960565145</v>
      </c>
      <c r="AH853" s="5">
        <f>+$AC853*BG853</f>
        <v>31.105715431610289</v>
      </c>
      <c r="AI853" s="5">
        <f>+$AC853*BH853</f>
        <v>25.49109928576339</v>
      </c>
      <c r="AJ853" s="5">
        <f>+$AC853*BI853</f>
        <v>25.37816366317881</v>
      </c>
      <c r="AK853" s="5">
        <f>+$AC853*BJ853</f>
        <v>17.23413163883399</v>
      </c>
      <c r="AL853" s="5">
        <f>+$AC853*BK853</f>
        <v>25.546155703667242</v>
      </c>
      <c r="AM853" s="5">
        <f>+$AC853*BL853</f>
        <v>22.247417673910551</v>
      </c>
      <c r="AN853" s="5">
        <f>+$AC853*BM853</f>
        <v>22.71545675763215</v>
      </c>
      <c r="AO853" s="5">
        <f>+$AC853*BN853</f>
        <v>22.186667809702687</v>
      </c>
      <c r="AP853" s="5">
        <f>+AC853+P853+C853</f>
        <v>300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2">
        <v>8.9181565948742242E-2</v>
      </c>
      <c r="BD853" s="2">
        <v>0.10665277883445198</v>
      </c>
      <c r="BE853" s="2">
        <v>9.438849084854764E-2</v>
      </c>
      <c r="BF853" s="2">
        <v>7.149564986855049E-2</v>
      </c>
      <c r="BG853" s="2">
        <v>0.10368571810536763</v>
      </c>
      <c r="BH853" s="2">
        <v>8.4970330952544637E-2</v>
      </c>
      <c r="BI853" s="2">
        <v>8.4593878877262704E-2</v>
      </c>
      <c r="BJ853" s="2">
        <v>5.7447105462779965E-2</v>
      </c>
      <c r="BK853" s="2">
        <v>8.5153852345557474E-2</v>
      </c>
      <c r="BL853" s="2">
        <v>7.4158058913035174E-2</v>
      </c>
      <c r="BM853" s="2">
        <v>7.5718189192107169E-2</v>
      </c>
      <c r="BN853" s="2">
        <v>7.3955559365675619E-2</v>
      </c>
    </row>
    <row r="854" spans="1:66" x14ac:dyDescent="0.25">
      <c r="A854" s="8">
        <v>6576</v>
      </c>
      <c r="B854" s="8" t="s">
        <v>142</v>
      </c>
      <c r="C854" s="5">
        <v>0</v>
      </c>
      <c r="D854" s="5">
        <f>+$C854*BC854</f>
        <v>0</v>
      </c>
      <c r="E854" s="5">
        <f>+$C854*BD854</f>
        <v>0</v>
      </c>
      <c r="F854" s="5">
        <f>+$C854*BE854</f>
        <v>0</v>
      </c>
      <c r="G854" s="5">
        <f>+$C854*BF854</f>
        <v>0</v>
      </c>
      <c r="H854" s="5">
        <f>+$C854*BG854</f>
        <v>0</v>
      </c>
      <c r="I854" s="5">
        <f>+$C854*BH854</f>
        <v>0</v>
      </c>
      <c r="J854" s="5">
        <f>+$C854*BI854</f>
        <v>0</v>
      </c>
      <c r="K854" s="5">
        <f>+$C854*BJ854</f>
        <v>0</v>
      </c>
      <c r="L854" s="5">
        <f>+$C854*BK854</f>
        <v>0</v>
      </c>
      <c r="M854" s="5">
        <f>+$C854*BL854</f>
        <v>0</v>
      </c>
      <c r="N854" s="5">
        <f>+$C854*BM854</f>
        <v>0</v>
      </c>
      <c r="O854" s="5">
        <f>+$C854*BN854</f>
        <v>0</v>
      </c>
      <c r="P854" s="5">
        <v>0</v>
      </c>
      <c r="Q854" s="5">
        <f>+$P854*BC854</f>
        <v>0</v>
      </c>
      <c r="R854" s="5">
        <f>+$P854*BD854</f>
        <v>0</v>
      </c>
      <c r="S854" s="5">
        <f>+$P854*BE854</f>
        <v>0</v>
      </c>
      <c r="T854" s="5">
        <f>+$P854*BF854</f>
        <v>0</v>
      </c>
      <c r="U854" s="5">
        <f>+$P854*BG854</f>
        <v>0</v>
      </c>
      <c r="V854" s="5">
        <f>+$P854*BH854</f>
        <v>0</v>
      </c>
      <c r="W854" s="5">
        <f>+$P854*BI854</f>
        <v>0</v>
      </c>
      <c r="X854" s="5">
        <f>+$P854*BJ854</f>
        <v>0</v>
      </c>
      <c r="Y854" s="5">
        <f>+$P854*BK854</f>
        <v>0</v>
      </c>
      <c r="Z854" s="5">
        <f>+$P854*BL854</f>
        <v>0</v>
      </c>
      <c r="AA854" s="5">
        <f>+$P854*BM854</f>
        <v>0</v>
      </c>
      <c r="AB854" s="5">
        <f>+$P854*BN854</f>
        <v>0</v>
      </c>
      <c r="AC854" s="5">
        <v>0</v>
      </c>
      <c r="AD854" s="5">
        <f>+$AC854*BC854</f>
        <v>0</v>
      </c>
      <c r="AE854" s="5">
        <f>+$AC854*BD854</f>
        <v>0</v>
      </c>
      <c r="AF854" s="5">
        <f>+$AC854*BE854</f>
        <v>0</v>
      </c>
      <c r="AG854" s="5">
        <f>+$AC854*BF854</f>
        <v>0</v>
      </c>
      <c r="AH854" s="5">
        <f>+$AC854*BG854</f>
        <v>0</v>
      </c>
      <c r="AI854" s="5">
        <f>+$AC854*BH854</f>
        <v>0</v>
      </c>
      <c r="AJ854" s="5">
        <f>+$AC854*BI854</f>
        <v>0</v>
      </c>
      <c r="AK854" s="5">
        <f>+$AC854*BJ854</f>
        <v>0</v>
      </c>
      <c r="AL854" s="5">
        <f>+$AC854*BK854</f>
        <v>0</v>
      </c>
      <c r="AM854" s="5">
        <f>+$AC854*BL854</f>
        <v>0</v>
      </c>
      <c r="AN854" s="5">
        <f>+$AC854*BM854</f>
        <v>0</v>
      </c>
      <c r="AO854" s="5">
        <f>+$AC854*BN854</f>
        <v>0</v>
      </c>
      <c r="AP854" s="5">
        <f>+AC854+P854+C854</f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2">
        <v>8.9181565948742242E-2</v>
      </c>
      <c r="BD854" s="2">
        <v>0.10665277883445198</v>
      </c>
      <c r="BE854" s="2">
        <v>9.438849084854764E-2</v>
      </c>
      <c r="BF854" s="2">
        <v>7.149564986855049E-2</v>
      </c>
      <c r="BG854" s="2">
        <v>0.10368571810536763</v>
      </c>
      <c r="BH854" s="2">
        <v>8.4970330952544637E-2</v>
      </c>
      <c r="BI854" s="2">
        <v>8.4593878877262704E-2</v>
      </c>
      <c r="BJ854" s="2">
        <v>5.7447105462779965E-2</v>
      </c>
      <c r="BK854" s="2">
        <v>8.5153852345557474E-2</v>
      </c>
      <c r="BL854" s="2">
        <v>7.4158058913035174E-2</v>
      </c>
      <c r="BM854" s="2">
        <v>7.5718189192107169E-2</v>
      </c>
      <c r="BN854" s="2">
        <v>7.3955559365675619E-2</v>
      </c>
    </row>
    <row r="855" spans="1:66" x14ac:dyDescent="0.25">
      <c r="A855" s="8">
        <v>6583</v>
      </c>
      <c r="B855" s="8" t="s">
        <v>141</v>
      </c>
      <c r="C855" s="5">
        <v>0</v>
      </c>
      <c r="D855" s="5">
        <f>+$C855*BC855</f>
        <v>0</v>
      </c>
      <c r="E855" s="5">
        <f>+$C855*BD855</f>
        <v>0</v>
      </c>
      <c r="F855" s="5">
        <f>+$C855*BE855</f>
        <v>0</v>
      </c>
      <c r="G855" s="5">
        <f>+$C855*BF855</f>
        <v>0</v>
      </c>
      <c r="H855" s="5">
        <f>+$C855*BG855</f>
        <v>0</v>
      </c>
      <c r="I855" s="5">
        <f>+$C855*BH855</f>
        <v>0</v>
      </c>
      <c r="J855" s="5">
        <f>+$C855*BI855</f>
        <v>0</v>
      </c>
      <c r="K855" s="5">
        <f>+$C855*BJ855</f>
        <v>0</v>
      </c>
      <c r="L855" s="5">
        <f>+$C855*BK855</f>
        <v>0</v>
      </c>
      <c r="M855" s="5">
        <f>+$C855*BL855</f>
        <v>0</v>
      </c>
      <c r="N855" s="5">
        <f>+$C855*BM855</f>
        <v>0</v>
      </c>
      <c r="O855" s="5">
        <f>+$C855*BN855</f>
        <v>0</v>
      </c>
      <c r="P855" s="5">
        <v>0</v>
      </c>
      <c r="Q855" s="5">
        <f>+$P855*BC855</f>
        <v>0</v>
      </c>
      <c r="R855" s="5">
        <f>+$P855*BD855</f>
        <v>0</v>
      </c>
      <c r="S855" s="5">
        <f>+$P855*BE855</f>
        <v>0</v>
      </c>
      <c r="T855" s="5">
        <f>+$P855*BF855</f>
        <v>0</v>
      </c>
      <c r="U855" s="5">
        <f>+$P855*BG855</f>
        <v>0</v>
      </c>
      <c r="V855" s="5">
        <f>+$P855*BH855</f>
        <v>0</v>
      </c>
      <c r="W855" s="5">
        <f>+$P855*BI855</f>
        <v>0</v>
      </c>
      <c r="X855" s="5">
        <f>+$P855*BJ855</f>
        <v>0</v>
      </c>
      <c r="Y855" s="5">
        <f>+$P855*BK855</f>
        <v>0</v>
      </c>
      <c r="Z855" s="5">
        <f>+$P855*BL855</f>
        <v>0</v>
      </c>
      <c r="AA855" s="5">
        <f>+$P855*BM855</f>
        <v>0</v>
      </c>
      <c r="AB855" s="5">
        <f>+$P855*BN855</f>
        <v>0</v>
      </c>
      <c r="AC855" s="5">
        <v>0</v>
      </c>
      <c r="AD855" s="5">
        <f>+$AC855*BC855</f>
        <v>0</v>
      </c>
      <c r="AE855" s="5">
        <f>+$AC855*BD855</f>
        <v>0</v>
      </c>
      <c r="AF855" s="5">
        <f>+$AC855*BE855</f>
        <v>0</v>
      </c>
      <c r="AG855" s="5">
        <f>+$AC855*BF855</f>
        <v>0</v>
      </c>
      <c r="AH855" s="5">
        <f>+$AC855*BG855</f>
        <v>0</v>
      </c>
      <c r="AI855" s="5">
        <f>+$AC855*BH855</f>
        <v>0</v>
      </c>
      <c r="AJ855" s="5">
        <f>+$AC855*BI855</f>
        <v>0</v>
      </c>
      <c r="AK855" s="5">
        <f>+$AC855*BJ855</f>
        <v>0</v>
      </c>
      <c r="AL855" s="5">
        <f>+$AC855*BK855</f>
        <v>0</v>
      </c>
      <c r="AM855" s="5">
        <f>+$AC855*BL855</f>
        <v>0</v>
      </c>
      <c r="AN855" s="5">
        <f>+$AC855*BM855</f>
        <v>0</v>
      </c>
      <c r="AO855" s="5">
        <f>+$AC855*BN855</f>
        <v>0</v>
      </c>
      <c r="AP855" s="5">
        <f>+AC855+P855+C855</f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2">
        <v>8.9181565948742242E-2</v>
      </c>
      <c r="BD855" s="2">
        <v>0.10665277883445198</v>
      </c>
      <c r="BE855" s="2">
        <v>9.438849084854764E-2</v>
      </c>
      <c r="BF855" s="2">
        <v>7.149564986855049E-2</v>
      </c>
      <c r="BG855" s="2">
        <v>0.10368571810536763</v>
      </c>
      <c r="BH855" s="2">
        <v>8.4970330952544637E-2</v>
      </c>
      <c r="BI855" s="2">
        <v>8.4593878877262704E-2</v>
      </c>
      <c r="BJ855" s="2">
        <v>5.7447105462779965E-2</v>
      </c>
      <c r="BK855" s="2">
        <v>8.5153852345557474E-2</v>
      </c>
      <c r="BL855" s="2">
        <v>7.4158058913035174E-2</v>
      </c>
      <c r="BM855" s="2">
        <v>7.5718189192107169E-2</v>
      </c>
      <c r="BN855" s="2">
        <v>7.3955559365675619E-2</v>
      </c>
    </row>
    <row r="856" spans="1:66" x14ac:dyDescent="0.25">
      <c r="A856" s="8">
        <v>6584</v>
      </c>
      <c r="B856" s="8" t="s">
        <v>140</v>
      </c>
      <c r="C856" s="5">
        <v>0</v>
      </c>
      <c r="D856" s="5">
        <f>+$C856*BC856</f>
        <v>0</v>
      </c>
      <c r="E856" s="5">
        <f>+$C856*BD856</f>
        <v>0</v>
      </c>
      <c r="F856" s="5">
        <f>+$C856*BE856</f>
        <v>0</v>
      </c>
      <c r="G856" s="5">
        <f>+$C856*BF856</f>
        <v>0</v>
      </c>
      <c r="H856" s="5">
        <f>+$C856*BG856</f>
        <v>0</v>
      </c>
      <c r="I856" s="5">
        <f>+$C856*BH856</f>
        <v>0</v>
      </c>
      <c r="J856" s="5">
        <f>+$C856*BI856</f>
        <v>0</v>
      </c>
      <c r="K856" s="5">
        <f>+$C856*BJ856</f>
        <v>0</v>
      </c>
      <c r="L856" s="5">
        <f>+$C856*BK856</f>
        <v>0</v>
      </c>
      <c r="M856" s="5">
        <f>+$C856*BL856</f>
        <v>0</v>
      </c>
      <c r="N856" s="5">
        <f>+$C856*BM856</f>
        <v>0</v>
      </c>
      <c r="O856" s="5">
        <f>+$C856*BN856</f>
        <v>0</v>
      </c>
      <c r="P856" s="5">
        <v>0</v>
      </c>
      <c r="Q856" s="5">
        <f>+$P856*BC856</f>
        <v>0</v>
      </c>
      <c r="R856" s="5">
        <f>+$P856*BD856</f>
        <v>0</v>
      </c>
      <c r="S856" s="5">
        <f>+$P856*BE856</f>
        <v>0</v>
      </c>
      <c r="T856" s="5">
        <f>+$P856*BF856</f>
        <v>0</v>
      </c>
      <c r="U856" s="5">
        <f>+$P856*BG856</f>
        <v>0</v>
      </c>
      <c r="V856" s="5">
        <f>+$P856*BH856</f>
        <v>0</v>
      </c>
      <c r="W856" s="5">
        <f>+$P856*BI856</f>
        <v>0</v>
      </c>
      <c r="X856" s="5">
        <f>+$P856*BJ856</f>
        <v>0</v>
      </c>
      <c r="Y856" s="5">
        <f>+$P856*BK856</f>
        <v>0</v>
      </c>
      <c r="Z856" s="5">
        <f>+$P856*BL856</f>
        <v>0</v>
      </c>
      <c r="AA856" s="5">
        <f>+$P856*BM856</f>
        <v>0</v>
      </c>
      <c r="AB856" s="5">
        <f>+$P856*BN856</f>
        <v>0</v>
      </c>
      <c r="AC856" s="5">
        <v>0</v>
      </c>
      <c r="AD856" s="5">
        <f>+$AC856*BC856</f>
        <v>0</v>
      </c>
      <c r="AE856" s="5">
        <f>+$AC856*BD856</f>
        <v>0</v>
      </c>
      <c r="AF856" s="5">
        <f>+$AC856*BE856</f>
        <v>0</v>
      </c>
      <c r="AG856" s="5">
        <f>+$AC856*BF856</f>
        <v>0</v>
      </c>
      <c r="AH856" s="5">
        <f>+$AC856*BG856</f>
        <v>0</v>
      </c>
      <c r="AI856" s="5">
        <f>+$AC856*BH856</f>
        <v>0</v>
      </c>
      <c r="AJ856" s="5">
        <f>+$AC856*BI856</f>
        <v>0</v>
      </c>
      <c r="AK856" s="5">
        <f>+$AC856*BJ856</f>
        <v>0</v>
      </c>
      <c r="AL856" s="5">
        <f>+$AC856*BK856</f>
        <v>0</v>
      </c>
      <c r="AM856" s="5">
        <f>+$AC856*BL856</f>
        <v>0</v>
      </c>
      <c r="AN856" s="5">
        <f>+$AC856*BM856</f>
        <v>0</v>
      </c>
      <c r="AO856" s="5">
        <f>+$AC856*BN856</f>
        <v>0</v>
      </c>
      <c r="AP856" s="5">
        <f>+AC856+P856+C856</f>
        <v>0</v>
      </c>
      <c r="AQ856" s="1">
        <v>9.4666232254589886</v>
      </c>
      <c r="AR856" s="1">
        <v>11.321192473277078</v>
      </c>
      <c r="AS856" s="1">
        <v>10.019338303573333</v>
      </c>
      <c r="AT856" s="1">
        <v>7.5892632335466352</v>
      </c>
      <c r="AU856" s="1">
        <v>11.006238976884774</v>
      </c>
      <c r="AV856" s="1">
        <v>9.0196006306126133</v>
      </c>
      <c r="AW856" s="1">
        <v>8.9796402428214357</v>
      </c>
      <c r="AX856" s="1">
        <v>6.0980102448740938</v>
      </c>
      <c r="AY856" s="1">
        <v>9.0390814264809265</v>
      </c>
      <c r="AZ856" s="1">
        <v>7.871877953618684</v>
      </c>
      <c r="BA856" s="1">
        <v>8.0374857827421771</v>
      </c>
      <c r="BB856" s="1">
        <v>7.8503826266664678</v>
      </c>
      <c r="BC856" s="2">
        <v>8.9181565948742242E-2</v>
      </c>
      <c r="BD856" s="2">
        <v>0.10665277883445198</v>
      </c>
      <c r="BE856" s="2">
        <v>9.438849084854764E-2</v>
      </c>
      <c r="BF856" s="2">
        <v>7.149564986855049E-2</v>
      </c>
      <c r="BG856" s="2">
        <v>0.10368571810536763</v>
      </c>
      <c r="BH856" s="2">
        <v>8.4970330952544637E-2</v>
      </c>
      <c r="BI856" s="2">
        <v>8.4593878877262704E-2</v>
      </c>
      <c r="BJ856" s="2">
        <v>5.7447105462779965E-2</v>
      </c>
      <c r="BK856" s="2">
        <v>8.5153852345557474E-2</v>
      </c>
      <c r="BL856" s="2">
        <v>7.4158058913035174E-2</v>
      </c>
      <c r="BM856" s="2">
        <v>7.5718189192107169E-2</v>
      </c>
      <c r="BN856" s="2">
        <v>7.3955559365675619E-2</v>
      </c>
    </row>
    <row r="857" spans="1:66" x14ac:dyDescent="0.25">
      <c r="A857" s="8">
        <v>6585</v>
      </c>
      <c r="B857" s="8" t="s">
        <v>139</v>
      </c>
      <c r="C857" s="5">
        <v>0</v>
      </c>
      <c r="D857" s="5">
        <f>+$C857*BC857</f>
        <v>0</v>
      </c>
      <c r="E857" s="5">
        <f>+$C857*BD857</f>
        <v>0</v>
      </c>
      <c r="F857" s="5">
        <f>+$C857*BE857</f>
        <v>0</v>
      </c>
      <c r="G857" s="5">
        <f>+$C857*BF857</f>
        <v>0</v>
      </c>
      <c r="H857" s="5">
        <f>+$C857*BG857</f>
        <v>0</v>
      </c>
      <c r="I857" s="5">
        <f>+$C857*BH857</f>
        <v>0</v>
      </c>
      <c r="J857" s="5">
        <f>+$C857*BI857</f>
        <v>0</v>
      </c>
      <c r="K857" s="5">
        <f>+$C857*BJ857</f>
        <v>0</v>
      </c>
      <c r="L857" s="5">
        <f>+$C857*BK857</f>
        <v>0</v>
      </c>
      <c r="M857" s="5">
        <f>+$C857*BL857</f>
        <v>0</v>
      </c>
      <c r="N857" s="5">
        <f>+$C857*BM857</f>
        <v>0</v>
      </c>
      <c r="O857" s="5">
        <f>+$C857*BN857</f>
        <v>0</v>
      </c>
      <c r="P857" s="5">
        <v>0</v>
      </c>
      <c r="Q857" s="5">
        <f>+$P857*BC857</f>
        <v>0</v>
      </c>
      <c r="R857" s="5">
        <f>+$P857*BD857</f>
        <v>0</v>
      </c>
      <c r="S857" s="5">
        <f>+$P857*BE857</f>
        <v>0</v>
      </c>
      <c r="T857" s="5">
        <f>+$P857*BF857</f>
        <v>0</v>
      </c>
      <c r="U857" s="5">
        <f>+$P857*BG857</f>
        <v>0</v>
      </c>
      <c r="V857" s="5">
        <f>+$P857*BH857</f>
        <v>0</v>
      </c>
      <c r="W857" s="5">
        <f>+$P857*BI857</f>
        <v>0</v>
      </c>
      <c r="X857" s="5">
        <f>+$P857*BJ857</f>
        <v>0</v>
      </c>
      <c r="Y857" s="5">
        <f>+$P857*BK857</f>
        <v>0</v>
      </c>
      <c r="Z857" s="5">
        <f>+$P857*BL857</f>
        <v>0</v>
      </c>
      <c r="AA857" s="5">
        <f>+$P857*BM857</f>
        <v>0</v>
      </c>
      <c r="AB857" s="5">
        <f>+$P857*BN857</f>
        <v>0</v>
      </c>
      <c r="AC857" s="5">
        <v>0</v>
      </c>
      <c r="AD857" s="5">
        <f>+$AC857*BC857</f>
        <v>0</v>
      </c>
      <c r="AE857" s="5">
        <f>+$AC857*BD857</f>
        <v>0</v>
      </c>
      <c r="AF857" s="5">
        <f>+$AC857*BE857</f>
        <v>0</v>
      </c>
      <c r="AG857" s="5">
        <f>+$AC857*BF857</f>
        <v>0</v>
      </c>
      <c r="AH857" s="5">
        <f>+$AC857*BG857</f>
        <v>0</v>
      </c>
      <c r="AI857" s="5">
        <f>+$AC857*BH857</f>
        <v>0</v>
      </c>
      <c r="AJ857" s="5">
        <f>+$AC857*BI857</f>
        <v>0</v>
      </c>
      <c r="AK857" s="5">
        <f>+$AC857*BJ857</f>
        <v>0</v>
      </c>
      <c r="AL857" s="5">
        <f>+$AC857*BK857</f>
        <v>0</v>
      </c>
      <c r="AM857" s="5">
        <f>+$AC857*BL857</f>
        <v>0</v>
      </c>
      <c r="AN857" s="5">
        <f>+$AC857*BM857</f>
        <v>0</v>
      </c>
      <c r="AO857" s="5">
        <f>+$AC857*BN857</f>
        <v>0</v>
      </c>
      <c r="AP857" s="5">
        <f>+AC857+P857+C857</f>
        <v>0</v>
      </c>
      <c r="AQ857" s="1">
        <v>3.4874451364255652</v>
      </c>
      <c r="AR857" s="1">
        <v>4.1706569163212448</v>
      </c>
      <c r="AS857" s="1">
        <v>3.6910619346324554</v>
      </c>
      <c r="AT857" s="1">
        <v>2.7958373881096668</v>
      </c>
      <c r="AU857" s="1">
        <v>4.0546300065104006</v>
      </c>
      <c r="AV857" s="1">
        <v>3.3227647918992576</v>
      </c>
      <c r="AW857" s="1">
        <v>3.3080436334953576</v>
      </c>
      <c r="AX857" s="1">
        <v>2.2464690591220102</v>
      </c>
      <c r="AY857" s="1">
        <v>3.3299413959730249</v>
      </c>
      <c r="AZ857" s="1">
        <v>2.8999508937942404</v>
      </c>
      <c r="BA857" s="1">
        <v>2.9609597883573504</v>
      </c>
      <c r="BB857" s="1">
        <v>2.8920321489947449</v>
      </c>
      <c r="BC857" s="2">
        <v>8.9181565948742242E-2</v>
      </c>
      <c r="BD857" s="2">
        <v>0.10665277883445198</v>
      </c>
      <c r="BE857" s="2">
        <v>9.438849084854764E-2</v>
      </c>
      <c r="BF857" s="2">
        <v>7.149564986855049E-2</v>
      </c>
      <c r="BG857" s="2">
        <v>0.10368571810536763</v>
      </c>
      <c r="BH857" s="2">
        <v>8.4970330952544637E-2</v>
      </c>
      <c r="BI857" s="2">
        <v>8.4593878877262704E-2</v>
      </c>
      <c r="BJ857" s="2">
        <v>5.7447105462779965E-2</v>
      </c>
      <c r="BK857" s="2">
        <v>8.5153852345557474E-2</v>
      </c>
      <c r="BL857" s="2">
        <v>7.4158058913035174E-2</v>
      </c>
      <c r="BM857" s="2">
        <v>7.5718189192107169E-2</v>
      </c>
      <c r="BN857" s="2">
        <v>7.3955559365675619E-2</v>
      </c>
    </row>
    <row r="858" spans="1:66" x14ac:dyDescent="0.25">
      <c r="A858" s="8">
        <v>6590</v>
      </c>
      <c r="B858" s="8" t="s">
        <v>138</v>
      </c>
      <c r="C858" s="5">
        <v>0</v>
      </c>
      <c r="D858" s="5">
        <f>+$C858*BC858</f>
        <v>0</v>
      </c>
      <c r="E858" s="5">
        <f>+$C858*BD858</f>
        <v>0</v>
      </c>
      <c r="F858" s="5">
        <f>+$C858*BE858</f>
        <v>0</v>
      </c>
      <c r="G858" s="5">
        <f>+$C858*BF858</f>
        <v>0</v>
      </c>
      <c r="H858" s="5">
        <f>+$C858*BG858</f>
        <v>0</v>
      </c>
      <c r="I858" s="5">
        <f>+$C858*BH858</f>
        <v>0</v>
      </c>
      <c r="J858" s="5">
        <f>+$C858*BI858</f>
        <v>0</v>
      </c>
      <c r="K858" s="5">
        <f>+$C858*BJ858</f>
        <v>0</v>
      </c>
      <c r="L858" s="5">
        <f>+$C858*BK858</f>
        <v>0</v>
      </c>
      <c r="M858" s="5">
        <f>+$C858*BL858</f>
        <v>0</v>
      </c>
      <c r="N858" s="5">
        <f>+$C858*BM858</f>
        <v>0</v>
      </c>
      <c r="O858" s="5">
        <f>+$C858*BN858</f>
        <v>0</v>
      </c>
      <c r="P858" s="5">
        <v>4000</v>
      </c>
      <c r="Q858" s="5">
        <f>+$P858*BC858</f>
        <v>356.72626379496899</v>
      </c>
      <c r="R858" s="5">
        <f>+$P858*BD858</f>
        <v>426.61111533780792</v>
      </c>
      <c r="S858" s="5">
        <f>+$P858*BE858</f>
        <v>377.55396339419059</v>
      </c>
      <c r="T858" s="5">
        <f>+$P858*BF858</f>
        <v>285.98259947420195</v>
      </c>
      <c r="U858" s="5">
        <f>+$P858*BG858</f>
        <v>414.74287242147051</v>
      </c>
      <c r="V858" s="5">
        <f>+$P858*BH858</f>
        <v>339.88132381017857</v>
      </c>
      <c r="W858" s="5">
        <f>+$P858*BI858</f>
        <v>338.37551550905084</v>
      </c>
      <c r="X858" s="5">
        <f>+$P858*BJ858</f>
        <v>229.78842185111986</v>
      </c>
      <c r="Y858" s="5">
        <f>+$P858*BK858</f>
        <v>340.61540938222987</v>
      </c>
      <c r="Z858" s="5">
        <f>+$P858*BL858</f>
        <v>296.63223565214071</v>
      </c>
      <c r="AA858" s="5">
        <f>+$P858*BM858</f>
        <v>302.8727567684287</v>
      </c>
      <c r="AB858" s="5">
        <f>+$P858*BN858</f>
        <v>295.8222374627025</v>
      </c>
      <c r="AC858" s="5">
        <v>0</v>
      </c>
      <c r="AD858" s="5">
        <f>+$AC858*BC858</f>
        <v>0</v>
      </c>
      <c r="AE858" s="5">
        <f>+$AC858*BD858</f>
        <v>0</v>
      </c>
      <c r="AF858" s="5">
        <f>+$AC858*BE858</f>
        <v>0</v>
      </c>
      <c r="AG858" s="5">
        <f>+$AC858*BF858</f>
        <v>0</v>
      </c>
      <c r="AH858" s="5">
        <f>+$AC858*BG858</f>
        <v>0</v>
      </c>
      <c r="AI858" s="5">
        <f>+$AC858*BH858</f>
        <v>0</v>
      </c>
      <c r="AJ858" s="5">
        <f>+$AC858*BI858</f>
        <v>0</v>
      </c>
      <c r="AK858" s="5">
        <f>+$AC858*BJ858</f>
        <v>0</v>
      </c>
      <c r="AL858" s="5">
        <f>+$AC858*BK858</f>
        <v>0</v>
      </c>
      <c r="AM858" s="5">
        <f>+$AC858*BL858</f>
        <v>0</v>
      </c>
      <c r="AN858" s="5">
        <f>+$AC858*BM858</f>
        <v>0</v>
      </c>
      <c r="AO858" s="5">
        <f>+$AC858*BN858</f>
        <v>0</v>
      </c>
      <c r="AP858" s="5">
        <f>+AC858+P858+C858</f>
        <v>4000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2">
        <v>8.9181565948742242E-2</v>
      </c>
      <c r="BD858" s="2">
        <v>0.10665277883445198</v>
      </c>
      <c r="BE858" s="2">
        <v>9.438849084854764E-2</v>
      </c>
      <c r="BF858" s="2">
        <v>7.149564986855049E-2</v>
      </c>
      <c r="BG858" s="2">
        <v>0.10368571810536763</v>
      </c>
      <c r="BH858" s="2">
        <v>8.4970330952544637E-2</v>
      </c>
      <c r="BI858" s="2">
        <v>8.4593878877262704E-2</v>
      </c>
      <c r="BJ858" s="2">
        <v>5.7447105462779965E-2</v>
      </c>
      <c r="BK858" s="2">
        <v>8.5153852345557474E-2</v>
      </c>
      <c r="BL858" s="2">
        <v>7.4158058913035174E-2</v>
      </c>
      <c r="BM858" s="2">
        <v>7.5718189192107169E-2</v>
      </c>
      <c r="BN858" s="2">
        <v>7.3955559365675619E-2</v>
      </c>
    </row>
    <row r="859" spans="1:66" x14ac:dyDescent="0.25">
      <c r="A859" s="8">
        <v>6591</v>
      </c>
      <c r="B859" s="8" t="s">
        <v>137</v>
      </c>
      <c r="C859" s="5">
        <v>0</v>
      </c>
      <c r="D859" s="5">
        <f>+$C859*BC859</f>
        <v>0</v>
      </c>
      <c r="E859" s="5">
        <f>+$C859*BD859</f>
        <v>0</v>
      </c>
      <c r="F859" s="5">
        <f>+$C859*BE859</f>
        <v>0</v>
      </c>
      <c r="G859" s="5">
        <f>+$C859*BF859</f>
        <v>0</v>
      </c>
      <c r="H859" s="5">
        <f>+$C859*BG859</f>
        <v>0</v>
      </c>
      <c r="I859" s="5">
        <f>+$C859*BH859</f>
        <v>0</v>
      </c>
      <c r="J859" s="5">
        <f>+$C859*BI859</f>
        <v>0</v>
      </c>
      <c r="K859" s="5">
        <f>+$C859*BJ859</f>
        <v>0</v>
      </c>
      <c r="L859" s="5">
        <f>+$C859*BK859</f>
        <v>0</v>
      </c>
      <c r="M859" s="5">
        <f>+$C859*BL859</f>
        <v>0</v>
      </c>
      <c r="N859" s="5">
        <f>+$C859*BM859</f>
        <v>0</v>
      </c>
      <c r="O859" s="5">
        <f>+$C859*BN859</f>
        <v>0</v>
      </c>
      <c r="P859" s="5">
        <v>0</v>
      </c>
      <c r="Q859" s="5">
        <f>+$P859*BC859</f>
        <v>0</v>
      </c>
      <c r="R859" s="5">
        <f>+$P859*BD859</f>
        <v>0</v>
      </c>
      <c r="S859" s="5">
        <f>+$P859*BE859</f>
        <v>0</v>
      </c>
      <c r="T859" s="5">
        <f>+$P859*BF859</f>
        <v>0</v>
      </c>
      <c r="U859" s="5">
        <f>+$P859*BG859</f>
        <v>0</v>
      </c>
      <c r="V859" s="5">
        <f>+$P859*BH859</f>
        <v>0</v>
      </c>
      <c r="W859" s="5">
        <f>+$P859*BI859</f>
        <v>0</v>
      </c>
      <c r="X859" s="5">
        <f>+$P859*BJ859</f>
        <v>0</v>
      </c>
      <c r="Y859" s="5">
        <f>+$P859*BK859</f>
        <v>0</v>
      </c>
      <c r="Z859" s="5">
        <f>+$P859*BL859</f>
        <v>0</v>
      </c>
      <c r="AA859" s="5">
        <f>+$P859*BM859</f>
        <v>0</v>
      </c>
      <c r="AB859" s="5">
        <f>+$P859*BN859</f>
        <v>0</v>
      </c>
      <c r="AC859" s="5">
        <v>0</v>
      </c>
      <c r="AD859" s="5">
        <f>+$AC859*BC859</f>
        <v>0</v>
      </c>
      <c r="AE859" s="5">
        <f>+$AC859*BD859</f>
        <v>0</v>
      </c>
      <c r="AF859" s="5">
        <f>+$AC859*BE859</f>
        <v>0</v>
      </c>
      <c r="AG859" s="5">
        <f>+$AC859*BF859</f>
        <v>0</v>
      </c>
      <c r="AH859" s="5">
        <f>+$AC859*BG859</f>
        <v>0</v>
      </c>
      <c r="AI859" s="5">
        <f>+$AC859*BH859</f>
        <v>0</v>
      </c>
      <c r="AJ859" s="5">
        <f>+$AC859*BI859</f>
        <v>0</v>
      </c>
      <c r="AK859" s="5">
        <f>+$AC859*BJ859</f>
        <v>0</v>
      </c>
      <c r="AL859" s="5">
        <f>+$AC859*BK859</f>
        <v>0</v>
      </c>
      <c r="AM859" s="5">
        <f>+$AC859*BL859</f>
        <v>0</v>
      </c>
      <c r="AN859" s="5">
        <f>+$AC859*BM859</f>
        <v>0</v>
      </c>
      <c r="AO859" s="5">
        <f>+$AC859*BN859</f>
        <v>0</v>
      </c>
      <c r="AP859" s="5">
        <f>+AC859+P859+C859</f>
        <v>0</v>
      </c>
      <c r="AQ859" s="1">
        <v>5.2954230229044175</v>
      </c>
      <c r="AR859" s="1">
        <v>6.3328287016320903</v>
      </c>
      <c r="AS859" s="1">
        <v>5.6045998096050624</v>
      </c>
      <c r="AT859" s="1">
        <v>4.2452686978947911</v>
      </c>
      <c r="AU859" s="1">
        <v>6.1566505696605196</v>
      </c>
      <c r="AV859" s="1">
        <v>5.0453683113001961</v>
      </c>
      <c r="AW859" s="1">
        <v>5.0230153399741058</v>
      </c>
      <c r="AX859" s="1">
        <v>3.4110942281689494</v>
      </c>
      <c r="AY859" s="1">
        <v>5.0562654445745121</v>
      </c>
      <c r="AZ859" s="1">
        <v>4.4033572221382027</v>
      </c>
      <c r="BA859" s="1">
        <v>4.4959946378489404</v>
      </c>
      <c r="BB859" s="1">
        <v>4.3913332040150879</v>
      </c>
      <c r="BC859" s="2">
        <v>8.9181565948742242E-2</v>
      </c>
      <c r="BD859" s="2">
        <v>0.10665277883445198</v>
      </c>
      <c r="BE859" s="2">
        <v>9.438849084854764E-2</v>
      </c>
      <c r="BF859" s="2">
        <v>7.149564986855049E-2</v>
      </c>
      <c r="BG859" s="2">
        <v>0.10368571810536763</v>
      </c>
      <c r="BH859" s="2">
        <v>8.4970330952544637E-2</v>
      </c>
      <c r="BI859" s="2">
        <v>8.4593878877262704E-2</v>
      </c>
      <c r="BJ859" s="2">
        <v>5.7447105462779965E-2</v>
      </c>
      <c r="BK859" s="2">
        <v>8.5153852345557474E-2</v>
      </c>
      <c r="BL859" s="2">
        <v>7.4158058913035174E-2</v>
      </c>
      <c r="BM859" s="2">
        <v>7.5718189192107169E-2</v>
      </c>
      <c r="BN859" s="2">
        <v>7.3955559365675619E-2</v>
      </c>
    </row>
    <row r="860" spans="1:66" x14ac:dyDescent="0.25">
      <c r="A860" s="8">
        <v>6596</v>
      </c>
      <c r="B860" s="8" t="s">
        <v>136</v>
      </c>
      <c r="C860" s="5">
        <v>0</v>
      </c>
      <c r="D860" s="5">
        <f>+$C860*BC860</f>
        <v>0</v>
      </c>
      <c r="E860" s="5">
        <f>+$C860*BD860</f>
        <v>0</v>
      </c>
      <c r="F860" s="5">
        <f>+$C860*BE860</f>
        <v>0</v>
      </c>
      <c r="G860" s="5">
        <f>+$C860*BF860</f>
        <v>0</v>
      </c>
      <c r="H860" s="5">
        <f>+$C860*BG860</f>
        <v>0</v>
      </c>
      <c r="I860" s="5">
        <f>+$C860*BH860</f>
        <v>0</v>
      </c>
      <c r="J860" s="5">
        <f>+$C860*BI860</f>
        <v>0</v>
      </c>
      <c r="K860" s="5">
        <f>+$C860*BJ860</f>
        <v>0</v>
      </c>
      <c r="L860" s="5">
        <f>+$C860*BK860</f>
        <v>0</v>
      </c>
      <c r="M860" s="5">
        <f>+$C860*BL860</f>
        <v>0</v>
      </c>
      <c r="N860" s="5">
        <f>+$C860*BM860</f>
        <v>0</v>
      </c>
      <c r="O860" s="5">
        <f>+$C860*BN860</f>
        <v>0</v>
      </c>
      <c r="P860" s="5">
        <v>0</v>
      </c>
      <c r="Q860" s="5">
        <f>+$P860*BC860</f>
        <v>0</v>
      </c>
      <c r="R860" s="5">
        <f>+$P860*BD860</f>
        <v>0</v>
      </c>
      <c r="S860" s="5">
        <f>+$P860*BE860</f>
        <v>0</v>
      </c>
      <c r="T860" s="5">
        <f>+$P860*BF860</f>
        <v>0</v>
      </c>
      <c r="U860" s="5">
        <f>+$P860*BG860</f>
        <v>0</v>
      </c>
      <c r="V860" s="5">
        <f>+$P860*BH860</f>
        <v>0</v>
      </c>
      <c r="W860" s="5">
        <f>+$P860*BI860</f>
        <v>0</v>
      </c>
      <c r="X860" s="5">
        <f>+$P860*BJ860</f>
        <v>0</v>
      </c>
      <c r="Y860" s="5">
        <f>+$P860*BK860</f>
        <v>0</v>
      </c>
      <c r="Z860" s="5">
        <f>+$P860*BL860</f>
        <v>0</v>
      </c>
      <c r="AA860" s="5">
        <f>+$P860*BM860</f>
        <v>0</v>
      </c>
      <c r="AB860" s="5">
        <f>+$P860*BN860</f>
        <v>0</v>
      </c>
      <c r="AC860" s="5">
        <v>0</v>
      </c>
      <c r="AD860" s="5">
        <f>+$AC860*BC860</f>
        <v>0</v>
      </c>
      <c r="AE860" s="5">
        <f>+$AC860*BD860</f>
        <v>0</v>
      </c>
      <c r="AF860" s="5">
        <f>+$AC860*BE860</f>
        <v>0</v>
      </c>
      <c r="AG860" s="5">
        <f>+$AC860*BF860</f>
        <v>0</v>
      </c>
      <c r="AH860" s="5">
        <f>+$AC860*BG860</f>
        <v>0</v>
      </c>
      <c r="AI860" s="5">
        <f>+$AC860*BH860</f>
        <v>0</v>
      </c>
      <c r="AJ860" s="5">
        <f>+$AC860*BI860</f>
        <v>0</v>
      </c>
      <c r="AK860" s="5">
        <f>+$AC860*BJ860</f>
        <v>0</v>
      </c>
      <c r="AL860" s="5">
        <f>+$AC860*BK860</f>
        <v>0</v>
      </c>
      <c r="AM860" s="5">
        <f>+$AC860*BL860</f>
        <v>0</v>
      </c>
      <c r="AN860" s="5">
        <f>+$AC860*BM860</f>
        <v>0</v>
      </c>
      <c r="AO860" s="5">
        <f>+$AC860*BN860</f>
        <v>0</v>
      </c>
      <c r="AP860" s="5">
        <f>+AC860+P860+C860</f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2">
        <v>8.9181565948742242E-2</v>
      </c>
      <c r="BD860" s="2">
        <v>0.10665277883445198</v>
      </c>
      <c r="BE860" s="2">
        <v>9.438849084854764E-2</v>
      </c>
      <c r="BF860" s="2">
        <v>7.149564986855049E-2</v>
      </c>
      <c r="BG860" s="2">
        <v>0.10368571810536763</v>
      </c>
      <c r="BH860" s="2">
        <v>8.4970330952544637E-2</v>
      </c>
      <c r="BI860" s="2">
        <v>8.4593878877262704E-2</v>
      </c>
      <c r="BJ860" s="2">
        <v>5.7447105462779965E-2</v>
      </c>
      <c r="BK860" s="2">
        <v>8.5153852345557474E-2</v>
      </c>
      <c r="BL860" s="2">
        <v>7.4158058913035174E-2</v>
      </c>
      <c r="BM860" s="2">
        <v>7.5718189192107169E-2</v>
      </c>
      <c r="BN860" s="2">
        <v>7.3955559365675619E-2</v>
      </c>
    </row>
    <row r="861" spans="1:66" x14ac:dyDescent="0.25">
      <c r="A861" s="8">
        <v>6597</v>
      </c>
      <c r="B861" s="8" t="s">
        <v>135</v>
      </c>
      <c r="C861" s="5">
        <v>0</v>
      </c>
      <c r="D861" s="5">
        <f>+$C861*BC861</f>
        <v>0</v>
      </c>
      <c r="E861" s="5">
        <f>+$C861*BD861</f>
        <v>0</v>
      </c>
      <c r="F861" s="5">
        <f>+$C861*BE861</f>
        <v>0</v>
      </c>
      <c r="G861" s="5">
        <f>+$C861*BF861</f>
        <v>0</v>
      </c>
      <c r="H861" s="5">
        <f>+$C861*BG861</f>
        <v>0</v>
      </c>
      <c r="I861" s="5">
        <f>+$C861*BH861</f>
        <v>0</v>
      </c>
      <c r="J861" s="5">
        <f>+$C861*BI861</f>
        <v>0</v>
      </c>
      <c r="K861" s="5">
        <f>+$C861*BJ861</f>
        <v>0</v>
      </c>
      <c r="L861" s="5">
        <f>+$C861*BK861</f>
        <v>0</v>
      </c>
      <c r="M861" s="5">
        <f>+$C861*BL861</f>
        <v>0</v>
      </c>
      <c r="N861" s="5">
        <f>+$C861*BM861</f>
        <v>0</v>
      </c>
      <c r="O861" s="5">
        <f>+$C861*BN861</f>
        <v>0</v>
      </c>
      <c r="P861" s="5">
        <v>0</v>
      </c>
      <c r="Q861" s="5">
        <f>+$P861*BC861</f>
        <v>0</v>
      </c>
      <c r="R861" s="5">
        <f>+$P861*BD861</f>
        <v>0</v>
      </c>
      <c r="S861" s="5">
        <f>+$P861*BE861</f>
        <v>0</v>
      </c>
      <c r="T861" s="5">
        <f>+$P861*BF861</f>
        <v>0</v>
      </c>
      <c r="U861" s="5">
        <f>+$P861*BG861</f>
        <v>0</v>
      </c>
      <c r="V861" s="5">
        <f>+$P861*BH861</f>
        <v>0</v>
      </c>
      <c r="W861" s="5">
        <f>+$P861*BI861</f>
        <v>0</v>
      </c>
      <c r="X861" s="5">
        <f>+$P861*BJ861</f>
        <v>0</v>
      </c>
      <c r="Y861" s="5">
        <f>+$P861*BK861</f>
        <v>0</v>
      </c>
      <c r="Z861" s="5">
        <f>+$P861*BL861</f>
        <v>0</v>
      </c>
      <c r="AA861" s="5">
        <f>+$P861*BM861</f>
        <v>0</v>
      </c>
      <c r="AB861" s="5">
        <f>+$P861*BN861</f>
        <v>0</v>
      </c>
      <c r="AC861" s="5">
        <v>0</v>
      </c>
      <c r="AD861" s="5">
        <f>+$AC861*BC861</f>
        <v>0</v>
      </c>
      <c r="AE861" s="5">
        <f>+$AC861*BD861</f>
        <v>0</v>
      </c>
      <c r="AF861" s="5">
        <f>+$AC861*BE861</f>
        <v>0</v>
      </c>
      <c r="AG861" s="5">
        <f>+$AC861*BF861</f>
        <v>0</v>
      </c>
      <c r="AH861" s="5">
        <f>+$AC861*BG861</f>
        <v>0</v>
      </c>
      <c r="AI861" s="5">
        <f>+$AC861*BH861</f>
        <v>0</v>
      </c>
      <c r="AJ861" s="5">
        <f>+$AC861*BI861</f>
        <v>0</v>
      </c>
      <c r="AK861" s="5">
        <f>+$AC861*BJ861</f>
        <v>0</v>
      </c>
      <c r="AL861" s="5">
        <f>+$AC861*BK861</f>
        <v>0</v>
      </c>
      <c r="AM861" s="5">
        <f>+$AC861*BL861</f>
        <v>0</v>
      </c>
      <c r="AN861" s="5">
        <f>+$AC861*BM861</f>
        <v>0</v>
      </c>
      <c r="AO861" s="5">
        <f>+$AC861*BN861</f>
        <v>0</v>
      </c>
      <c r="AP861" s="5">
        <f>+AC861+P861+C861</f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2">
        <v>8.9181565948742242E-2</v>
      </c>
      <c r="BD861" s="2">
        <v>0.10665277883445198</v>
      </c>
      <c r="BE861" s="2">
        <v>9.438849084854764E-2</v>
      </c>
      <c r="BF861" s="2">
        <v>7.149564986855049E-2</v>
      </c>
      <c r="BG861" s="2">
        <v>0.10368571810536763</v>
      </c>
      <c r="BH861" s="2">
        <v>8.4970330952544637E-2</v>
      </c>
      <c r="BI861" s="2">
        <v>8.4593878877262704E-2</v>
      </c>
      <c r="BJ861" s="2">
        <v>5.7447105462779965E-2</v>
      </c>
      <c r="BK861" s="2">
        <v>8.5153852345557474E-2</v>
      </c>
      <c r="BL861" s="2">
        <v>7.4158058913035174E-2</v>
      </c>
      <c r="BM861" s="2">
        <v>7.5718189192107169E-2</v>
      </c>
      <c r="BN861" s="2">
        <v>7.3955559365675619E-2</v>
      </c>
    </row>
    <row r="862" spans="1:66" x14ac:dyDescent="0.25">
      <c r="A862" s="8">
        <v>6598</v>
      </c>
      <c r="B862" s="8" t="s">
        <v>134</v>
      </c>
      <c r="C862" s="5">
        <v>0</v>
      </c>
      <c r="D862" s="5">
        <f>+$C862*BC862</f>
        <v>0</v>
      </c>
      <c r="E862" s="5">
        <f>+$C862*BD862</f>
        <v>0</v>
      </c>
      <c r="F862" s="5">
        <f>+$C862*BE862</f>
        <v>0</v>
      </c>
      <c r="G862" s="5">
        <f>+$C862*BF862</f>
        <v>0</v>
      </c>
      <c r="H862" s="5">
        <f>+$C862*BG862</f>
        <v>0</v>
      </c>
      <c r="I862" s="5">
        <f>+$C862*BH862</f>
        <v>0</v>
      </c>
      <c r="J862" s="5">
        <f>+$C862*BI862</f>
        <v>0</v>
      </c>
      <c r="K862" s="5">
        <f>+$C862*BJ862</f>
        <v>0</v>
      </c>
      <c r="L862" s="5">
        <f>+$C862*BK862</f>
        <v>0</v>
      </c>
      <c r="M862" s="5">
        <f>+$C862*BL862</f>
        <v>0</v>
      </c>
      <c r="N862" s="5">
        <f>+$C862*BM862</f>
        <v>0</v>
      </c>
      <c r="O862" s="5">
        <f>+$C862*BN862</f>
        <v>0</v>
      </c>
      <c r="P862" s="5">
        <v>0</v>
      </c>
      <c r="Q862" s="5">
        <f>+$P862*BC862</f>
        <v>0</v>
      </c>
      <c r="R862" s="5">
        <f>+$P862*BD862</f>
        <v>0</v>
      </c>
      <c r="S862" s="5">
        <f>+$P862*BE862</f>
        <v>0</v>
      </c>
      <c r="T862" s="5">
        <f>+$P862*BF862</f>
        <v>0</v>
      </c>
      <c r="U862" s="5">
        <f>+$P862*BG862</f>
        <v>0</v>
      </c>
      <c r="V862" s="5">
        <f>+$P862*BH862</f>
        <v>0</v>
      </c>
      <c r="W862" s="5">
        <f>+$P862*BI862</f>
        <v>0</v>
      </c>
      <c r="X862" s="5">
        <f>+$P862*BJ862</f>
        <v>0</v>
      </c>
      <c r="Y862" s="5">
        <f>+$P862*BK862</f>
        <v>0</v>
      </c>
      <c r="Z862" s="5">
        <f>+$P862*BL862</f>
        <v>0</v>
      </c>
      <c r="AA862" s="5">
        <f>+$P862*BM862</f>
        <v>0</v>
      </c>
      <c r="AB862" s="5">
        <f>+$P862*BN862</f>
        <v>0</v>
      </c>
      <c r="AC862" s="5">
        <v>0</v>
      </c>
      <c r="AD862" s="5">
        <f>+$AC862*BC862</f>
        <v>0</v>
      </c>
      <c r="AE862" s="5">
        <f>+$AC862*BD862</f>
        <v>0</v>
      </c>
      <c r="AF862" s="5">
        <f>+$AC862*BE862</f>
        <v>0</v>
      </c>
      <c r="AG862" s="5">
        <f>+$AC862*BF862</f>
        <v>0</v>
      </c>
      <c r="AH862" s="5">
        <f>+$AC862*BG862</f>
        <v>0</v>
      </c>
      <c r="AI862" s="5">
        <f>+$AC862*BH862</f>
        <v>0</v>
      </c>
      <c r="AJ862" s="5">
        <f>+$AC862*BI862</f>
        <v>0</v>
      </c>
      <c r="AK862" s="5">
        <f>+$AC862*BJ862</f>
        <v>0</v>
      </c>
      <c r="AL862" s="5">
        <f>+$AC862*BK862</f>
        <v>0</v>
      </c>
      <c r="AM862" s="5">
        <f>+$AC862*BL862</f>
        <v>0</v>
      </c>
      <c r="AN862" s="5">
        <f>+$AC862*BM862</f>
        <v>0</v>
      </c>
      <c r="AO862" s="5">
        <f>+$AC862*BN862</f>
        <v>0</v>
      </c>
      <c r="AP862" s="5">
        <f>+AC862+P862+C862</f>
        <v>0</v>
      </c>
      <c r="AQ862" s="1">
        <v>89.32470236208998</v>
      </c>
      <c r="AR862" s="1">
        <v>106.82395654448128</v>
      </c>
      <c r="AS862" s="1">
        <v>94.539984376359556</v>
      </c>
      <c r="AT862" s="1">
        <v>71.610400386589518</v>
      </c>
      <c r="AU862" s="1">
        <v>103.85213368292675</v>
      </c>
      <c r="AV862" s="1">
        <v>85.106708333723475</v>
      </c>
      <c r="AW862" s="1">
        <v>84.729652052860715</v>
      </c>
      <c r="AX862" s="1">
        <v>57.539308067047727</v>
      </c>
      <c r="AY862" s="1">
        <v>85.290524278572093</v>
      </c>
      <c r="AZ862" s="1">
        <v>74.277082597590592</v>
      </c>
      <c r="BA862" s="1">
        <v>75.839716885760495</v>
      </c>
      <c r="BB862" s="1">
        <v>74.074258038457529</v>
      </c>
      <c r="BC862" s="2">
        <v>8.9181565948742242E-2</v>
      </c>
      <c r="BD862" s="2">
        <v>0.10665277883445198</v>
      </c>
      <c r="BE862" s="2">
        <v>9.438849084854764E-2</v>
      </c>
      <c r="BF862" s="2">
        <v>7.149564986855049E-2</v>
      </c>
      <c r="BG862" s="2">
        <v>0.10368571810536763</v>
      </c>
      <c r="BH862" s="2">
        <v>8.4970330952544637E-2</v>
      </c>
      <c r="BI862" s="2">
        <v>8.4593878877262704E-2</v>
      </c>
      <c r="BJ862" s="2">
        <v>5.7447105462779965E-2</v>
      </c>
      <c r="BK862" s="2">
        <v>8.5153852345557474E-2</v>
      </c>
      <c r="BL862" s="2">
        <v>7.4158058913035174E-2</v>
      </c>
      <c r="BM862" s="2">
        <v>7.5718189192107169E-2</v>
      </c>
      <c r="BN862" s="2">
        <v>7.3955559365675619E-2</v>
      </c>
    </row>
    <row r="863" spans="1:66" x14ac:dyDescent="0.25">
      <c r="A863" s="8">
        <v>6599</v>
      </c>
      <c r="B863" s="8" t="s">
        <v>133</v>
      </c>
      <c r="C863" s="5">
        <v>0</v>
      </c>
      <c r="D863" s="5">
        <f>+$C863*BC863</f>
        <v>0</v>
      </c>
      <c r="E863" s="5">
        <f>+$C863*BD863</f>
        <v>0</v>
      </c>
      <c r="F863" s="5">
        <f>+$C863*BE863</f>
        <v>0</v>
      </c>
      <c r="G863" s="5">
        <f>+$C863*BF863</f>
        <v>0</v>
      </c>
      <c r="H863" s="5">
        <f>+$C863*BG863</f>
        <v>0</v>
      </c>
      <c r="I863" s="5">
        <f>+$C863*BH863</f>
        <v>0</v>
      </c>
      <c r="J863" s="5">
        <f>+$C863*BI863</f>
        <v>0</v>
      </c>
      <c r="K863" s="5">
        <f>+$C863*BJ863</f>
        <v>0</v>
      </c>
      <c r="L863" s="5">
        <f>+$C863*BK863</f>
        <v>0</v>
      </c>
      <c r="M863" s="5">
        <f>+$C863*BL863</f>
        <v>0</v>
      </c>
      <c r="N863" s="5">
        <f>+$C863*BM863</f>
        <v>0</v>
      </c>
      <c r="O863" s="5">
        <f>+$C863*BN863</f>
        <v>0</v>
      </c>
      <c r="P863" s="5">
        <v>0</v>
      </c>
      <c r="Q863" s="5">
        <f>+$P863*BC863</f>
        <v>0</v>
      </c>
      <c r="R863" s="5">
        <f>+$P863*BD863</f>
        <v>0</v>
      </c>
      <c r="S863" s="5">
        <f>+$P863*BE863</f>
        <v>0</v>
      </c>
      <c r="T863" s="5">
        <f>+$P863*BF863</f>
        <v>0</v>
      </c>
      <c r="U863" s="5">
        <f>+$P863*BG863</f>
        <v>0</v>
      </c>
      <c r="V863" s="5">
        <f>+$P863*BH863</f>
        <v>0</v>
      </c>
      <c r="W863" s="5">
        <f>+$P863*BI863</f>
        <v>0</v>
      </c>
      <c r="X863" s="5">
        <f>+$P863*BJ863</f>
        <v>0</v>
      </c>
      <c r="Y863" s="5">
        <f>+$P863*BK863</f>
        <v>0</v>
      </c>
      <c r="Z863" s="5">
        <f>+$P863*BL863</f>
        <v>0</v>
      </c>
      <c r="AA863" s="5">
        <f>+$P863*BM863</f>
        <v>0</v>
      </c>
      <c r="AB863" s="5">
        <f>+$P863*BN863</f>
        <v>0</v>
      </c>
      <c r="AC863" s="5">
        <v>0</v>
      </c>
      <c r="AD863" s="5">
        <f>+$AC863*BC863</f>
        <v>0</v>
      </c>
      <c r="AE863" s="5">
        <f>+$AC863*BD863</f>
        <v>0</v>
      </c>
      <c r="AF863" s="5">
        <f>+$AC863*BE863</f>
        <v>0</v>
      </c>
      <c r="AG863" s="5">
        <f>+$AC863*BF863</f>
        <v>0</v>
      </c>
      <c r="AH863" s="5">
        <f>+$AC863*BG863</f>
        <v>0</v>
      </c>
      <c r="AI863" s="5">
        <f>+$AC863*BH863</f>
        <v>0</v>
      </c>
      <c r="AJ863" s="5">
        <f>+$AC863*BI863</f>
        <v>0</v>
      </c>
      <c r="AK863" s="5">
        <f>+$AC863*BJ863</f>
        <v>0</v>
      </c>
      <c r="AL863" s="5">
        <f>+$AC863*BK863</f>
        <v>0</v>
      </c>
      <c r="AM863" s="5">
        <f>+$AC863*BL863</f>
        <v>0</v>
      </c>
      <c r="AN863" s="5">
        <f>+$AC863*BM863</f>
        <v>0</v>
      </c>
      <c r="AO863" s="5">
        <f>+$AC863*BN863</f>
        <v>0</v>
      </c>
      <c r="AP863" s="5">
        <f>+AC863+P863+C863</f>
        <v>0</v>
      </c>
      <c r="AQ863" s="1">
        <v>45.485898351798646</v>
      </c>
      <c r="AR863" s="1">
        <v>54.396863358387385</v>
      </c>
      <c r="AS863" s="1">
        <v>48.141622706920693</v>
      </c>
      <c r="AT863" s="1">
        <v>36.465426772005884</v>
      </c>
      <c r="AU863" s="1">
        <v>52.883552605307386</v>
      </c>
      <c r="AV863" s="1">
        <v>43.338012688043008</v>
      </c>
      <c r="AW863" s="1">
        <v>43.146008200922438</v>
      </c>
      <c r="AX863" s="1">
        <v>29.300149328919904</v>
      </c>
      <c r="AY863" s="1">
        <v>43.431615388771093</v>
      </c>
      <c r="AZ863" s="1">
        <v>37.823353893827722</v>
      </c>
      <c r="BA863" s="1">
        <v>38.619078060974765</v>
      </c>
      <c r="BB863" s="1">
        <v>37.720071632191093</v>
      </c>
      <c r="BC863" s="2">
        <v>8.9181565948742242E-2</v>
      </c>
      <c r="BD863" s="2">
        <v>0.10665277883445198</v>
      </c>
      <c r="BE863" s="2">
        <v>9.438849084854764E-2</v>
      </c>
      <c r="BF863" s="2">
        <v>7.149564986855049E-2</v>
      </c>
      <c r="BG863" s="2">
        <v>0.10368571810536763</v>
      </c>
      <c r="BH863" s="2">
        <v>8.4970330952544637E-2</v>
      </c>
      <c r="BI863" s="2">
        <v>8.4593878877262704E-2</v>
      </c>
      <c r="BJ863" s="2">
        <v>5.7447105462779965E-2</v>
      </c>
      <c r="BK863" s="2">
        <v>8.5153852345557474E-2</v>
      </c>
      <c r="BL863" s="2">
        <v>7.4158058913035174E-2</v>
      </c>
      <c r="BM863" s="2">
        <v>7.5718189192107169E-2</v>
      </c>
      <c r="BN863" s="2">
        <v>7.3955559365675619E-2</v>
      </c>
    </row>
    <row r="864" spans="1:66" x14ac:dyDescent="0.25">
      <c r="A864" s="8">
        <v>6601</v>
      </c>
      <c r="B864" s="8" t="s">
        <v>132</v>
      </c>
      <c r="C864" s="5">
        <v>0</v>
      </c>
      <c r="D864" s="5">
        <f>+$C864*BC864</f>
        <v>0</v>
      </c>
      <c r="E864" s="5">
        <f>+$C864*BD864</f>
        <v>0</v>
      </c>
      <c r="F864" s="5">
        <f>+$C864*BE864</f>
        <v>0</v>
      </c>
      <c r="G864" s="5">
        <f>+$C864*BF864</f>
        <v>0</v>
      </c>
      <c r="H864" s="5">
        <f>+$C864*BG864</f>
        <v>0</v>
      </c>
      <c r="I864" s="5">
        <f>+$C864*BH864</f>
        <v>0</v>
      </c>
      <c r="J864" s="5">
        <f>+$C864*BI864</f>
        <v>0</v>
      </c>
      <c r="K864" s="5">
        <f>+$C864*BJ864</f>
        <v>0</v>
      </c>
      <c r="L864" s="5">
        <f>+$C864*BK864</f>
        <v>0</v>
      </c>
      <c r="M864" s="5">
        <f>+$C864*BL864</f>
        <v>0</v>
      </c>
      <c r="N864" s="5">
        <f>+$C864*BM864</f>
        <v>0</v>
      </c>
      <c r="O864" s="5">
        <f>+$C864*BN864</f>
        <v>0</v>
      </c>
      <c r="P864" s="5">
        <v>0</v>
      </c>
      <c r="Q864" s="5">
        <f>+$P864*BC864</f>
        <v>0</v>
      </c>
      <c r="R864" s="5">
        <f>+$P864*BD864</f>
        <v>0</v>
      </c>
      <c r="S864" s="5">
        <f>+$P864*BE864</f>
        <v>0</v>
      </c>
      <c r="T864" s="5">
        <f>+$P864*BF864</f>
        <v>0</v>
      </c>
      <c r="U864" s="5">
        <f>+$P864*BG864</f>
        <v>0</v>
      </c>
      <c r="V864" s="5">
        <f>+$P864*BH864</f>
        <v>0</v>
      </c>
      <c r="W864" s="5">
        <f>+$P864*BI864</f>
        <v>0</v>
      </c>
      <c r="X864" s="5">
        <f>+$P864*BJ864</f>
        <v>0</v>
      </c>
      <c r="Y864" s="5">
        <f>+$P864*BK864</f>
        <v>0</v>
      </c>
      <c r="Z864" s="5">
        <f>+$P864*BL864</f>
        <v>0</v>
      </c>
      <c r="AA864" s="5">
        <f>+$P864*BM864</f>
        <v>0</v>
      </c>
      <c r="AB864" s="5">
        <f>+$P864*BN864</f>
        <v>0</v>
      </c>
      <c r="AC864" s="5">
        <v>0</v>
      </c>
      <c r="AD864" s="5">
        <f>+$AC864*BC864</f>
        <v>0</v>
      </c>
      <c r="AE864" s="5">
        <f>+$AC864*BD864</f>
        <v>0</v>
      </c>
      <c r="AF864" s="5">
        <f>+$AC864*BE864</f>
        <v>0</v>
      </c>
      <c r="AG864" s="5">
        <f>+$AC864*BF864</f>
        <v>0</v>
      </c>
      <c r="AH864" s="5">
        <f>+$AC864*BG864</f>
        <v>0</v>
      </c>
      <c r="AI864" s="5">
        <f>+$AC864*BH864</f>
        <v>0</v>
      </c>
      <c r="AJ864" s="5">
        <f>+$AC864*BI864</f>
        <v>0</v>
      </c>
      <c r="AK864" s="5">
        <f>+$AC864*BJ864</f>
        <v>0</v>
      </c>
      <c r="AL864" s="5">
        <f>+$AC864*BK864</f>
        <v>0</v>
      </c>
      <c r="AM864" s="5">
        <f>+$AC864*BL864</f>
        <v>0</v>
      </c>
      <c r="AN864" s="5">
        <f>+$AC864*BM864</f>
        <v>0</v>
      </c>
      <c r="AO864" s="5">
        <f>+$AC864*BN864</f>
        <v>0</v>
      </c>
      <c r="AP864" s="5">
        <f>+AC864+P864+C864</f>
        <v>0</v>
      </c>
      <c r="AQ864" s="1">
        <v>23.955952245151146</v>
      </c>
      <c r="AR864" s="1">
        <v>28.649069450510499</v>
      </c>
      <c r="AS864" s="1">
        <v>25.354636411736873</v>
      </c>
      <c r="AT864" s="1">
        <v>19.205161467690036</v>
      </c>
      <c r="AU864" s="1">
        <v>27.852057597463858</v>
      </c>
      <c r="AV864" s="1">
        <v>22.824730300472545</v>
      </c>
      <c r="AW864" s="1">
        <v>22.723607744010312</v>
      </c>
      <c r="AX864" s="1">
        <v>15.431441469411958</v>
      </c>
      <c r="AY864" s="1">
        <v>22.874027817063652</v>
      </c>
      <c r="AZ864" s="1">
        <v>19.920337785219512</v>
      </c>
      <c r="BA864" s="1">
        <v>20.339419980783834</v>
      </c>
      <c r="BB864" s="1">
        <v>19.865942356807789</v>
      </c>
      <c r="BC864" s="2">
        <v>8.9181565948742242E-2</v>
      </c>
      <c r="BD864" s="2">
        <v>0.10665277883445198</v>
      </c>
      <c r="BE864" s="2">
        <v>9.438849084854764E-2</v>
      </c>
      <c r="BF864" s="2">
        <v>7.149564986855049E-2</v>
      </c>
      <c r="BG864" s="2">
        <v>0.10368571810536763</v>
      </c>
      <c r="BH864" s="2">
        <v>8.4970330952544637E-2</v>
      </c>
      <c r="BI864" s="2">
        <v>8.4593878877262704E-2</v>
      </c>
      <c r="BJ864" s="2">
        <v>5.7447105462779965E-2</v>
      </c>
      <c r="BK864" s="2">
        <v>8.5153852345557474E-2</v>
      </c>
      <c r="BL864" s="2">
        <v>7.4158058913035174E-2</v>
      </c>
      <c r="BM864" s="2">
        <v>7.5718189192107169E-2</v>
      </c>
      <c r="BN864" s="2">
        <v>7.3955559365675619E-2</v>
      </c>
    </row>
    <row r="865" spans="1:66" x14ac:dyDescent="0.25">
      <c r="A865" s="8">
        <v>6602</v>
      </c>
      <c r="B865" s="8" t="s">
        <v>131</v>
      </c>
      <c r="C865" s="5">
        <v>0</v>
      </c>
      <c r="D865" s="5">
        <f>+$C865*BC865</f>
        <v>0</v>
      </c>
      <c r="E865" s="5">
        <f>+$C865*BD865</f>
        <v>0</v>
      </c>
      <c r="F865" s="5">
        <f>+$C865*BE865</f>
        <v>0</v>
      </c>
      <c r="G865" s="5">
        <f>+$C865*BF865</f>
        <v>0</v>
      </c>
      <c r="H865" s="5">
        <f>+$C865*BG865</f>
        <v>0</v>
      </c>
      <c r="I865" s="5">
        <f>+$C865*BH865</f>
        <v>0</v>
      </c>
      <c r="J865" s="5">
        <f>+$C865*BI865</f>
        <v>0</v>
      </c>
      <c r="K865" s="5">
        <f>+$C865*BJ865</f>
        <v>0</v>
      </c>
      <c r="L865" s="5">
        <f>+$C865*BK865</f>
        <v>0</v>
      </c>
      <c r="M865" s="5">
        <f>+$C865*BL865</f>
        <v>0</v>
      </c>
      <c r="N865" s="5">
        <f>+$C865*BM865</f>
        <v>0</v>
      </c>
      <c r="O865" s="5">
        <f>+$C865*BN865</f>
        <v>0</v>
      </c>
      <c r="P865" s="5">
        <v>0</v>
      </c>
      <c r="Q865" s="5">
        <f>+$P865*BC865</f>
        <v>0</v>
      </c>
      <c r="R865" s="5">
        <f>+$P865*BD865</f>
        <v>0</v>
      </c>
      <c r="S865" s="5">
        <f>+$P865*BE865</f>
        <v>0</v>
      </c>
      <c r="T865" s="5">
        <f>+$P865*BF865</f>
        <v>0</v>
      </c>
      <c r="U865" s="5">
        <f>+$P865*BG865</f>
        <v>0</v>
      </c>
      <c r="V865" s="5">
        <f>+$P865*BH865</f>
        <v>0</v>
      </c>
      <c r="W865" s="5">
        <f>+$P865*BI865</f>
        <v>0</v>
      </c>
      <c r="X865" s="5">
        <f>+$P865*BJ865</f>
        <v>0</v>
      </c>
      <c r="Y865" s="5">
        <f>+$P865*BK865</f>
        <v>0</v>
      </c>
      <c r="Z865" s="5">
        <f>+$P865*BL865</f>
        <v>0</v>
      </c>
      <c r="AA865" s="5">
        <f>+$P865*BM865</f>
        <v>0</v>
      </c>
      <c r="AB865" s="5">
        <f>+$P865*BN865</f>
        <v>0</v>
      </c>
      <c r="AC865" s="5">
        <v>500</v>
      </c>
      <c r="AD865" s="5">
        <f>+$AC865*BC865</f>
        <v>44.590782974371123</v>
      </c>
      <c r="AE865" s="5">
        <f>+$AC865*BD865</f>
        <v>53.32638941722599</v>
      </c>
      <c r="AF865" s="5">
        <f>+$AC865*BE865</f>
        <v>47.194245424273824</v>
      </c>
      <c r="AG865" s="5">
        <f>+$AC865*BF865</f>
        <v>35.747824934275243</v>
      </c>
      <c r="AH865" s="5">
        <f>+$AC865*BG865</f>
        <v>51.842859052683814</v>
      </c>
      <c r="AI865" s="5">
        <f>+$AC865*BH865</f>
        <v>42.485165476272321</v>
      </c>
      <c r="AJ865" s="5">
        <f>+$AC865*BI865</f>
        <v>42.296939438631355</v>
      </c>
      <c r="AK865" s="5">
        <f>+$AC865*BJ865</f>
        <v>28.723552731389983</v>
      </c>
      <c r="AL865" s="5">
        <f>+$AC865*BK865</f>
        <v>42.576926172778734</v>
      </c>
      <c r="AM865" s="5">
        <f>+$AC865*BL865</f>
        <v>37.079029456517588</v>
      </c>
      <c r="AN865" s="5">
        <f>+$AC865*BM865</f>
        <v>37.859094596053588</v>
      </c>
      <c r="AO865" s="5">
        <f>+$AC865*BN865</f>
        <v>36.977779682837813</v>
      </c>
      <c r="AP865" s="5">
        <f>+AC865+P865+C865</f>
        <v>500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2">
        <v>8.9181565948742242E-2</v>
      </c>
      <c r="BD865" s="2">
        <v>0.10665277883445198</v>
      </c>
      <c r="BE865" s="2">
        <v>9.438849084854764E-2</v>
      </c>
      <c r="BF865" s="2">
        <v>7.149564986855049E-2</v>
      </c>
      <c r="BG865" s="2">
        <v>0.10368571810536763</v>
      </c>
      <c r="BH865" s="2">
        <v>8.4970330952544637E-2</v>
      </c>
      <c r="BI865" s="2">
        <v>8.4593878877262704E-2</v>
      </c>
      <c r="BJ865" s="2">
        <v>5.7447105462779965E-2</v>
      </c>
      <c r="BK865" s="2">
        <v>8.5153852345557474E-2</v>
      </c>
      <c r="BL865" s="2">
        <v>7.4158058913035174E-2</v>
      </c>
      <c r="BM865" s="2">
        <v>7.5718189192107169E-2</v>
      </c>
      <c r="BN865" s="2">
        <v>7.3955559365675619E-2</v>
      </c>
    </row>
    <row r="866" spans="1:66" x14ac:dyDescent="0.25">
      <c r="A866" s="8">
        <v>6606</v>
      </c>
      <c r="B866" s="8" t="s">
        <v>130</v>
      </c>
      <c r="C866" s="5">
        <v>0</v>
      </c>
      <c r="D866" s="5">
        <f>+$C866*BC866</f>
        <v>0</v>
      </c>
      <c r="E866" s="5">
        <f>+$C866*BD866</f>
        <v>0</v>
      </c>
      <c r="F866" s="5">
        <f>+$C866*BE866</f>
        <v>0</v>
      </c>
      <c r="G866" s="5">
        <f>+$C866*BF866</f>
        <v>0</v>
      </c>
      <c r="H866" s="5">
        <f>+$C866*BG866</f>
        <v>0</v>
      </c>
      <c r="I866" s="5">
        <f>+$C866*BH866</f>
        <v>0</v>
      </c>
      <c r="J866" s="5">
        <f>+$C866*BI866</f>
        <v>0</v>
      </c>
      <c r="K866" s="5">
        <f>+$C866*BJ866</f>
        <v>0</v>
      </c>
      <c r="L866" s="5">
        <f>+$C866*BK866</f>
        <v>0</v>
      </c>
      <c r="M866" s="5">
        <f>+$C866*BL866</f>
        <v>0</v>
      </c>
      <c r="N866" s="5">
        <f>+$C866*BM866</f>
        <v>0</v>
      </c>
      <c r="O866" s="5">
        <f>+$C866*BN866</f>
        <v>0</v>
      </c>
      <c r="P866" s="5">
        <v>0</v>
      </c>
      <c r="Q866" s="5">
        <f>+$P866*BC866</f>
        <v>0</v>
      </c>
      <c r="R866" s="5">
        <f>+$P866*BD866</f>
        <v>0</v>
      </c>
      <c r="S866" s="5">
        <f>+$P866*BE866</f>
        <v>0</v>
      </c>
      <c r="T866" s="5">
        <f>+$P866*BF866</f>
        <v>0</v>
      </c>
      <c r="U866" s="5">
        <f>+$P866*BG866</f>
        <v>0</v>
      </c>
      <c r="V866" s="5">
        <f>+$P866*BH866</f>
        <v>0</v>
      </c>
      <c r="W866" s="5">
        <f>+$P866*BI866</f>
        <v>0</v>
      </c>
      <c r="X866" s="5">
        <f>+$P866*BJ866</f>
        <v>0</v>
      </c>
      <c r="Y866" s="5">
        <f>+$P866*BK866</f>
        <v>0</v>
      </c>
      <c r="Z866" s="5">
        <f>+$P866*BL866</f>
        <v>0</v>
      </c>
      <c r="AA866" s="5">
        <f>+$P866*BM866</f>
        <v>0</v>
      </c>
      <c r="AB866" s="5">
        <f>+$P866*BN866</f>
        <v>0</v>
      </c>
      <c r="AC866" s="5">
        <v>0</v>
      </c>
      <c r="AD866" s="5">
        <f>+$AC866*BC866</f>
        <v>0</v>
      </c>
      <c r="AE866" s="5">
        <f>+$AC866*BD866</f>
        <v>0</v>
      </c>
      <c r="AF866" s="5">
        <f>+$AC866*BE866</f>
        <v>0</v>
      </c>
      <c r="AG866" s="5">
        <f>+$AC866*BF866</f>
        <v>0</v>
      </c>
      <c r="AH866" s="5">
        <f>+$AC866*BG866</f>
        <v>0</v>
      </c>
      <c r="AI866" s="5">
        <f>+$AC866*BH866</f>
        <v>0</v>
      </c>
      <c r="AJ866" s="5">
        <f>+$AC866*BI866</f>
        <v>0</v>
      </c>
      <c r="AK866" s="5">
        <f>+$AC866*BJ866</f>
        <v>0</v>
      </c>
      <c r="AL866" s="5">
        <f>+$AC866*BK866</f>
        <v>0</v>
      </c>
      <c r="AM866" s="5">
        <f>+$AC866*BL866</f>
        <v>0</v>
      </c>
      <c r="AN866" s="5">
        <f>+$AC866*BM866</f>
        <v>0</v>
      </c>
      <c r="AO866" s="5">
        <f>+$AC866*BN866</f>
        <v>0</v>
      </c>
      <c r="AP866" s="5">
        <f>+AC866+P866+C866</f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2">
        <v>8.9181565948742242E-2</v>
      </c>
      <c r="BD866" s="2">
        <v>0.10665277883445198</v>
      </c>
      <c r="BE866" s="2">
        <v>9.438849084854764E-2</v>
      </c>
      <c r="BF866" s="2">
        <v>7.149564986855049E-2</v>
      </c>
      <c r="BG866" s="2">
        <v>0.10368571810536763</v>
      </c>
      <c r="BH866" s="2">
        <v>8.4970330952544637E-2</v>
      </c>
      <c r="BI866" s="2">
        <v>8.4593878877262704E-2</v>
      </c>
      <c r="BJ866" s="2">
        <v>5.7447105462779965E-2</v>
      </c>
      <c r="BK866" s="2">
        <v>8.5153852345557474E-2</v>
      </c>
      <c r="BL866" s="2">
        <v>7.4158058913035174E-2</v>
      </c>
      <c r="BM866" s="2">
        <v>7.5718189192107169E-2</v>
      </c>
      <c r="BN866" s="2">
        <v>7.3955559365675619E-2</v>
      </c>
    </row>
    <row r="867" spans="1:66" x14ac:dyDescent="0.25">
      <c r="A867" s="8">
        <v>6608</v>
      </c>
      <c r="B867" s="8" t="s">
        <v>129</v>
      </c>
      <c r="C867" s="5">
        <v>0</v>
      </c>
      <c r="D867" s="5">
        <f>+$C867*BC867</f>
        <v>0</v>
      </c>
      <c r="E867" s="5">
        <f>+$C867*BD867</f>
        <v>0</v>
      </c>
      <c r="F867" s="5">
        <f>+$C867*BE867</f>
        <v>0</v>
      </c>
      <c r="G867" s="5">
        <f>+$C867*BF867</f>
        <v>0</v>
      </c>
      <c r="H867" s="5">
        <f>+$C867*BG867</f>
        <v>0</v>
      </c>
      <c r="I867" s="5">
        <f>+$C867*BH867</f>
        <v>0</v>
      </c>
      <c r="J867" s="5">
        <f>+$C867*BI867</f>
        <v>0</v>
      </c>
      <c r="K867" s="5">
        <f>+$C867*BJ867</f>
        <v>0</v>
      </c>
      <c r="L867" s="5">
        <f>+$C867*BK867</f>
        <v>0</v>
      </c>
      <c r="M867" s="5">
        <f>+$C867*BL867</f>
        <v>0</v>
      </c>
      <c r="N867" s="5">
        <f>+$C867*BM867</f>
        <v>0</v>
      </c>
      <c r="O867" s="5">
        <f>+$C867*BN867</f>
        <v>0</v>
      </c>
      <c r="P867" s="5">
        <v>0</v>
      </c>
      <c r="Q867" s="5">
        <f>+$P867*BC867</f>
        <v>0</v>
      </c>
      <c r="R867" s="5">
        <f>+$P867*BD867</f>
        <v>0</v>
      </c>
      <c r="S867" s="5">
        <f>+$P867*BE867</f>
        <v>0</v>
      </c>
      <c r="T867" s="5">
        <f>+$P867*BF867</f>
        <v>0</v>
      </c>
      <c r="U867" s="5">
        <f>+$P867*BG867</f>
        <v>0</v>
      </c>
      <c r="V867" s="5">
        <f>+$P867*BH867</f>
        <v>0</v>
      </c>
      <c r="W867" s="5">
        <f>+$P867*BI867</f>
        <v>0</v>
      </c>
      <c r="X867" s="5">
        <f>+$P867*BJ867</f>
        <v>0</v>
      </c>
      <c r="Y867" s="5">
        <f>+$P867*BK867</f>
        <v>0</v>
      </c>
      <c r="Z867" s="5">
        <f>+$P867*BL867</f>
        <v>0</v>
      </c>
      <c r="AA867" s="5">
        <f>+$P867*BM867</f>
        <v>0</v>
      </c>
      <c r="AB867" s="5">
        <f>+$P867*BN867</f>
        <v>0</v>
      </c>
      <c r="AC867" s="5">
        <v>0</v>
      </c>
      <c r="AD867" s="5">
        <f>+$AC867*BC867</f>
        <v>0</v>
      </c>
      <c r="AE867" s="5">
        <f>+$AC867*BD867</f>
        <v>0</v>
      </c>
      <c r="AF867" s="5">
        <f>+$AC867*BE867</f>
        <v>0</v>
      </c>
      <c r="AG867" s="5">
        <f>+$AC867*BF867</f>
        <v>0</v>
      </c>
      <c r="AH867" s="5">
        <f>+$AC867*BG867</f>
        <v>0</v>
      </c>
      <c r="AI867" s="5">
        <f>+$AC867*BH867</f>
        <v>0</v>
      </c>
      <c r="AJ867" s="5">
        <f>+$AC867*BI867</f>
        <v>0</v>
      </c>
      <c r="AK867" s="5">
        <f>+$AC867*BJ867</f>
        <v>0</v>
      </c>
      <c r="AL867" s="5">
        <f>+$AC867*BK867</f>
        <v>0</v>
      </c>
      <c r="AM867" s="5">
        <f>+$AC867*BL867</f>
        <v>0</v>
      </c>
      <c r="AN867" s="5">
        <f>+$AC867*BM867</f>
        <v>0</v>
      </c>
      <c r="AO867" s="5">
        <f>+$AC867*BN867</f>
        <v>0</v>
      </c>
      <c r="AP867" s="5">
        <f>+AC867+P867+C867</f>
        <v>0</v>
      </c>
      <c r="AQ867" s="1">
        <v>9.1723240578281402</v>
      </c>
      <c r="AR867" s="1">
        <v>10.969238303123387</v>
      </c>
      <c r="AS867" s="1">
        <v>9.7078562837731255</v>
      </c>
      <c r="AT867" s="1">
        <v>7.3533275889804184</v>
      </c>
      <c r="AU867" s="1">
        <v>10.664076107137062</v>
      </c>
      <c r="AV867" s="1">
        <v>8.7391985384692159</v>
      </c>
      <c r="AW867" s="1">
        <v>8.7004804425264695</v>
      </c>
      <c r="AX867" s="1">
        <v>5.9084347968469197</v>
      </c>
      <c r="AY867" s="1">
        <v>8.7580737137405862</v>
      </c>
      <c r="AZ867" s="1">
        <v>7.6271563592056681</v>
      </c>
      <c r="BA867" s="1">
        <v>7.7876157584082231</v>
      </c>
      <c r="BB867" s="1">
        <v>7.6063292807597378</v>
      </c>
      <c r="BC867" s="2">
        <v>8.9181565948742242E-2</v>
      </c>
      <c r="BD867" s="2">
        <v>0.10665277883445198</v>
      </c>
      <c r="BE867" s="2">
        <v>9.438849084854764E-2</v>
      </c>
      <c r="BF867" s="2">
        <v>7.149564986855049E-2</v>
      </c>
      <c r="BG867" s="2">
        <v>0.10368571810536763</v>
      </c>
      <c r="BH867" s="2">
        <v>8.4970330952544637E-2</v>
      </c>
      <c r="BI867" s="2">
        <v>8.4593878877262704E-2</v>
      </c>
      <c r="BJ867" s="2">
        <v>5.7447105462779965E-2</v>
      </c>
      <c r="BK867" s="2">
        <v>8.5153852345557474E-2</v>
      </c>
      <c r="BL867" s="2">
        <v>7.4158058913035174E-2</v>
      </c>
      <c r="BM867" s="2">
        <v>7.5718189192107169E-2</v>
      </c>
      <c r="BN867" s="2">
        <v>7.3955559365675619E-2</v>
      </c>
    </row>
    <row r="868" spans="1:66" x14ac:dyDescent="0.25">
      <c r="A868" s="8">
        <v>6609</v>
      </c>
      <c r="B868" s="8" t="s">
        <v>128</v>
      </c>
      <c r="C868" s="5">
        <v>0</v>
      </c>
      <c r="D868" s="5">
        <f>+$C868*BC868</f>
        <v>0</v>
      </c>
      <c r="E868" s="5">
        <f>+$C868*BD868</f>
        <v>0</v>
      </c>
      <c r="F868" s="5">
        <f>+$C868*BE868</f>
        <v>0</v>
      </c>
      <c r="G868" s="5">
        <f>+$C868*BF868</f>
        <v>0</v>
      </c>
      <c r="H868" s="5">
        <f>+$C868*BG868</f>
        <v>0</v>
      </c>
      <c r="I868" s="5">
        <f>+$C868*BH868</f>
        <v>0</v>
      </c>
      <c r="J868" s="5">
        <f>+$C868*BI868</f>
        <v>0</v>
      </c>
      <c r="K868" s="5">
        <f>+$C868*BJ868</f>
        <v>0</v>
      </c>
      <c r="L868" s="5">
        <f>+$C868*BK868</f>
        <v>0</v>
      </c>
      <c r="M868" s="5">
        <f>+$C868*BL868</f>
        <v>0</v>
      </c>
      <c r="N868" s="5">
        <f>+$C868*BM868</f>
        <v>0</v>
      </c>
      <c r="O868" s="5">
        <f>+$C868*BN868</f>
        <v>0</v>
      </c>
      <c r="P868" s="5">
        <v>0</v>
      </c>
      <c r="Q868" s="5">
        <f>+$P868*BC868</f>
        <v>0</v>
      </c>
      <c r="R868" s="5">
        <f>+$P868*BD868</f>
        <v>0</v>
      </c>
      <c r="S868" s="5">
        <f>+$P868*BE868</f>
        <v>0</v>
      </c>
      <c r="T868" s="5">
        <f>+$P868*BF868</f>
        <v>0</v>
      </c>
      <c r="U868" s="5">
        <f>+$P868*BG868</f>
        <v>0</v>
      </c>
      <c r="V868" s="5">
        <f>+$P868*BH868</f>
        <v>0</v>
      </c>
      <c r="W868" s="5">
        <f>+$P868*BI868</f>
        <v>0</v>
      </c>
      <c r="X868" s="5">
        <f>+$P868*BJ868</f>
        <v>0</v>
      </c>
      <c r="Y868" s="5">
        <f>+$P868*BK868</f>
        <v>0</v>
      </c>
      <c r="Z868" s="5">
        <f>+$P868*BL868</f>
        <v>0</v>
      </c>
      <c r="AA868" s="5">
        <f>+$P868*BM868</f>
        <v>0</v>
      </c>
      <c r="AB868" s="5">
        <f>+$P868*BN868</f>
        <v>0</v>
      </c>
      <c r="AC868" s="5">
        <v>0</v>
      </c>
      <c r="AD868" s="5">
        <f>+$AC868*BC868</f>
        <v>0</v>
      </c>
      <c r="AE868" s="5">
        <f>+$AC868*BD868</f>
        <v>0</v>
      </c>
      <c r="AF868" s="5">
        <f>+$AC868*BE868</f>
        <v>0</v>
      </c>
      <c r="AG868" s="5">
        <f>+$AC868*BF868</f>
        <v>0</v>
      </c>
      <c r="AH868" s="5">
        <f>+$AC868*BG868</f>
        <v>0</v>
      </c>
      <c r="AI868" s="5">
        <f>+$AC868*BH868</f>
        <v>0</v>
      </c>
      <c r="AJ868" s="5">
        <f>+$AC868*BI868</f>
        <v>0</v>
      </c>
      <c r="AK868" s="5">
        <f>+$AC868*BJ868</f>
        <v>0</v>
      </c>
      <c r="AL868" s="5">
        <f>+$AC868*BK868</f>
        <v>0</v>
      </c>
      <c r="AM868" s="5">
        <f>+$AC868*BL868</f>
        <v>0</v>
      </c>
      <c r="AN868" s="5">
        <f>+$AC868*BM868</f>
        <v>0</v>
      </c>
      <c r="AO868" s="5">
        <f>+$AC868*BN868</f>
        <v>0</v>
      </c>
      <c r="AP868" s="5">
        <f>+AC868+P868+C868</f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2">
        <v>8.9181565948742242E-2</v>
      </c>
      <c r="BD868" s="2">
        <v>0.10665277883445198</v>
      </c>
      <c r="BE868" s="2">
        <v>9.438849084854764E-2</v>
      </c>
      <c r="BF868" s="2">
        <v>7.149564986855049E-2</v>
      </c>
      <c r="BG868" s="2">
        <v>0.10368571810536763</v>
      </c>
      <c r="BH868" s="2">
        <v>8.4970330952544637E-2</v>
      </c>
      <c r="BI868" s="2">
        <v>8.4593878877262704E-2</v>
      </c>
      <c r="BJ868" s="2">
        <v>5.7447105462779965E-2</v>
      </c>
      <c r="BK868" s="2">
        <v>8.5153852345557474E-2</v>
      </c>
      <c r="BL868" s="2">
        <v>7.4158058913035174E-2</v>
      </c>
      <c r="BM868" s="2">
        <v>7.5718189192107169E-2</v>
      </c>
      <c r="BN868" s="2">
        <v>7.3955559365675619E-2</v>
      </c>
    </row>
    <row r="869" spans="1:66" x14ac:dyDescent="0.25">
      <c r="A869" s="8">
        <v>6613</v>
      </c>
      <c r="B869" s="8" t="s">
        <v>127</v>
      </c>
      <c r="C869" s="5">
        <v>0</v>
      </c>
      <c r="D869" s="5">
        <f>+$C869*BC869</f>
        <v>0</v>
      </c>
      <c r="E869" s="5">
        <f>+$C869*BD869</f>
        <v>0</v>
      </c>
      <c r="F869" s="5">
        <f>+$C869*BE869</f>
        <v>0</v>
      </c>
      <c r="G869" s="5">
        <f>+$C869*BF869</f>
        <v>0</v>
      </c>
      <c r="H869" s="5">
        <f>+$C869*BG869</f>
        <v>0</v>
      </c>
      <c r="I869" s="5">
        <f>+$C869*BH869</f>
        <v>0</v>
      </c>
      <c r="J869" s="5">
        <f>+$C869*BI869</f>
        <v>0</v>
      </c>
      <c r="K869" s="5">
        <f>+$C869*BJ869</f>
        <v>0</v>
      </c>
      <c r="L869" s="5">
        <f>+$C869*BK869</f>
        <v>0</v>
      </c>
      <c r="M869" s="5">
        <f>+$C869*BL869</f>
        <v>0</v>
      </c>
      <c r="N869" s="5">
        <f>+$C869*BM869</f>
        <v>0</v>
      </c>
      <c r="O869" s="5">
        <f>+$C869*BN869</f>
        <v>0</v>
      </c>
      <c r="P869" s="5">
        <v>0</v>
      </c>
      <c r="Q869" s="5">
        <f>+$P869*BC869</f>
        <v>0</v>
      </c>
      <c r="R869" s="5">
        <f>+$P869*BD869</f>
        <v>0</v>
      </c>
      <c r="S869" s="5">
        <f>+$P869*BE869</f>
        <v>0</v>
      </c>
      <c r="T869" s="5">
        <f>+$P869*BF869</f>
        <v>0</v>
      </c>
      <c r="U869" s="5">
        <f>+$P869*BG869</f>
        <v>0</v>
      </c>
      <c r="V869" s="5">
        <f>+$P869*BH869</f>
        <v>0</v>
      </c>
      <c r="W869" s="5">
        <f>+$P869*BI869</f>
        <v>0</v>
      </c>
      <c r="X869" s="5">
        <f>+$P869*BJ869</f>
        <v>0</v>
      </c>
      <c r="Y869" s="5">
        <f>+$P869*BK869</f>
        <v>0</v>
      </c>
      <c r="Z869" s="5">
        <f>+$P869*BL869</f>
        <v>0</v>
      </c>
      <c r="AA869" s="5">
        <f>+$P869*BM869</f>
        <v>0</v>
      </c>
      <c r="AB869" s="5">
        <f>+$P869*BN869</f>
        <v>0</v>
      </c>
      <c r="AC869" s="5">
        <v>0</v>
      </c>
      <c r="AD869" s="5">
        <f>+$AC869*BC869</f>
        <v>0</v>
      </c>
      <c r="AE869" s="5">
        <f>+$AC869*BD869</f>
        <v>0</v>
      </c>
      <c r="AF869" s="5">
        <f>+$AC869*BE869</f>
        <v>0</v>
      </c>
      <c r="AG869" s="5">
        <f>+$AC869*BF869</f>
        <v>0</v>
      </c>
      <c r="AH869" s="5">
        <f>+$AC869*BG869</f>
        <v>0</v>
      </c>
      <c r="AI869" s="5">
        <f>+$AC869*BH869</f>
        <v>0</v>
      </c>
      <c r="AJ869" s="5">
        <f>+$AC869*BI869</f>
        <v>0</v>
      </c>
      <c r="AK869" s="5">
        <f>+$AC869*BJ869</f>
        <v>0</v>
      </c>
      <c r="AL869" s="5">
        <f>+$AC869*BK869</f>
        <v>0</v>
      </c>
      <c r="AM869" s="5">
        <f>+$AC869*BL869</f>
        <v>0</v>
      </c>
      <c r="AN869" s="5">
        <f>+$AC869*BM869</f>
        <v>0</v>
      </c>
      <c r="AO869" s="5">
        <f>+$AC869*BN869</f>
        <v>0</v>
      </c>
      <c r="AP869" s="5">
        <f>+AC869+P869+C869</f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2">
        <v>8.9181565948742242E-2</v>
      </c>
      <c r="BD869" s="2">
        <v>0.10665277883445198</v>
      </c>
      <c r="BE869" s="2">
        <v>9.438849084854764E-2</v>
      </c>
      <c r="BF869" s="2">
        <v>7.149564986855049E-2</v>
      </c>
      <c r="BG869" s="2">
        <v>0.10368571810536763</v>
      </c>
      <c r="BH869" s="2">
        <v>8.4970330952544637E-2</v>
      </c>
      <c r="BI869" s="2">
        <v>8.4593878877262704E-2</v>
      </c>
      <c r="BJ869" s="2">
        <v>5.7447105462779965E-2</v>
      </c>
      <c r="BK869" s="2">
        <v>8.5153852345557474E-2</v>
      </c>
      <c r="BL869" s="2">
        <v>7.4158058913035174E-2</v>
      </c>
      <c r="BM869" s="2">
        <v>7.5718189192107169E-2</v>
      </c>
      <c r="BN869" s="2">
        <v>7.3955559365675619E-2</v>
      </c>
    </row>
    <row r="870" spans="1:66" x14ac:dyDescent="0.25">
      <c r="A870" s="8">
        <v>6626</v>
      </c>
      <c r="B870" s="8" t="s">
        <v>126</v>
      </c>
      <c r="C870" s="5">
        <v>0</v>
      </c>
      <c r="D870" s="5">
        <f>+$C870*BC870</f>
        <v>0</v>
      </c>
      <c r="E870" s="5">
        <f>+$C870*BD870</f>
        <v>0</v>
      </c>
      <c r="F870" s="5">
        <f>+$C870*BE870</f>
        <v>0</v>
      </c>
      <c r="G870" s="5">
        <f>+$C870*BF870</f>
        <v>0</v>
      </c>
      <c r="H870" s="5">
        <f>+$C870*BG870</f>
        <v>0</v>
      </c>
      <c r="I870" s="5">
        <f>+$C870*BH870</f>
        <v>0</v>
      </c>
      <c r="J870" s="5">
        <f>+$C870*BI870</f>
        <v>0</v>
      </c>
      <c r="K870" s="5">
        <f>+$C870*BJ870</f>
        <v>0</v>
      </c>
      <c r="L870" s="5">
        <f>+$C870*BK870</f>
        <v>0</v>
      </c>
      <c r="M870" s="5">
        <f>+$C870*BL870</f>
        <v>0</v>
      </c>
      <c r="N870" s="5">
        <f>+$C870*BM870</f>
        <v>0</v>
      </c>
      <c r="O870" s="5">
        <f>+$C870*BN870</f>
        <v>0</v>
      </c>
      <c r="P870" s="5">
        <v>0</v>
      </c>
      <c r="Q870" s="5">
        <f>+$P870*BC870</f>
        <v>0</v>
      </c>
      <c r="R870" s="5">
        <f>+$P870*BD870</f>
        <v>0</v>
      </c>
      <c r="S870" s="5">
        <f>+$P870*BE870</f>
        <v>0</v>
      </c>
      <c r="T870" s="5">
        <f>+$P870*BF870</f>
        <v>0</v>
      </c>
      <c r="U870" s="5">
        <f>+$P870*BG870</f>
        <v>0</v>
      </c>
      <c r="V870" s="5">
        <f>+$P870*BH870</f>
        <v>0</v>
      </c>
      <c r="W870" s="5">
        <f>+$P870*BI870</f>
        <v>0</v>
      </c>
      <c r="X870" s="5">
        <f>+$P870*BJ870</f>
        <v>0</v>
      </c>
      <c r="Y870" s="5">
        <f>+$P870*BK870</f>
        <v>0</v>
      </c>
      <c r="Z870" s="5">
        <f>+$P870*BL870</f>
        <v>0</v>
      </c>
      <c r="AA870" s="5">
        <f>+$P870*BM870</f>
        <v>0</v>
      </c>
      <c r="AB870" s="5">
        <f>+$P870*BN870</f>
        <v>0</v>
      </c>
      <c r="AC870" s="5">
        <v>0</v>
      </c>
      <c r="AD870" s="5">
        <f>+$AC870*BC870</f>
        <v>0</v>
      </c>
      <c r="AE870" s="5">
        <f>+$AC870*BD870</f>
        <v>0</v>
      </c>
      <c r="AF870" s="5">
        <f>+$AC870*BE870</f>
        <v>0</v>
      </c>
      <c r="AG870" s="5">
        <f>+$AC870*BF870</f>
        <v>0</v>
      </c>
      <c r="AH870" s="5">
        <f>+$AC870*BG870</f>
        <v>0</v>
      </c>
      <c r="AI870" s="5">
        <f>+$AC870*BH870</f>
        <v>0</v>
      </c>
      <c r="AJ870" s="5">
        <f>+$AC870*BI870</f>
        <v>0</v>
      </c>
      <c r="AK870" s="5">
        <f>+$AC870*BJ870</f>
        <v>0</v>
      </c>
      <c r="AL870" s="5">
        <f>+$AC870*BK870</f>
        <v>0</v>
      </c>
      <c r="AM870" s="5">
        <f>+$AC870*BL870</f>
        <v>0</v>
      </c>
      <c r="AN870" s="5">
        <f>+$AC870*BM870</f>
        <v>0</v>
      </c>
      <c r="AO870" s="5">
        <f>+$AC870*BN870</f>
        <v>0</v>
      </c>
      <c r="AP870" s="5">
        <f>+AC870+P870+C870</f>
        <v>0</v>
      </c>
      <c r="AQ870" s="1">
        <v>4.3163877919191247</v>
      </c>
      <c r="AR870" s="1">
        <v>5.1619944955874768</v>
      </c>
      <c r="AS870" s="1">
        <v>4.568402957069706</v>
      </c>
      <c r="AT870" s="1">
        <v>3.4603894536378443</v>
      </c>
      <c r="AU870" s="1">
        <v>5.0183887562997942</v>
      </c>
      <c r="AV870" s="1">
        <v>4.1125640181031606</v>
      </c>
      <c r="AW870" s="1">
        <v>4.0943437376595151</v>
      </c>
      <c r="AX870" s="1">
        <v>2.7804399043985506</v>
      </c>
      <c r="AY870" s="1">
        <v>4.1214464535249826</v>
      </c>
      <c r="AZ870" s="1">
        <v>3.5892500513909029</v>
      </c>
      <c r="BA870" s="1">
        <v>3.6647603568979874</v>
      </c>
      <c r="BB870" s="1">
        <v>3.5794490732987003</v>
      </c>
      <c r="BC870" s="2">
        <v>8.9181565948742242E-2</v>
      </c>
      <c r="BD870" s="2">
        <v>0.10665277883445198</v>
      </c>
      <c r="BE870" s="2">
        <v>9.438849084854764E-2</v>
      </c>
      <c r="BF870" s="2">
        <v>7.149564986855049E-2</v>
      </c>
      <c r="BG870" s="2">
        <v>0.10368571810536763</v>
      </c>
      <c r="BH870" s="2">
        <v>8.4970330952544637E-2</v>
      </c>
      <c r="BI870" s="2">
        <v>8.4593878877262704E-2</v>
      </c>
      <c r="BJ870" s="2">
        <v>5.7447105462779965E-2</v>
      </c>
      <c r="BK870" s="2">
        <v>8.5153852345557474E-2</v>
      </c>
      <c r="BL870" s="2">
        <v>7.4158058913035174E-2</v>
      </c>
      <c r="BM870" s="2">
        <v>7.5718189192107169E-2</v>
      </c>
      <c r="BN870" s="2">
        <v>7.3955559365675619E-2</v>
      </c>
    </row>
    <row r="871" spans="1:66" x14ac:dyDescent="0.25">
      <c r="A871" s="8">
        <v>6628</v>
      </c>
      <c r="B871" s="8" t="s">
        <v>125</v>
      </c>
      <c r="C871" s="5">
        <v>0</v>
      </c>
      <c r="D871" s="5">
        <f>+$C871*BC871</f>
        <v>0</v>
      </c>
      <c r="E871" s="5">
        <f>+$C871*BD871</f>
        <v>0</v>
      </c>
      <c r="F871" s="5">
        <f>+$C871*BE871</f>
        <v>0</v>
      </c>
      <c r="G871" s="5">
        <f>+$C871*BF871</f>
        <v>0</v>
      </c>
      <c r="H871" s="5">
        <f>+$C871*BG871</f>
        <v>0</v>
      </c>
      <c r="I871" s="5">
        <f>+$C871*BH871</f>
        <v>0</v>
      </c>
      <c r="J871" s="5">
        <f>+$C871*BI871</f>
        <v>0</v>
      </c>
      <c r="K871" s="5">
        <f>+$C871*BJ871</f>
        <v>0</v>
      </c>
      <c r="L871" s="5">
        <f>+$C871*BK871</f>
        <v>0</v>
      </c>
      <c r="M871" s="5">
        <f>+$C871*BL871</f>
        <v>0</v>
      </c>
      <c r="N871" s="5">
        <f>+$C871*BM871</f>
        <v>0</v>
      </c>
      <c r="O871" s="5">
        <f>+$C871*BN871</f>
        <v>0</v>
      </c>
      <c r="P871" s="5">
        <v>0</v>
      </c>
      <c r="Q871" s="5">
        <f>+$P871*BC871</f>
        <v>0</v>
      </c>
      <c r="R871" s="5">
        <f>+$P871*BD871</f>
        <v>0</v>
      </c>
      <c r="S871" s="5">
        <f>+$P871*BE871</f>
        <v>0</v>
      </c>
      <c r="T871" s="5">
        <f>+$P871*BF871</f>
        <v>0</v>
      </c>
      <c r="U871" s="5">
        <f>+$P871*BG871</f>
        <v>0</v>
      </c>
      <c r="V871" s="5">
        <f>+$P871*BH871</f>
        <v>0</v>
      </c>
      <c r="W871" s="5">
        <f>+$P871*BI871</f>
        <v>0</v>
      </c>
      <c r="X871" s="5">
        <f>+$P871*BJ871</f>
        <v>0</v>
      </c>
      <c r="Y871" s="5">
        <f>+$P871*BK871</f>
        <v>0</v>
      </c>
      <c r="Z871" s="5">
        <f>+$P871*BL871</f>
        <v>0</v>
      </c>
      <c r="AA871" s="5">
        <f>+$P871*BM871</f>
        <v>0</v>
      </c>
      <c r="AB871" s="5">
        <f>+$P871*BN871</f>
        <v>0</v>
      </c>
      <c r="AC871" s="5">
        <v>0</v>
      </c>
      <c r="AD871" s="5">
        <f>+$AC871*BC871</f>
        <v>0</v>
      </c>
      <c r="AE871" s="5">
        <f>+$AC871*BD871</f>
        <v>0</v>
      </c>
      <c r="AF871" s="5">
        <f>+$AC871*BE871</f>
        <v>0</v>
      </c>
      <c r="AG871" s="5">
        <f>+$AC871*BF871</f>
        <v>0</v>
      </c>
      <c r="AH871" s="5">
        <f>+$AC871*BG871</f>
        <v>0</v>
      </c>
      <c r="AI871" s="5">
        <f>+$AC871*BH871</f>
        <v>0</v>
      </c>
      <c r="AJ871" s="5">
        <f>+$AC871*BI871</f>
        <v>0</v>
      </c>
      <c r="AK871" s="5">
        <f>+$AC871*BJ871</f>
        <v>0</v>
      </c>
      <c r="AL871" s="5">
        <f>+$AC871*BK871</f>
        <v>0</v>
      </c>
      <c r="AM871" s="5">
        <f>+$AC871*BL871</f>
        <v>0</v>
      </c>
      <c r="AN871" s="5">
        <f>+$AC871*BM871</f>
        <v>0</v>
      </c>
      <c r="AO871" s="5">
        <f>+$AC871*BN871</f>
        <v>0</v>
      </c>
      <c r="AP871" s="5">
        <f>+AC871+P871+C871</f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2">
        <v>8.9181565948742242E-2</v>
      </c>
      <c r="BD871" s="2">
        <v>0.10665277883445198</v>
      </c>
      <c r="BE871" s="2">
        <v>9.438849084854764E-2</v>
      </c>
      <c r="BF871" s="2">
        <v>7.149564986855049E-2</v>
      </c>
      <c r="BG871" s="2">
        <v>0.10368571810536763</v>
      </c>
      <c r="BH871" s="2">
        <v>8.4970330952544637E-2</v>
      </c>
      <c r="BI871" s="2">
        <v>8.4593878877262704E-2</v>
      </c>
      <c r="BJ871" s="2">
        <v>5.7447105462779965E-2</v>
      </c>
      <c r="BK871" s="2">
        <v>8.5153852345557474E-2</v>
      </c>
      <c r="BL871" s="2">
        <v>7.4158058913035174E-2</v>
      </c>
      <c r="BM871" s="2">
        <v>7.5718189192107169E-2</v>
      </c>
      <c r="BN871" s="2">
        <v>7.3955559365675619E-2</v>
      </c>
    </row>
    <row r="872" spans="1:66" x14ac:dyDescent="0.25">
      <c r="A872" s="8">
        <v>6633</v>
      </c>
      <c r="B872" s="8" t="s">
        <v>124</v>
      </c>
      <c r="C872" s="5">
        <v>0</v>
      </c>
      <c r="D872" s="5">
        <f>+$C872*BC872</f>
        <v>0</v>
      </c>
      <c r="E872" s="5">
        <f>+$C872*BD872</f>
        <v>0</v>
      </c>
      <c r="F872" s="5">
        <f>+$C872*BE872</f>
        <v>0</v>
      </c>
      <c r="G872" s="5">
        <f>+$C872*BF872</f>
        <v>0</v>
      </c>
      <c r="H872" s="5">
        <f>+$C872*BG872</f>
        <v>0</v>
      </c>
      <c r="I872" s="5">
        <f>+$C872*BH872</f>
        <v>0</v>
      </c>
      <c r="J872" s="5">
        <f>+$C872*BI872</f>
        <v>0</v>
      </c>
      <c r="K872" s="5">
        <f>+$C872*BJ872</f>
        <v>0</v>
      </c>
      <c r="L872" s="5">
        <f>+$C872*BK872</f>
        <v>0</v>
      </c>
      <c r="M872" s="5">
        <f>+$C872*BL872</f>
        <v>0</v>
      </c>
      <c r="N872" s="5">
        <f>+$C872*BM872</f>
        <v>0</v>
      </c>
      <c r="O872" s="5">
        <f>+$C872*BN872</f>
        <v>0</v>
      </c>
      <c r="P872" s="5">
        <v>0</v>
      </c>
      <c r="Q872" s="5">
        <f>+$P872*BC872</f>
        <v>0</v>
      </c>
      <c r="R872" s="5">
        <f>+$P872*BD872</f>
        <v>0</v>
      </c>
      <c r="S872" s="5">
        <f>+$P872*BE872</f>
        <v>0</v>
      </c>
      <c r="T872" s="5">
        <f>+$P872*BF872</f>
        <v>0</v>
      </c>
      <c r="U872" s="5">
        <f>+$P872*BG872</f>
        <v>0</v>
      </c>
      <c r="V872" s="5">
        <f>+$P872*BH872</f>
        <v>0</v>
      </c>
      <c r="W872" s="5">
        <f>+$P872*BI872</f>
        <v>0</v>
      </c>
      <c r="X872" s="5">
        <f>+$P872*BJ872</f>
        <v>0</v>
      </c>
      <c r="Y872" s="5">
        <f>+$P872*BK872</f>
        <v>0</v>
      </c>
      <c r="Z872" s="5">
        <f>+$P872*BL872</f>
        <v>0</v>
      </c>
      <c r="AA872" s="5">
        <f>+$P872*BM872</f>
        <v>0</v>
      </c>
      <c r="AB872" s="5">
        <f>+$P872*BN872</f>
        <v>0</v>
      </c>
      <c r="AC872" s="5">
        <v>0</v>
      </c>
      <c r="AD872" s="5">
        <f>+$AC872*BC872</f>
        <v>0</v>
      </c>
      <c r="AE872" s="5">
        <f>+$AC872*BD872</f>
        <v>0</v>
      </c>
      <c r="AF872" s="5">
        <f>+$AC872*BE872</f>
        <v>0</v>
      </c>
      <c r="AG872" s="5">
        <f>+$AC872*BF872</f>
        <v>0</v>
      </c>
      <c r="AH872" s="5">
        <f>+$AC872*BG872</f>
        <v>0</v>
      </c>
      <c r="AI872" s="5">
        <f>+$AC872*BH872</f>
        <v>0</v>
      </c>
      <c r="AJ872" s="5">
        <f>+$AC872*BI872</f>
        <v>0</v>
      </c>
      <c r="AK872" s="5">
        <f>+$AC872*BJ872</f>
        <v>0</v>
      </c>
      <c r="AL872" s="5">
        <f>+$AC872*BK872</f>
        <v>0</v>
      </c>
      <c r="AM872" s="5">
        <f>+$AC872*BL872</f>
        <v>0</v>
      </c>
      <c r="AN872" s="5">
        <f>+$AC872*BM872</f>
        <v>0</v>
      </c>
      <c r="AO872" s="5">
        <f>+$AC872*BN872</f>
        <v>0</v>
      </c>
      <c r="AP872" s="5">
        <f>+AC872+P872+C872</f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2">
        <v>8.9181565948742242E-2</v>
      </c>
      <c r="BD872" s="2">
        <v>0.10665277883445198</v>
      </c>
      <c r="BE872" s="2">
        <v>9.438849084854764E-2</v>
      </c>
      <c r="BF872" s="2">
        <v>7.149564986855049E-2</v>
      </c>
      <c r="BG872" s="2">
        <v>0.10368571810536763</v>
      </c>
      <c r="BH872" s="2">
        <v>8.4970330952544637E-2</v>
      </c>
      <c r="BI872" s="2">
        <v>8.4593878877262704E-2</v>
      </c>
      <c r="BJ872" s="2">
        <v>5.7447105462779965E-2</v>
      </c>
      <c r="BK872" s="2">
        <v>8.5153852345557474E-2</v>
      </c>
      <c r="BL872" s="2">
        <v>7.4158058913035174E-2</v>
      </c>
      <c r="BM872" s="2">
        <v>7.5718189192107169E-2</v>
      </c>
      <c r="BN872" s="2">
        <v>7.3955559365675619E-2</v>
      </c>
    </row>
    <row r="873" spans="1:66" x14ac:dyDescent="0.25">
      <c r="A873" s="8">
        <v>6636</v>
      </c>
      <c r="B873" s="8" t="s">
        <v>123</v>
      </c>
      <c r="C873" s="5">
        <v>0</v>
      </c>
      <c r="D873" s="5">
        <f>+$C873*BC873</f>
        <v>0</v>
      </c>
      <c r="E873" s="5">
        <f>+$C873*BD873</f>
        <v>0</v>
      </c>
      <c r="F873" s="5">
        <f>+$C873*BE873</f>
        <v>0</v>
      </c>
      <c r="G873" s="5">
        <f>+$C873*BF873</f>
        <v>0</v>
      </c>
      <c r="H873" s="5">
        <f>+$C873*BG873</f>
        <v>0</v>
      </c>
      <c r="I873" s="5">
        <f>+$C873*BH873</f>
        <v>0</v>
      </c>
      <c r="J873" s="5">
        <f>+$C873*BI873</f>
        <v>0</v>
      </c>
      <c r="K873" s="5">
        <f>+$C873*BJ873</f>
        <v>0</v>
      </c>
      <c r="L873" s="5">
        <f>+$C873*BK873</f>
        <v>0</v>
      </c>
      <c r="M873" s="5">
        <f>+$C873*BL873</f>
        <v>0</v>
      </c>
      <c r="N873" s="5">
        <f>+$C873*BM873</f>
        <v>0</v>
      </c>
      <c r="O873" s="5">
        <f>+$C873*BN873</f>
        <v>0</v>
      </c>
      <c r="P873" s="5">
        <v>0</v>
      </c>
      <c r="Q873" s="5">
        <f>+$P873*BC873</f>
        <v>0</v>
      </c>
      <c r="R873" s="5">
        <f>+$P873*BD873</f>
        <v>0</v>
      </c>
      <c r="S873" s="5">
        <f>+$P873*BE873</f>
        <v>0</v>
      </c>
      <c r="T873" s="5">
        <f>+$P873*BF873</f>
        <v>0</v>
      </c>
      <c r="U873" s="5">
        <f>+$P873*BG873</f>
        <v>0</v>
      </c>
      <c r="V873" s="5">
        <f>+$P873*BH873</f>
        <v>0</v>
      </c>
      <c r="W873" s="5">
        <f>+$P873*BI873</f>
        <v>0</v>
      </c>
      <c r="X873" s="5">
        <f>+$P873*BJ873</f>
        <v>0</v>
      </c>
      <c r="Y873" s="5">
        <f>+$P873*BK873</f>
        <v>0</v>
      </c>
      <c r="Z873" s="5">
        <f>+$P873*BL873</f>
        <v>0</v>
      </c>
      <c r="AA873" s="5">
        <f>+$P873*BM873</f>
        <v>0</v>
      </c>
      <c r="AB873" s="5">
        <f>+$P873*BN873</f>
        <v>0</v>
      </c>
      <c r="AC873" s="5">
        <v>0</v>
      </c>
      <c r="AD873" s="5">
        <f>+$AC873*BC873</f>
        <v>0</v>
      </c>
      <c r="AE873" s="5">
        <f>+$AC873*BD873</f>
        <v>0</v>
      </c>
      <c r="AF873" s="5">
        <f>+$AC873*BE873</f>
        <v>0</v>
      </c>
      <c r="AG873" s="5">
        <f>+$AC873*BF873</f>
        <v>0</v>
      </c>
      <c r="AH873" s="5">
        <f>+$AC873*BG873</f>
        <v>0</v>
      </c>
      <c r="AI873" s="5">
        <f>+$AC873*BH873</f>
        <v>0</v>
      </c>
      <c r="AJ873" s="5">
        <f>+$AC873*BI873</f>
        <v>0</v>
      </c>
      <c r="AK873" s="5">
        <f>+$AC873*BJ873</f>
        <v>0</v>
      </c>
      <c r="AL873" s="5">
        <f>+$AC873*BK873</f>
        <v>0</v>
      </c>
      <c r="AM873" s="5">
        <f>+$AC873*BL873</f>
        <v>0</v>
      </c>
      <c r="AN873" s="5">
        <f>+$AC873*BM873</f>
        <v>0</v>
      </c>
      <c r="AO873" s="5">
        <f>+$AC873*BN873</f>
        <v>0</v>
      </c>
      <c r="AP873" s="5">
        <f>+AC873+P873+C873</f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2">
        <v>8.9181565948742242E-2</v>
      </c>
      <c r="BD873" s="2">
        <v>0.10665277883445198</v>
      </c>
      <c r="BE873" s="2">
        <v>9.438849084854764E-2</v>
      </c>
      <c r="BF873" s="2">
        <v>7.149564986855049E-2</v>
      </c>
      <c r="BG873" s="2">
        <v>0.10368571810536763</v>
      </c>
      <c r="BH873" s="2">
        <v>8.4970330952544637E-2</v>
      </c>
      <c r="BI873" s="2">
        <v>8.4593878877262704E-2</v>
      </c>
      <c r="BJ873" s="2">
        <v>5.7447105462779965E-2</v>
      </c>
      <c r="BK873" s="2">
        <v>8.5153852345557474E-2</v>
      </c>
      <c r="BL873" s="2">
        <v>7.4158058913035174E-2</v>
      </c>
      <c r="BM873" s="2">
        <v>7.5718189192107169E-2</v>
      </c>
      <c r="BN873" s="2">
        <v>7.3955559365675619E-2</v>
      </c>
    </row>
    <row r="874" spans="1:66" x14ac:dyDescent="0.25">
      <c r="A874" s="8">
        <v>6638</v>
      </c>
      <c r="B874" s="8" t="s">
        <v>122</v>
      </c>
      <c r="C874" s="5">
        <v>0</v>
      </c>
      <c r="D874" s="5">
        <f>+$C874*BC874</f>
        <v>0</v>
      </c>
      <c r="E874" s="5">
        <f>+$C874*BD874</f>
        <v>0</v>
      </c>
      <c r="F874" s="5">
        <f>+$C874*BE874</f>
        <v>0</v>
      </c>
      <c r="G874" s="5">
        <f>+$C874*BF874</f>
        <v>0</v>
      </c>
      <c r="H874" s="5">
        <f>+$C874*BG874</f>
        <v>0</v>
      </c>
      <c r="I874" s="5">
        <f>+$C874*BH874</f>
        <v>0</v>
      </c>
      <c r="J874" s="5">
        <f>+$C874*BI874</f>
        <v>0</v>
      </c>
      <c r="K874" s="5">
        <f>+$C874*BJ874</f>
        <v>0</v>
      </c>
      <c r="L874" s="5">
        <f>+$C874*BK874</f>
        <v>0</v>
      </c>
      <c r="M874" s="5">
        <f>+$C874*BL874</f>
        <v>0</v>
      </c>
      <c r="N874" s="5">
        <f>+$C874*BM874</f>
        <v>0</v>
      </c>
      <c r="O874" s="5">
        <f>+$C874*BN874</f>
        <v>0</v>
      </c>
      <c r="P874" s="5">
        <v>0</v>
      </c>
      <c r="Q874" s="5">
        <f>+$P874*BC874</f>
        <v>0</v>
      </c>
      <c r="R874" s="5">
        <f>+$P874*BD874</f>
        <v>0</v>
      </c>
      <c r="S874" s="5">
        <f>+$P874*BE874</f>
        <v>0</v>
      </c>
      <c r="T874" s="5">
        <f>+$P874*BF874</f>
        <v>0</v>
      </c>
      <c r="U874" s="5">
        <f>+$P874*BG874</f>
        <v>0</v>
      </c>
      <c r="V874" s="5">
        <f>+$P874*BH874</f>
        <v>0</v>
      </c>
      <c r="W874" s="5">
        <f>+$P874*BI874</f>
        <v>0</v>
      </c>
      <c r="X874" s="5">
        <f>+$P874*BJ874</f>
        <v>0</v>
      </c>
      <c r="Y874" s="5">
        <f>+$P874*BK874</f>
        <v>0</v>
      </c>
      <c r="Z874" s="5">
        <f>+$P874*BL874</f>
        <v>0</v>
      </c>
      <c r="AA874" s="5">
        <f>+$P874*BM874</f>
        <v>0</v>
      </c>
      <c r="AB874" s="5">
        <f>+$P874*BN874</f>
        <v>0</v>
      </c>
      <c r="AC874" s="5">
        <v>0</v>
      </c>
      <c r="AD874" s="5">
        <f>+$AC874*BC874</f>
        <v>0</v>
      </c>
      <c r="AE874" s="5">
        <f>+$AC874*BD874</f>
        <v>0</v>
      </c>
      <c r="AF874" s="5">
        <f>+$AC874*BE874</f>
        <v>0</v>
      </c>
      <c r="AG874" s="5">
        <f>+$AC874*BF874</f>
        <v>0</v>
      </c>
      <c r="AH874" s="5">
        <f>+$AC874*BG874</f>
        <v>0</v>
      </c>
      <c r="AI874" s="5">
        <f>+$AC874*BH874</f>
        <v>0</v>
      </c>
      <c r="AJ874" s="5">
        <f>+$AC874*BI874</f>
        <v>0</v>
      </c>
      <c r="AK874" s="5">
        <f>+$AC874*BJ874</f>
        <v>0</v>
      </c>
      <c r="AL874" s="5">
        <f>+$AC874*BK874</f>
        <v>0</v>
      </c>
      <c r="AM874" s="5">
        <f>+$AC874*BL874</f>
        <v>0</v>
      </c>
      <c r="AN874" s="5">
        <f>+$AC874*BM874</f>
        <v>0</v>
      </c>
      <c r="AO874" s="5">
        <f>+$AC874*BN874</f>
        <v>0</v>
      </c>
      <c r="AP874" s="5">
        <f>+AC874+P874+C874</f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2">
        <v>8.9181565948742242E-2</v>
      </c>
      <c r="BD874" s="2">
        <v>0.10665277883445198</v>
      </c>
      <c r="BE874" s="2">
        <v>9.438849084854764E-2</v>
      </c>
      <c r="BF874" s="2">
        <v>7.149564986855049E-2</v>
      </c>
      <c r="BG874" s="2">
        <v>0.10368571810536763</v>
      </c>
      <c r="BH874" s="2">
        <v>8.4970330952544637E-2</v>
      </c>
      <c r="BI874" s="2">
        <v>8.4593878877262704E-2</v>
      </c>
      <c r="BJ874" s="2">
        <v>5.7447105462779965E-2</v>
      </c>
      <c r="BK874" s="2">
        <v>8.5153852345557474E-2</v>
      </c>
      <c r="BL874" s="2">
        <v>7.4158058913035174E-2</v>
      </c>
      <c r="BM874" s="2">
        <v>7.5718189192107169E-2</v>
      </c>
      <c r="BN874" s="2">
        <v>7.3955559365675619E-2</v>
      </c>
    </row>
    <row r="875" spans="1:66" x14ac:dyDescent="0.25">
      <c r="A875" s="8">
        <v>6639</v>
      </c>
      <c r="B875" s="8" t="s">
        <v>121</v>
      </c>
      <c r="C875" s="5">
        <v>0</v>
      </c>
      <c r="D875" s="5">
        <f>+$C875*BC875</f>
        <v>0</v>
      </c>
      <c r="E875" s="5">
        <f>+$C875*BD875</f>
        <v>0</v>
      </c>
      <c r="F875" s="5">
        <f>+$C875*BE875</f>
        <v>0</v>
      </c>
      <c r="G875" s="5">
        <f>+$C875*BF875</f>
        <v>0</v>
      </c>
      <c r="H875" s="5">
        <f>+$C875*BG875</f>
        <v>0</v>
      </c>
      <c r="I875" s="5">
        <f>+$C875*BH875</f>
        <v>0</v>
      </c>
      <c r="J875" s="5">
        <f>+$C875*BI875</f>
        <v>0</v>
      </c>
      <c r="K875" s="5">
        <f>+$C875*BJ875</f>
        <v>0</v>
      </c>
      <c r="L875" s="5">
        <f>+$C875*BK875</f>
        <v>0</v>
      </c>
      <c r="M875" s="5">
        <f>+$C875*BL875</f>
        <v>0</v>
      </c>
      <c r="N875" s="5">
        <f>+$C875*BM875</f>
        <v>0</v>
      </c>
      <c r="O875" s="5">
        <f>+$C875*BN875</f>
        <v>0</v>
      </c>
      <c r="P875" s="5">
        <v>0</v>
      </c>
      <c r="Q875" s="5">
        <f>+$P875*BC875</f>
        <v>0</v>
      </c>
      <c r="R875" s="5">
        <f>+$P875*BD875</f>
        <v>0</v>
      </c>
      <c r="S875" s="5">
        <f>+$P875*BE875</f>
        <v>0</v>
      </c>
      <c r="T875" s="5">
        <f>+$P875*BF875</f>
        <v>0</v>
      </c>
      <c r="U875" s="5">
        <f>+$P875*BG875</f>
        <v>0</v>
      </c>
      <c r="V875" s="5">
        <f>+$P875*BH875</f>
        <v>0</v>
      </c>
      <c r="W875" s="5">
        <f>+$P875*BI875</f>
        <v>0</v>
      </c>
      <c r="X875" s="5">
        <f>+$P875*BJ875</f>
        <v>0</v>
      </c>
      <c r="Y875" s="5">
        <f>+$P875*BK875</f>
        <v>0</v>
      </c>
      <c r="Z875" s="5">
        <f>+$P875*BL875</f>
        <v>0</v>
      </c>
      <c r="AA875" s="5">
        <f>+$P875*BM875</f>
        <v>0</v>
      </c>
      <c r="AB875" s="5">
        <f>+$P875*BN875</f>
        <v>0</v>
      </c>
      <c r="AC875" s="5">
        <v>0</v>
      </c>
      <c r="AD875" s="5">
        <f>+$AC875*BC875</f>
        <v>0</v>
      </c>
      <c r="AE875" s="5">
        <f>+$AC875*BD875</f>
        <v>0</v>
      </c>
      <c r="AF875" s="5">
        <f>+$AC875*BE875</f>
        <v>0</v>
      </c>
      <c r="AG875" s="5">
        <f>+$AC875*BF875</f>
        <v>0</v>
      </c>
      <c r="AH875" s="5">
        <f>+$AC875*BG875</f>
        <v>0</v>
      </c>
      <c r="AI875" s="5">
        <f>+$AC875*BH875</f>
        <v>0</v>
      </c>
      <c r="AJ875" s="5">
        <f>+$AC875*BI875</f>
        <v>0</v>
      </c>
      <c r="AK875" s="5">
        <f>+$AC875*BJ875</f>
        <v>0</v>
      </c>
      <c r="AL875" s="5">
        <f>+$AC875*BK875</f>
        <v>0</v>
      </c>
      <c r="AM875" s="5">
        <f>+$AC875*BL875</f>
        <v>0</v>
      </c>
      <c r="AN875" s="5">
        <f>+$AC875*BM875</f>
        <v>0</v>
      </c>
      <c r="AO875" s="5">
        <f>+$AC875*BN875</f>
        <v>0</v>
      </c>
      <c r="AP875" s="5">
        <f>+AC875+P875+C875</f>
        <v>0</v>
      </c>
      <c r="AQ875" s="1">
        <v>6.0086080057965088</v>
      </c>
      <c r="AR875" s="1">
        <v>7.1857309739712028</v>
      </c>
      <c r="AS875" s="1">
        <v>6.359424570920897</v>
      </c>
      <c r="AT875" s="1">
        <v>4.8170194098935895</v>
      </c>
      <c r="AU875" s="1">
        <v>6.9858252573491439</v>
      </c>
      <c r="AV875" s="1">
        <v>5.7248760479276948</v>
      </c>
      <c r="AW875" s="1">
        <v>5.6995125893555745</v>
      </c>
      <c r="AX875" s="1">
        <v>3.8704987305548002</v>
      </c>
      <c r="AY875" s="1">
        <v>5.737240801781935</v>
      </c>
      <c r="AZ875" s="1">
        <v>4.9963992192657445</v>
      </c>
      <c r="BA875" s="1">
        <v>5.1015129968182205</v>
      </c>
      <c r="BB875" s="1">
        <v>4.9827558122623952</v>
      </c>
      <c r="BC875" s="2">
        <v>8.9181565948742242E-2</v>
      </c>
      <c r="BD875" s="2">
        <v>0.10665277883445198</v>
      </c>
      <c r="BE875" s="2">
        <v>9.438849084854764E-2</v>
      </c>
      <c r="BF875" s="2">
        <v>7.149564986855049E-2</v>
      </c>
      <c r="BG875" s="2">
        <v>0.10368571810536763</v>
      </c>
      <c r="BH875" s="2">
        <v>8.4970330952544637E-2</v>
      </c>
      <c r="BI875" s="2">
        <v>8.4593878877262704E-2</v>
      </c>
      <c r="BJ875" s="2">
        <v>5.7447105462779965E-2</v>
      </c>
      <c r="BK875" s="2">
        <v>8.5153852345557474E-2</v>
      </c>
      <c r="BL875" s="2">
        <v>7.4158058913035174E-2</v>
      </c>
      <c r="BM875" s="2">
        <v>7.5718189192107169E-2</v>
      </c>
      <c r="BN875" s="2">
        <v>7.3955559365675619E-2</v>
      </c>
    </row>
    <row r="876" spans="1:66" x14ac:dyDescent="0.25">
      <c r="A876" s="8">
        <v>6643</v>
      </c>
      <c r="B876" s="8" t="s">
        <v>120</v>
      </c>
      <c r="C876" s="5">
        <v>0</v>
      </c>
      <c r="D876" s="5">
        <f>+$C876*BC876</f>
        <v>0</v>
      </c>
      <c r="E876" s="5">
        <f>+$C876*BD876</f>
        <v>0</v>
      </c>
      <c r="F876" s="5">
        <f>+$C876*BE876</f>
        <v>0</v>
      </c>
      <c r="G876" s="5">
        <f>+$C876*BF876</f>
        <v>0</v>
      </c>
      <c r="H876" s="5">
        <f>+$C876*BG876</f>
        <v>0</v>
      </c>
      <c r="I876" s="5">
        <f>+$C876*BH876</f>
        <v>0</v>
      </c>
      <c r="J876" s="5">
        <f>+$C876*BI876</f>
        <v>0</v>
      </c>
      <c r="K876" s="5">
        <f>+$C876*BJ876</f>
        <v>0</v>
      </c>
      <c r="L876" s="5">
        <f>+$C876*BK876</f>
        <v>0</v>
      </c>
      <c r="M876" s="5">
        <f>+$C876*BL876</f>
        <v>0</v>
      </c>
      <c r="N876" s="5">
        <f>+$C876*BM876</f>
        <v>0</v>
      </c>
      <c r="O876" s="5">
        <f>+$C876*BN876</f>
        <v>0</v>
      </c>
      <c r="P876" s="5">
        <v>0</v>
      </c>
      <c r="Q876" s="5">
        <f>+$P876*BC876</f>
        <v>0</v>
      </c>
      <c r="R876" s="5">
        <f>+$P876*BD876</f>
        <v>0</v>
      </c>
      <c r="S876" s="5">
        <f>+$P876*BE876</f>
        <v>0</v>
      </c>
      <c r="T876" s="5">
        <f>+$P876*BF876</f>
        <v>0</v>
      </c>
      <c r="U876" s="5">
        <f>+$P876*BG876</f>
        <v>0</v>
      </c>
      <c r="V876" s="5">
        <f>+$P876*BH876</f>
        <v>0</v>
      </c>
      <c r="W876" s="5">
        <f>+$P876*BI876</f>
        <v>0</v>
      </c>
      <c r="X876" s="5">
        <f>+$P876*BJ876</f>
        <v>0</v>
      </c>
      <c r="Y876" s="5">
        <f>+$P876*BK876</f>
        <v>0</v>
      </c>
      <c r="Z876" s="5">
        <f>+$P876*BL876</f>
        <v>0</v>
      </c>
      <c r="AA876" s="5">
        <f>+$P876*BM876</f>
        <v>0</v>
      </c>
      <c r="AB876" s="5">
        <f>+$P876*BN876</f>
        <v>0</v>
      </c>
      <c r="AC876" s="5">
        <v>0</v>
      </c>
      <c r="AD876" s="5">
        <f>+$AC876*BC876</f>
        <v>0</v>
      </c>
      <c r="AE876" s="5">
        <f>+$AC876*BD876</f>
        <v>0</v>
      </c>
      <c r="AF876" s="5">
        <f>+$AC876*BE876</f>
        <v>0</v>
      </c>
      <c r="AG876" s="5">
        <f>+$AC876*BF876</f>
        <v>0</v>
      </c>
      <c r="AH876" s="5">
        <f>+$AC876*BG876</f>
        <v>0</v>
      </c>
      <c r="AI876" s="5">
        <f>+$AC876*BH876</f>
        <v>0</v>
      </c>
      <c r="AJ876" s="5">
        <f>+$AC876*BI876</f>
        <v>0</v>
      </c>
      <c r="AK876" s="5">
        <f>+$AC876*BJ876</f>
        <v>0</v>
      </c>
      <c r="AL876" s="5">
        <f>+$AC876*BK876</f>
        <v>0</v>
      </c>
      <c r="AM876" s="5">
        <f>+$AC876*BL876</f>
        <v>0</v>
      </c>
      <c r="AN876" s="5">
        <f>+$AC876*BM876</f>
        <v>0</v>
      </c>
      <c r="AO876" s="5">
        <f>+$AC876*BN876</f>
        <v>0</v>
      </c>
      <c r="AP876" s="5">
        <f>+AC876+P876+C876</f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2">
        <v>8.9181565948742242E-2</v>
      </c>
      <c r="BD876" s="2">
        <v>0.10665277883445198</v>
      </c>
      <c r="BE876" s="2">
        <v>9.438849084854764E-2</v>
      </c>
      <c r="BF876" s="2">
        <v>7.149564986855049E-2</v>
      </c>
      <c r="BG876" s="2">
        <v>0.10368571810536763</v>
      </c>
      <c r="BH876" s="2">
        <v>8.4970330952544637E-2</v>
      </c>
      <c r="BI876" s="2">
        <v>8.4593878877262704E-2</v>
      </c>
      <c r="BJ876" s="2">
        <v>5.7447105462779965E-2</v>
      </c>
      <c r="BK876" s="2">
        <v>8.5153852345557474E-2</v>
      </c>
      <c r="BL876" s="2">
        <v>7.4158058913035174E-2</v>
      </c>
      <c r="BM876" s="2">
        <v>7.5718189192107169E-2</v>
      </c>
      <c r="BN876" s="2">
        <v>7.3955559365675619E-2</v>
      </c>
    </row>
    <row r="877" spans="1:66" x14ac:dyDescent="0.25">
      <c r="A877" s="8">
        <v>6646</v>
      </c>
      <c r="B877" s="8" t="s">
        <v>119</v>
      </c>
      <c r="C877" s="5">
        <v>0</v>
      </c>
      <c r="D877" s="5">
        <f>+$C877*BC877</f>
        <v>0</v>
      </c>
      <c r="E877" s="5">
        <f>+$C877*BD877</f>
        <v>0</v>
      </c>
      <c r="F877" s="5">
        <f>+$C877*BE877</f>
        <v>0</v>
      </c>
      <c r="G877" s="5">
        <f>+$C877*BF877</f>
        <v>0</v>
      </c>
      <c r="H877" s="5">
        <f>+$C877*BG877</f>
        <v>0</v>
      </c>
      <c r="I877" s="5">
        <f>+$C877*BH877</f>
        <v>0</v>
      </c>
      <c r="J877" s="5">
        <f>+$C877*BI877</f>
        <v>0</v>
      </c>
      <c r="K877" s="5">
        <f>+$C877*BJ877</f>
        <v>0</v>
      </c>
      <c r="L877" s="5">
        <f>+$C877*BK877</f>
        <v>0</v>
      </c>
      <c r="M877" s="5">
        <f>+$C877*BL877</f>
        <v>0</v>
      </c>
      <c r="N877" s="5">
        <f>+$C877*BM877</f>
        <v>0</v>
      </c>
      <c r="O877" s="5">
        <f>+$C877*BN877</f>
        <v>0</v>
      </c>
      <c r="P877" s="5">
        <v>0</v>
      </c>
      <c r="Q877" s="5">
        <f>+$P877*BC877</f>
        <v>0</v>
      </c>
      <c r="R877" s="5">
        <f>+$P877*BD877</f>
        <v>0</v>
      </c>
      <c r="S877" s="5">
        <f>+$P877*BE877</f>
        <v>0</v>
      </c>
      <c r="T877" s="5">
        <f>+$P877*BF877</f>
        <v>0</v>
      </c>
      <c r="U877" s="5">
        <f>+$P877*BG877</f>
        <v>0</v>
      </c>
      <c r="V877" s="5">
        <f>+$P877*BH877</f>
        <v>0</v>
      </c>
      <c r="W877" s="5">
        <f>+$P877*BI877</f>
        <v>0</v>
      </c>
      <c r="X877" s="5">
        <f>+$P877*BJ877</f>
        <v>0</v>
      </c>
      <c r="Y877" s="5">
        <f>+$P877*BK877</f>
        <v>0</v>
      </c>
      <c r="Z877" s="5">
        <f>+$P877*BL877</f>
        <v>0</v>
      </c>
      <c r="AA877" s="5">
        <f>+$P877*BM877</f>
        <v>0</v>
      </c>
      <c r="AB877" s="5">
        <f>+$P877*BN877</f>
        <v>0</v>
      </c>
      <c r="AC877" s="5">
        <v>0</v>
      </c>
      <c r="AD877" s="5">
        <f>+$AC877*BC877</f>
        <v>0</v>
      </c>
      <c r="AE877" s="5">
        <f>+$AC877*BD877</f>
        <v>0</v>
      </c>
      <c r="AF877" s="5">
        <f>+$AC877*BE877</f>
        <v>0</v>
      </c>
      <c r="AG877" s="5">
        <f>+$AC877*BF877</f>
        <v>0</v>
      </c>
      <c r="AH877" s="5">
        <f>+$AC877*BG877</f>
        <v>0</v>
      </c>
      <c r="AI877" s="5">
        <f>+$AC877*BH877</f>
        <v>0</v>
      </c>
      <c r="AJ877" s="5">
        <f>+$AC877*BI877</f>
        <v>0</v>
      </c>
      <c r="AK877" s="5">
        <f>+$AC877*BJ877</f>
        <v>0</v>
      </c>
      <c r="AL877" s="5">
        <f>+$AC877*BK877</f>
        <v>0</v>
      </c>
      <c r="AM877" s="5">
        <f>+$AC877*BL877</f>
        <v>0</v>
      </c>
      <c r="AN877" s="5">
        <f>+$AC877*BM877</f>
        <v>0</v>
      </c>
      <c r="AO877" s="5">
        <f>+$AC877*BN877</f>
        <v>0</v>
      </c>
      <c r="AP877" s="5">
        <f>+AC877+P877+C877</f>
        <v>0</v>
      </c>
      <c r="AQ877" s="1">
        <v>14.106740101772051</v>
      </c>
      <c r="AR877" s="1">
        <v>16.870336556033617</v>
      </c>
      <c r="AS877" s="1">
        <v>14.930371482423269</v>
      </c>
      <c r="AT877" s="1">
        <v>11.309181896207319</v>
      </c>
      <c r="AU877" s="1">
        <v>16.401006889907055</v>
      </c>
      <c r="AV877" s="1">
        <v>13.440606950073514</v>
      </c>
      <c r="AW877" s="1">
        <v>13.381059760805417</v>
      </c>
      <c r="AX877" s="1">
        <v>9.0869831421025378</v>
      </c>
      <c r="AY877" s="1">
        <v>13.469636364020284</v>
      </c>
      <c r="AZ877" s="1">
        <v>11.730321758863907</v>
      </c>
      <c r="BA877" s="1">
        <v>11.977103166407515</v>
      </c>
      <c r="BB877" s="1">
        <v>11.698290380462572</v>
      </c>
      <c r="BC877" s="2">
        <v>8.9181565948742242E-2</v>
      </c>
      <c r="BD877" s="2">
        <v>0.10665277883445198</v>
      </c>
      <c r="BE877" s="2">
        <v>9.438849084854764E-2</v>
      </c>
      <c r="BF877" s="2">
        <v>7.149564986855049E-2</v>
      </c>
      <c r="BG877" s="2">
        <v>0.10368571810536763</v>
      </c>
      <c r="BH877" s="2">
        <v>8.4970330952544637E-2</v>
      </c>
      <c r="BI877" s="2">
        <v>8.4593878877262704E-2</v>
      </c>
      <c r="BJ877" s="2">
        <v>5.7447105462779965E-2</v>
      </c>
      <c r="BK877" s="2">
        <v>8.5153852345557474E-2</v>
      </c>
      <c r="BL877" s="2">
        <v>7.4158058913035174E-2</v>
      </c>
      <c r="BM877" s="2">
        <v>7.5718189192107169E-2</v>
      </c>
      <c r="BN877" s="2">
        <v>7.3955559365675619E-2</v>
      </c>
    </row>
    <row r="878" spans="1:66" x14ac:dyDescent="0.25">
      <c r="A878" s="8">
        <v>6647</v>
      </c>
      <c r="B878" s="8" t="s">
        <v>118</v>
      </c>
      <c r="C878" s="5">
        <v>0</v>
      </c>
      <c r="D878" s="5">
        <f>+$C878*BC878</f>
        <v>0</v>
      </c>
      <c r="E878" s="5">
        <f>+$C878*BD878</f>
        <v>0</v>
      </c>
      <c r="F878" s="5">
        <f>+$C878*BE878</f>
        <v>0</v>
      </c>
      <c r="G878" s="5">
        <f>+$C878*BF878</f>
        <v>0</v>
      </c>
      <c r="H878" s="5">
        <f>+$C878*BG878</f>
        <v>0</v>
      </c>
      <c r="I878" s="5">
        <f>+$C878*BH878</f>
        <v>0</v>
      </c>
      <c r="J878" s="5">
        <f>+$C878*BI878</f>
        <v>0</v>
      </c>
      <c r="K878" s="5">
        <f>+$C878*BJ878</f>
        <v>0</v>
      </c>
      <c r="L878" s="5">
        <f>+$C878*BK878</f>
        <v>0</v>
      </c>
      <c r="M878" s="5">
        <f>+$C878*BL878</f>
        <v>0</v>
      </c>
      <c r="N878" s="5">
        <f>+$C878*BM878</f>
        <v>0</v>
      </c>
      <c r="O878" s="5">
        <f>+$C878*BN878</f>
        <v>0</v>
      </c>
      <c r="P878" s="5">
        <v>0</v>
      </c>
      <c r="Q878" s="5">
        <f>+$P878*BC878</f>
        <v>0</v>
      </c>
      <c r="R878" s="5">
        <f>+$P878*BD878</f>
        <v>0</v>
      </c>
      <c r="S878" s="5">
        <f>+$P878*BE878</f>
        <v>0</v>
      </c>
      <c r="T878" s="5">
        <f>+$P878*BF878</f>
        <v>0</v>
      </c>
      <c r="U878" s="5">
        <f>+$P878*BG878</f>
        <v>0</v>
      </c>
      <c r="V878" s="5">
        <f>+$P878*BH878</f>
        <v>0</v>
      </c>
      <c r="W878" s="5">
        <f>+$P878*BI878</f>
        <v>0</v>
      </c>
      <c r="X878" s="5">
        <f>+$P878*BJ878</f>
        <v>0</v>
      </c>
      <c r="Y878" s="5">
        <f>+$P878*BK878</f>
        <v>0</v>
      </c>
      <c r="Z878" s="5">
        <f>+$P878*BL878</f>
        <v>0</v>
      </c>
      <c r="AA878" s="5">
        <f>+$P878*BM878</f>
        <v>0</v>
      </c>
      <c r="AB878" s="5">
        <f>+$P878*BN878</f>
        <v>0</v>
      </c>
      <c r="AC878" s="5">
        <v>250</v>
      </c>
      <c r="AD878" s="5">
        <f>+$AC878*BC878</f>
        <v>22.295391487185562</v>
      </c>
      <c r="AE878" s="5">
        <f>+$AC878*BD878</f>
        <v>26.663194708612995</v>
      </c>
      <c r="AF878" s="5">
        <f>+$AC878*BE878</f>
        <v>23.597122712136912</v>
      </c>
      <c r="AG878" s="5">
        <f>+$AC878*BF878</f>
        <v>17.873912467137622</v>
      </c>
      <c r="AH878" s="5">
        <f>+$AC878*BG878</f>
        <v>25.921429526341907</v>
      </c>
      <c r="AI878" s="5">
        <f>+$AC878*BH878</f>
        <v>21.242582738136161</v>
      </c>
      <c r="AJ878" s="5">
        <f>+$AC878*BI878</f>
        <v>21.148469719315678</v>
      </c>
      <c r="AK878" s="5">
        <f>+$AC878*BJ878</f>
        <v>14.361776365694991</v>
      </c>
      <c r="AL878" s="5">
        <f>+$AC878*BK878</f>
        <v>21.288463086389367</v>
      </c>
      <c r="AM878" s="5">
        <f>+$AC878*BL878</f>
        <v>18.539514728258794</v>
      </c>
      <c r="AN878" s="5">
        <f>+$AC878*BM878</f>
        <v>18.929547298026794</v>
      </c>
      <c r="AO878" s="5">
        <f>+$AC878*BN878</f>
        <v>18.488889841418906</v>
      </c>
      <c r="AP878" s="5">
        <f>+AC878+P878+C878</f>
        <v>250</v>
      </c>
      <c r="AQ878" s="1">
        <v>14.089082151714196</v>
      </c>
      <c r="AR878" s="1">
        <v>16.849219305824395</v>
      </c>
      <c r="AS878" s="1">
        <v>14.911682561235253</v>
      </c>
      <c r="AT878" s="1">
        <v>11.295025757533343</v>
      </c>
      <c r="AU878" s="1">
        <v>16.38047711772219</v>
      </c>
      <c r="AV878" s="1">
        <v>13.423782824544906</v>
      </c>
      <c r="AW878" s="1">
        <v>13.364310172787716</v>
      </c>
      <c r="AX878" s="1">
        <v>9.0756086152209043</v>
      </c>
      <c r="AY878" s="1">
        <v>13.45277590125586</v>
      </c>
      <c r="AZ878" s="1">
        <v>11.715638463199124</v>
      </c>
      <c r="BA878" s="1">
        <v>11.962110964947474</v>
      </c>
      <c r="BB878" s="1">
        <v>11.683647179708165</v>
      </c>
      <c r="BC878" s="2">
        <v>8.9181565948742242E-2</v>
      </c>
      <c r="BD878" s="2">
        <v>0.10665277883445198</v>
      </c>
      <c r="BE878" s="2">
        <v>9.438849084854764E-2</v>
      </c>
      <c r="BF878" s="2">
        <v>7.149564986855049E-2</v>
      </c>
      <c r="BG878" s="2">
        <v>0.10368571810536763</v>
      </c>
      <c r="BH878" s="2">
        <v>8.4970330952544637E-2</v>
      </c>
      <c r="BI878" s="2">
        <v>8.4593878877262704E-2</v>
      </c>
      <c r="BJ878" s="2">
        <v>5.7447105462779965E-2</v>
      </c>
      <c r="BK878" s="2">
        <v>8.5153852345557474E-2</v>
      </c>
      <c r="BL878" s="2">
        <v>7.4158058913035174E-2</v>
      </c>
      <c r="BM878" s="2">
        <v>7.5718189192107169E-2</v>
      </c>
      <c r="BN878" s="2">
        <v>7.3955559365675619E-2</v>
      </c>
    </row>
    <row r="879" spans="1:66" x14ac:dyDescent="0.25">
      <c r="A879" s="8">
        <v>6651</v>
      </c>
      <c r="B879" s="8" t="s">
        <v>117</v>
      </c>
      <c r="C879" s="5">
        <v>0</v>
      </c>
      <c r="D879" s="5">
        <f>+$C879*BC879</f>
        <v>0</v>
      </c>
      <c r="E879" s="5">
        <f>+$C879*BD879</f>
        <v>0</v>
      </c>
      <c r="F879" s="5">
        <f>+$C879*BE879</f>
        <v>0</v>
      </c>
      <c r="G879" s="5">
        <f>+$C879*BF879</f>
        <v>0</v>
      </c>
      <c r="H879" s="5">
        <f>+$C879*BG879</f>
        <v>0</v>
      </c>
      <c r="I879" s="5">
        <f>+$C879*BH879</f>
        <v>0</v>
      </c>
      <c r="J879" s="5">
        <f>+$C879*BI879</f>
        <v>0</v>
      </c>
      <c r="K879" s="5">
        <f>+$C879*BJ879</f>
        <v>0</v>
      </c>
      <c r="L879" s="5">
        <f>+$C879*BK879</f>
        <v>0</v>
      </c>
      <c r="M879" s="5">
        <f>+$C879*BL879</f>
        <v>0</v>
      </c>
      <c r="N879" s="5">
        <f>+$C879*BM879</f>
        <v>0</v>
      </c>
      <c r="O879" s="5">
        <f>+$C879*BN879</f>
        <v>0</v>
      </c>
      <c r="P879" s="5">
        <v>1500</v>
      </c>
      <c r="Q879" s="5">
        <f>+$P879*BC879</f>
        <v>133.77234892311336</v>
      </c>
      <c r="R879" s="5">
        <f>+$P879*BD879</f>
        <v>159.97916825167798</v>
      </c>
      <c r="S879" s="5">
        <f>+$P879*BE879</f>
        <v>141.58273627282145</v>
      </c>
      <c r="T879" s="5">
        <f>+$P879*BF879</f>
        <v>107.24347480282573</v>
      </c>
      <c r="U879" s="5">
        <f>+$P879*BG879</f>
        <v>155.52857715805143</v>
      </c>
      <c r="V879" s="5">
        <f>+$P879*BH879</f>
        <v>127.45549642881696</v>
      </c>
      <c r="W879" s="5">
        <f>+$P879*BI879</f>
        <v>126.89081831589405</v>
      </c>
      <c r="X879" s="5">
        <f>+$P879*BJ879</f>
        <v>86.170658194169945</v>
      </c>
      <c r="Y879" s="5">
        <f>+$P879*BK879</f>
        <v>127.73077851833621</v>
      </c>
      <c r="Z879" s="5">
        <f>+$P879*BL879</f>
        <v>111.23708836955277</v>
      </c>
      <c r="AA879" s="5">
        <f>+$P879*BM879</f>
        <v>113.57728378816076</v>
      </c>
      <c r="AB879" s="5">
        <f>+$P879*BN879</f>
        <v>110.93333904851343</v>
      </c>
      <c r="AC879" s="5">
        <v>0</v>
      </c>
      <c r="AD879" s="5">
        <f>+$AC879*BC879</f>
        <v>0</v>
      </c>
      <c r="AE879" s="5">
        <f>+$AC879*BD879</f>
        <v>0</v>
      </c>
      <c r="AF879" s="5">
        <f>+$AC879*BE879</f>
        <v>0</v>
      </c>
      <c r="AG879" s="5">
        <f>+$AC879*BF879</f>
        <v>0</v>
      </c>
      <c r="AH879" s="5">
        <f>+$AC879*BG879</f>
        <v>0</v>
      </c>
      <c r="AI879" s="5">
        <f>+$AC879*BH879</f>
        <v>0</v>
      </c>
      <c r="AJ879" s="5">
        <f>+$AC879*BI879</f>
        <v>0</v>
      </c>
      <c r="AK879" s="5">
        <f>+$AC879*BJ879</f>
        <v>0</v>
      </c>
      <c r="AL879" s="5">
        <f>+$AC879*BK879</f>
        <v>0</v>
      </c>
      <c r="AM879" s="5">
        <f>+$AC879*BL879</f>
        <v>0</v>
      </c>
      <c r="AN879" s="5">
        <f>+$AC879*BM879</f>
        <v>0</v>
      </c>
      <c r="AO879" s="5">
        <f>+$AC879*BN879</f>
        <v>0</v>
      </c>
      <c r="AP879" s="5">
        <f>+AC879+P879+C879</f>
        <v>1500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2">
        <v>8.9181565948742242E-2</v>
      </c>
      <c r="BD879" s="2">
        <v>0.10665277883445198</v>
      </c>
      <c r="BE879" s="2">
        <v>9.438849084854764E-2</v>
      </c>
      <c r="BF879" s="2">
        <v>7.149564986855049E-2</v>
      </c>
      <c r="BG879" s="2">
        <v>0.10368571810536763</v>
      </c>
      <c r="BH879" s="2">
        <v>8.4970330952544637E-2</v>
      </c>
      <c r="BI879" s="2">
        <v>8.4593878877262704E-2</v>
      </c>
      <c r="BJ879" s="2">
        <v>5.7447105462779965E-2</v>
      </c>
      <c r="BK879" s="2">
        <v>8.5153852345557474E-2</v>
      </c>
      <c r="BL879" s="2">
        <v>7.4158058913035174E-2</v>
      </c>
      <c r="BM879" s="2">
        <v>7.5718189192107169E-2</v>
      </c>
      <c r="BN879" s="2">
        <v>7.3955559365675619E-2</v>
      </c>
    </row>
    <row r="880" spans="1:66" x14ac:dyDescent="0.25">
      <c r="A880" s="8">
        <v>6654</v>
      </c>
      <c r="B880" s="8" t="s">
        <v>116</v>
      </c>
      <c r="C880" s="5">
        <v>0</v>
      </c>
      <c r="D880" s="5">
        <f>+$C880*BC880</f>
        <v>0</v>
      </c>
      <c r="E880" s="5">
        <f>+$C880*BD880</f>
        <v>0</v>
      </c>
      <c r="F880" s="5">
        <f>+$C880*BE880</f>
        <v>0</v>
      </c>
      <c r="G880" s="5">
        <f>+$C880*BF880</f>
        <v>0</v>
      </c>
      <c r="H880" s="5">
        <f>+$C880*BG880</f>
        <v>0</v>
      </c>
      <c r="I880" s="5">
        <f>+$C880*BH880</f>
        <v>0</v>
      </c>
      <c r="J880" s="5">
        <f>+$C880*BI880</f>
        <v>0</v>
      </c>
      <c r="K880" s="5">
        <f>+$C880*BJ880</f>
        <v>0</v>
      </c>
      <c r="L880" s="5">
        <f>+$C880*BK880</f>
        <v>0</v>
      </c>
      <c r="M880" s="5">
        <f>+$C880*BL880</f>
        <v>0</v>
      </c>
      <c r="N880" s="5">
        <f>+$C880*BM880</f>
        <v>0</v>
      </c>
      <c r="O880" s="5">
        <f>+$C880*BN880</f>
        <v>0</v>
      </c>
      <c r="P880" s="5">
        <v>0</v>
      </c>
      <c r="Q880" s="5">
        <f>+$P880*BC880</f>
        <v>0</v>
      </c>
      <c r="R880" s="5">
        <f>+$P880*BD880</f>
        <v>0</v>
      </c>
      <c r="S880" s="5">
        <f>+$P880*BE880</f>
        <v>0</v>
      </c>
      <c r="T880" s="5">
        <f>+$P880*BF880</f>
        <v>0</v>
      </c>
      <c r="U880" s="5">
        <f>+$P880*BG880</f>
        <v>0</v>
      </c>
      <c r="V880" s="5">
        <f>+$P880*BH880</f>
        <v>0</v>
      </c>
      <c r="W880" s="5">
        <f>+$P880*BI880</f>
        <v>0</v>
      </c>
      <c r="X880" s="5">
        <f>+$P880*BJ880</f>
        <v>0</v>
      </c>
      <c r="Y880" s="5">
        <f>+$P880*BK880</f>
        <v>0</v>
      </c>
      <c r="Z880" s="5">
        <f>+$P880*BL880</f>
        <v>0</v>
      </c>
      <c r="AA880" s="5">
        <f>+$P880*BM880</f>
        <v>0</v>
      </c>
      <c r="AB880" s="5">
        <f>+$P880*BN880</f>
        <v>0</v>
      </c>
      <c r="AC880" s="5">
        <v>0</v>
      </c>
      <c r="AD880" s="5">
        <f>+$AC880*BC880</f>
        <v>0</v>
      </c>
      <c r="AE880" s="5">
        <f>+$AC880*BD880</f>
        <v>0</v>
      </c>
      <c r="AF880" s="5">
        <f>+$AC880*BE880</f>
        <v>0</v>
      </c>
      <c r="AG880" s="5">
        <f>+$AC880*BF880</f>
        <v>0</v>
      </c>
      <c r="AH880" s="5">
        <f>+$AC880*BG880</f>
        <v>0</v>
      </c>
      <c r="AI880" s="5">
        <f>+$AC880*BH880</f>
        <v>0</v>
      </c>
      <c r="AJ880" s="5">
        <f>+$AC880*BI880</f>
        <v>0</v>
      </c>
      <c r="AK880" s="5">
        <f>+$AC880*BJ880</f>
        <v>0</v>
      </c>
      <c r="AL880" s="5">
        <f>+$AC880*BK880</f>
        <v>0</v>
      </c>
      <c r="AM880" s="5">
        <f>+$AC880*BL880</f>
        <v>0</v>
      </c>
      <c r="AN880" s="5">
        <f>+$AC880*BM880</f>
        <v>0</v>
      </c>
      <c r="AO880" s="5">
        <f>+$AC880*BN880</f>
        <v>0</v>
      </c>
      <c r="AP880" s="5">
        <f>+AC880+P880+C880</f>
        <v>0</v>
      </c>
      <c r="AQ880" s="1">
        <v>40.358225854443816</v>
      </c>
      <c r="AR880" s="1">
        <v>48.2646485337429</v>
      </c>
      <c r="AS880" s="1">
        <v>42.714567648601751</v>
      </c>
      <c r="AT880" s="1">
        <v>32.354641391513837</v>
      </c>
      <c r="AU880" s="1">
        <v>46.921934871403067</v>
      </c>
      <c r="AV880" s="1">
        <v>38.452473569264555</v>
      </c>
      <c r="AW880" s="1">
        <v>38.282113947116464</v>
      </c>
      <c r="AX880" s="1">
        <v>25.997113106126445</v>
      </c>
      <c r="AY880" s="1">
        <v>38.535524340458579</v>
      </c>
      <c r="AZ880" s="1">
        <v>33.55948798050494</v>
      </c>
      <c r="BA880" s="1">
        <v>34.265509336996182</v>
      </c>
      <c r="BB880" s="1">
        <v>33.467848835342849</v>
      </c>
      <c r="BC880" s="2">
        <v>8.9181565948742242E-2</v>
      </c>
      <c r="BD880" s="2">
        <v>0.10665277883445198</v>
      </c>
      <c r="BE880" s="2">
        <v>9.438849084854764E-2</v>
      </c>
      <c r="BF880" s="2">
        <v>7.149564986855049E-2</v>
      </c>
      <c r="BG880" s="2">
        <v>0.10368571810536763</v>
      </c>
      <c r="BH880" s="2">
        <v>8.4970330952544637E-2</v>
      </c>
      <c r="BI880" s="2">
        <v>8.4593878877262704E-2</v>
      </c>
      <c r="BJ880" s="2">
        <v>5.7447105462779965E-2</v>
      </c>
      <c r="BK880" s="2">
        <v>8.5153852345557474E-2</v>
      </c>
      <c r="BL880" s="2">
        <v>7.4158058913035174E-2</v>
      </c>
      <c r="BM880" s="2">
        <v>7.5718189192107169E-2</v>
      </c>
      <c r="BN880" s="2">
        <v>7.3955559365675619E-2</v>
      </c>
    </row>
    <row r="881" spans="1:66" x14ac:dyDescent="0.25">
      <c r="A881" s="8">
        <v>6655</v>
      </c>
      <c r="B881" s="8" t="s">
        <v>115</v>
      </c>
      <c r="C881" s="5">
        <v>0</v>
      </c>
      <c r="D881" s="5">
        <f>+$C881*BC881</f>
        <v>0</v>
      </c>
      <c r="E881" s="5">
        <f>+$C881*BD881</f>
        <v>0</v>
      </c>
      <c r="F881" s="5">
        <f>+$C881*BE881</f>
        <v>0</v>
      </c>
      <c r="G881" s="5">
        <f>+$C881*BF881</f>
        <v>0</v>
      </c>
      <c r="H881" s="5">
        <f>+$C881*BG881</f>
        <v>0</v>
      </c>
      <c r="I881" s="5">
        <f>+$C881*BH881</f>
        <v>0</v>
      </c>
      <c r="J881" s="5">
        <f>+$C881*BI881</f>
        <v>0</v>
      </c>
      <c r="K881" s="5">
        <f>+$C881*BJ881</f>
        <v>0</v>
      </c>
      <c r="L881" s="5">
        <f>+$C881*BK881</f>
        <v>0</v>
      </c>
      <c r="M881" s="5">
        <f>+$C881*BL881</f>
        <v>0</v>
      </c>
      <c r="N881" s="5">
        <f>+$C881*BM881</f>
        <v>0</v>
      </c>
      <c r="O881" s="5">
        <f>+$C881*BN881</f>
        <v>0</v>
      </c>
      <c r="P881" s="5">
        <v>0</v>
      </c>
      <c r="Q881" s="5">
        <f>+$P881*BC881</f>
        <v>0</v>
      </c>
      <c r="R881" s="5">
        <f>+$P881*BD881</f>
        <v>0</v>
      </c>
      <c r="S881" s="5">
        <f>+$P881*BE881</f>
        <v>0</v>
      </c>
      <c r="T881" s="5">
        <f>+$P881*BF881</f>
        <v>0</v>
      </c>
      <c r="U881" s="5">
        <f>+$P881*BG881</f>
        <v>0</v>
      </c>
      <c r="V881" s="5">
        <f>+$P881*BH881</f>
        <v>0</v>
      </c>
      <c r="W881" s="5">
        <f>+$P881*BI881</f>
        <v>0</v>
      </c>
      <c r="X881" s="5">
        <f>+$P881*BJ881</f>
        <v>0</v>
      </c>
      <c r="Y881" s="5">
        <f>+$P881*BK881</f>
        <v>0</v>
      </c>
      <c r="Z881" s="5">
        <f>+$P881*BL881</f>
        <v>0</v>
      </c>
      <c r="AA881" s="5">
        <f>+$P881*BM881</f>
        <v>0</v>
      </c>
      <c r="AB881" s="5">
        <f>+$P881*BN881</f>
        <v>0</v>
      </c>
      <c r="AC881" s="5">
        <v>0</v>
      </c>
      <c r="AD881" s="5">
        <f>+$AC881*BC881</f>
        <v>0</v>
      </c>
      <c r="AE881" s="5">
        <f>+$AC881*BD881</f>
        <v>0</v>
      </c>
      <c r="AF881" s="5">
        <f>+$AC881*BE881</f>
        <v>0</v>
      </c>
      <c r="AG881" s="5">
        <f>+$AC881*BF881</f>
        <v>0</v>
      </c>
      <c r="AH881" s="5">
        <f>+$AC881*BG881</f>
        <v>0</v>
      </c>
      <c r="AI881" s="5">
        <f>+$AC881*BH881</f>
        <v>0</v>
      </c>
      <c r="AJ881" s="5">
        <f>+$AC881*BI881</f>
        <v>0</v>
      </c>
      <c r="AK881" s="5">
        <f>+$AC881*BJ881</f>
        <v>0</v>
      </c>
      <c r="AL881" s="5">
        <f>+$AC881*BK881</f>
        <v>0</v>
      </c>
      <c r="AM881" s="5">
        <f>+$AC881*BL881</f>
        <v>0</v>
      </c>
      <c r="AN881" s="5">
        <f>+$AC881*BM881</f>
        <v>0</v>
      </c>
      <c r="AO881" s="5">
        <f>+$AC881*BN881</f>
        <v>0</v>
      </c>
      <c r="AP881" s="5">
        <f>+AC881+P881+C881</f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2">
        <v>8.9181565948742242E-2</v>
      </c>
      <c r="BD881" s="2">
        <v>0.10665277883445198</v>
      </c>
      <c r="BE881" s="2">
        <v>9.438849084854764E-2</v>
      </c>
      <c r="BF881" s="2">
        <v>7.149564986855049E-2</v>
      </c>
      <c r="BG881" s="2">
        <v>0.10368571810536763</v>
      </c>
      <c r="BH881" s="2">
        <v>8.4970330952544637E-2</v>
      </c>
      <c r="BI881" s="2">
        <v>8.4593878877262704E-2</v>
      </c>
      <c r="BJ881" s="2">
        <v>5.7447105462779965E-2</v>
      </c>
      <c r="BK881" s="2">
        <v>8.5153852345557474E-2</v>
      </c>
      <c r="BL881" s="2">
        <v>7.4158058913035174E-2</v>
      </c>
      <c r="BM881" s="2">
        <v>7.5718189192107169E-2</v>
      </c>
      <c r="BN881" s="2">
        <v>7.3955559365675619E-2</v>
      </c>
    </row>
    <row r="882" spans="1:66" x14ac:dyDescent="0.25">
      <c r="A882" s="8">
        <v>6662</v>
      </c>
      <c r="B882" s="8" t="s">
        <v>114</v>
      </c>
      <c r="C882" s="5">
        <v>0</v>
      </c>
      <c r="D882" s="5">
        <f>+$C882*BC882</f>
        <v>0</v>
      </c>
      <c r="E882" s="5">
        <f>+$C882*BD882</f>
        <v>0</v>
      </c>
      <c r="F882" s="5">
        <f>+$C882*BE882</f>
        <v>0</v>
      </c>
      <c r="G882" s="5">
        <f>+$C882*BF882</f>
        <v>0</v>
      </c>
      <c r="H882" s="5">
        <f>+$C882*BG882</f>
        <v>0</v>
      </c>
      <c r="I882" s="5">
        <f>+$C882*BH882</f>
        <v>0</v>
      </c>
      <c r="J882" s="5">
        <f>+$C882*BI882</f>
        <v>0</v>
      </c>
      <c r="K882" s="5">
        <f>+$C882*BJ882</f>
        <v>0</v>
      </c>
      <c r="L882" s="5">
        <f>+$C882*BK882</f>
        <v>0</v>
      </c>
      <c r="M882" s="5">
        <f>+$C882*BL882</f>
        <v>0</v>
      </c>
      <c r="N882" s="5">
        <f>+$C882*BM882</f>
        <v>0</v>
      </c>
      <c r="O882" s="5">
        <f>+$C882*BN882</f>
        <v>0</v>
      </c>
      <c r="P882" s="5">
        <v>0</v>
      </c>
      <c r="Q882" s="5">
        <f>+$P882*BC882</f>
        <v>0</v>
      </c>
      <c r="R882" s="5">
        <f>+$P882*BD882</f>
        <v>0</v>
      </c>
      <c r="S882" s="5">
        <f>+$P882*BE882</f>
        <v>0</v>
      </c>
      <c r="T882" s="5">
        <f>+$P882*BF882</f>
        <v>0</v>
      </c>
      <c r="U882" s="5">
        <f>+$P882*BG882</f>
        <v>0</v>
      </c>
      <c r="V882" s="5">
        <f>+$P882*BH882</f>
        <v>0</v>
      </c>
      <c r="W882" s="5">
        <f>+$P882*BI882</f>
        <v>0</v>
      </c>
      <c r="X882" s="5">
        <f>+$P882*BJ882</f>
        <v>0</v>
      </c>
      <c r="Y882" s="5">
        <f>+$P882*BK882</f>
        <v>0</v>
      </c>
      <c r="Z882" s="5">
        <f>+$P882*BL882</f>
        <v>0</v>
      </c>
      <c r="AA882" s="5">
        <f>+$P882*BM882</f>
        <v>0</v>
      </c>
      <c r="AB882" s="5">
        <f>+$P882*BN882</f>
        <v>0</v>
      </c>
      <c r="AC882" s="5">
        <v>0</v>
      </c>
      <c r="AD882" s="5">
        <f>+$AC882*BC882</f>
        <v>0</v>
      </c>
      <c r="AE882" s="5">
        <f>+$AC882*BD882</f>
        <v>0</v>
      </c>
      <c r="AF882" s="5">
        <f>+$AC882*BE882</f>
        <v>0</v>
      </c>
      <c r="AG882" s="5">
        <f>+$AC882*BF882</f>
        <v>0</v>
      </c>
      <c r="AH882" s="5">
        <f>+$AC882*BG882</f>
        <v>0</v>
      </c>
      <c r="AI882" s="5">
        <f>+$AC882*BH882</f>
        <v>0</v>
      </c>
      <c r="AJ882" s="5">
        <f>+$AC882*BI882</f>
        <v>0</v>
      </c>
      <c r="AK882" s="5">
        <f>+$AC882*BJ882</f>
        <v>0</v>
      </c>
      <c r="AL882" s="5">
        <f>+$AC882*BK882</f>
        <v>0</v>
      </c>
      <c r="AM882" s="5">
        <f>+$AC882*BL882</f>
        <v>0</v>
      </c>
      <c r="AN882" s="5">
        <f>+$AC882*BM882</f>
        <v>0</v>
      </c>
      <c r="AO882" s="5">
        <f>+$AC882*BN882</f>
        <v>0</v>
      </c>
      <c r="AP882" s="5">
        <f>+AC882+P882+C882</f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2">
        <v>8.9181565948742242E-2</v>
      </c>
      <c r="BD882" s="2">
        <v>0.10665277883445198</v>
      </c>
      <c r="BE882" s="2">
        <v>9.438849084854764E-2</v>
      </c>
      <c r="BF882" s="2">
        <v>7.149564986855049E-2</v>
      </c>
      <c r="BG882" s="2">
        <v>0.10368571810536763</v>
      </c>
      <c r="BH882" s="2">
        <v>8.4970330952544637E-2</v>
      </c>
      <c r="BI882" s="2">
        <v>8.4593878877262704E-2</v>
      </c>
      <c r="BJ882" s="2">
        <v>5.7447105462779965E-2</v>
      </c>
      <c r="BK882" s="2">
        <v>8.5153852345557474E-2</v>
      </c>
      <c r="BL882" s="2">
        <v>7.4158058913035174E-2</v>
      </c>
      <c r="BM882" s="2">
        <v>7.5718189192107169E-2</v>
      </c>
      <c r="BN882" s="2">
        <v>7.3955559365675619E-2</v>
      </c>
    </row>
    <row r="883" spans="1:66" x14ac:dyDescent="0.25">
      <c r="A883" s="8">
        <v>6664</v>
      </c>
      <c r="B883" s="8" t="s">
        <v>113</v>
      </c>
      <c r="C883" s="5">
        <v>0</v>
      </c>
      <c r="D883" s="5">
        <f>+$C883*BC883</f>
        <v>0</v>
      </c>
      <c r="E883" s="5">
        <f>+$C883*BD883</f>
        <v>0</v>
      </c>
      <c r="F883" s="5">
        <f>+$C883*BE883</f>
        <v>0</v>
      </c>
      <c r="G883" s="5">
        <f>+$C883*BF883</f>
        <v>0</v>
      </c>
      <c r="H883" s="5">
        <f>+$C883*BG883</f>
        <v>0</v>
      </c>
      <c r="I883" s="5">
        <f>+$C883*BH883</f>
        <v>0</v>
      </c>
      <c r="J883" s="5">
        <f>+$C883*BI883</f>
        <v>0</v>
      </c>
      <c r="K883" s="5">
        <f>+$C883*BJ883</f>
        <v>0</v>
      </c>
      <c r="L883" s="5">
        <f>+$C883*BK883</f>
        <v>0</v>
      </c>
      <c r="M883" s="5">
        <f>+$C883*BL883</f>
        <v>0</v>
      </c>
      <c r="N883" s="5">
        <f>+$C883*BM883</f>
        <v>0</v>
      </c>
      <c r="O883" s="5">
        <f>+$C883*BN883</f>
        <v>0</v>
      </c>
      <c r="P883" s="5">
        <v>0</v>
      </c>
      <c r="Q883" s="5">
        <f>+$P883*BC883</f>
        <v>0</v>
      </c>
      <c r="R883" s="5">
        <f>+$P883*BD883</f>
        <v>0</v>
      </c>
      <c r="S883" s="5">
        <f>+$P883*BE883</f>
        <v>0</v>
      </c>
      <c r="T883" s="5">
        <f>+$P883*BF883</f>
        <v>0</v>
      </c>
      <c r="U883" s="5">
        <f>+$P883*BG883</f>
        <v>0</v>
      </c>
      <c r="V883" s="5">
        <f>+$P883*BH883</f>
        <v>0</v>
      </c>
      <c r="W883" s="5">
        <f>+$P883*BI883</f>
        <v>0</v>
      </c>
      <c r="X883" s="5">
        <f>+$P883*BJ883</f>
        <v>0</v>
      </c>
      <c r="Y883" s="5">
        <f>+$P883*BK883</f>
        <v>0</v>
      </c>
      <c r="Z883" s="5">
        <f>+$P883*BL883</f>
        <v>0</v>
      </c>
      <c r="AA883" s="5">
        <f>+$P883*BM883</f>
        <v>0</v>
      </c>
      <c r="AB883" s="5">
        <f>+$P883*BN883</f>
        <v>0</v>
      </c>
      <c r="AC883" s="5">
        <v>0</v>
      </c>
      <c r="AD883" s="5">
        <f>+$AC883*BC883</f>
        <v>0</v>
      </c>
      <c r="AE883" s="5">
        <f>+$AC883*BD883</f>
        <v>0</v>
      </c>
      <c r="AF883" s="5">
        <f>+$AC883*BE883</f>
        <v>0</v>
      </c>
      <c r="AG883" s="5">
        <f>+$AC883*BF883</f>
        <v>0</v>
      </c>
      <c r="AH883" s="5">
        <f>+$AC883*BG883</f>
        <v>0</v>
      </c>
      <c r="AI883" s="5">
        <f>+$AC883*BH883</f>
        <v>0</v>
      </c>
      <c r="AJ883" s="5">
        <f>+$AC883*BI883</f>
        <v>0</v>
      </c>
      <c r="AK883" s="5">
        <f>+$AC883*BJ883</f>
        <v>0</v>
      </c>
      <c r="AL883" s="5">
        <f>+$AC883*BK883</f>
        <v>0</v>
      </c>
      <c r="AM883" s="5">
        <f>+$AC883*BL883</f>
        <v>0</v>
      </c>
      <c r="AN883" s="5">
        <f>+$AC883*BM883</f>
        <v>0</v>
      </c>
      <c r="AO883" s="5">
        <f>+$AC883*BN883</f>
        <v>0</v>
      </c>
      <c r="AP883" s="5">
        <f>+AC883+P883+C883</f>
        <v>0</v>
      </c>
      <c r="AQ883" s="1">
        <v>0.15695955606978637</v>
      </c>
      <c r="AR883" s="1">
        <v>0.1877088907486355</v>
      </c>
      <c r="AS883" s="1">
        <v>0.16612374389344386</v>
      </c>
      <c r="AT883" s="1">
        <v>0.12583234376864888</v>
      </c>
      <c r="AU883" s="1">
        <v>0.18248686386544705</v>
      </c>
      <c r="AV883" s="1">
        <v>0.14954778247647857</v>
      </c>
      <c r="AW883" s="1">
        <v>0.14888522682398239</v>
      </c>
      <c r="AX883" s="1">
        <v>0.10110690561449276</v>
      </c>
      <c r="AY883" s="1">
        <v>0.14987078012818117</v>
      </c>
      <c r="AZ883" s="1">
        <v>0.13051818368694193</v>
      </c>
      <c r="BA883" s="1">
        <v>0.13326401297810864</v>
      </c>
      <c r="BB883" s="1">
        <v>0.13016178448358912</v>
      </c>
      <c r="BC883" s="2">
        <v>8.9181565948742242E-2</v>
      </c>
      <c r="BD883" s="2">
        <v>0.10665277883445198</v>
      </c>
      <c r="BE883" s="2">
        <v>9.438849084854764E-2</v>
      </c>
      <c r="BF883" s="2">
        <v>7.149564986855049E-2</v>
      </c>
      <c r="BG883" s="2">
        <v>0.10368571810536763</v>
      </c>
      <c r="BH883" s="2">
        <v>8.4970330952544637E-2</v>
      </c>
      <c r="BI883" s="2">
        <v>8.4593878877262704E-2</v>
      </c>
      <c r="BJ883" s="2">
        <v>5.7447105462779965E-2</v>
      </c>
      <c r="BK883" s="2">
        <v>8.5153852345557474E-2</v>
      </c>
      <c r="BL883" s="2">
        <v>7.4158058913035174E-2</v>
      </c>
      <c r="BM883" s="2">
        <v>7.5718189192107169E-2</v>
      </c>
      <c r="BN883" s="2">
        <v>7.3955559365675619E-2</v>
      </c>
    </row>
    <row r="884" spans="1:66" x14ac:dyDescent="0.25">
      <c r="A884" s="8">
        <v>6666</v>
      </c>
      <c r="B884" s="8" t="s">
        <v>112</v>
      </c>
      <c r="C884" s="5">
        <v>0</v>
      </c>
      <c r="D884" s="5">
        <f>+$C884*BC884</f>
        <v>0</v>
      </c>
      <c r="E884" s="5">
        <f>+$C884*BD884</f>
        <v>0</v>
      </c>
      <c r="F884" s="5">
        <f>+$C884*BE884</f>
        <v>0</v>
      </c>
      <c r="G884" s="5">
        <f>+$C884*BF884</f>
        <v>0</v>
      </c>
      <c r="H884" s="5">
        <f>+$C884*BG884</f>
        <v>0</v>
      </c>
      <c r="I884" s="5">
        <f>+$C884*BH884</f>
        <v>0</v>
      </c>
      <c r="J884" s="5">
        <f>+$C884*BI884</f>
        <v>0</v>
      </c>
      <c r="K884" s="5">
        <f>+$C884*BJ884</f>
        <v>0</v>
      </c>
      <c r="L884" s="5">
        <f>+$C884*BK884</f>
        <v>0</v>
      </c>
      <c r="M884" s="5">
        <f>+$C884*BL884</f>
        <v>0</v>
      </c>
      <c r="N884" s="5">
        <f>+$C884*BM884</f>
        <v>0</v>
      </c>
      <c r="O884" s="5">
        <f>+$C884*BN884</f>
        <v>0</v>
      </c>
      <c r="P884" s="5">
        <v>0</v>
      </c>
      <c r="Q884" s="5">
        <f>+$P884*BC884</f>
        <v>0</v>
      </c>
      <c r="R884" s="5">
        <f>+$P884*BD884</f>
        <v>0</v>
      </c>
      <c r="S884" s="5">
        <f>+$P884*BE884</f>
        <v>0</v>
      </c>
      <c r="T884" s="5">
        <f>+$P884*BF884</f>
        <v>0</v>
      </c>
      <c r="U884" s="5">
        <f>+$P884*BG884</f>
        <v>0</v>
      </c>
      <c r="V884" s="5">
        <f>+$P884*BH884</f>
        <v>0</v>
      </c>
      <c r="W884" s="5">
        <f>+$P884*BI884</f>
        <v>0</v>
      </c>
      <c r="X884" s="5">
        <f>+$P884*BJ884</f>
        <v>0</v>
      </c>
      <c r="Y884" s="5">
        <f>+$P884*BK884</f>
        <v>0</v>
      </c>
      <c r="Z884" s="5">
        <f>+$P884*BL884</f>
        <v>0</v>
      </c>
      <c r="AA884" s="5">
        <f>+$P884*BM884</f>
        <v>0</v>
      </c>
      <c r="AB884" s="5">
        <f>+$P884*BN884</f>
        <v>0</v>
      </c>
      <c r="AC884" s="5">
        <v>0</v>
      </c>
      <c r="AD884" s="5">
        <f>+$AC884*BC884</f>
        <v>0</v>
      </c>
      <c r="AE884" s="5">
        <f>+$AC884*BD884</f>
        <v>0</v>
      </c>
      <c r="AF884" s="5">
        <f>+$AC884*BE884</f>
        <v>0</v>
      </c>
      <c r="AG884" s="5">
        <f>+$AC884*BF884</f>
        <v>0</v>
      </c>
      <c r="AH884" s="5">
        <f>+$AC884*BG884</f>
        <v>0</v>
      </c>
      <c r="AI884" s="5">
        <f>+$AC884*BH884</f>
        <v>0</v>
      </c>
      <c r="AJ884" s="5">
        <f>+$AC884*BI884</f>
        <v>0</v>
      </c>
      <c r="AK884" s="5">
        <f>+$AC884*BJ884</f>
        <v>0</v>
      </c>
      <c r="AL884" s="5">
        <f>+$AC884*BK884</f>
        <v>0</v>
      </c>
      <c r="AM884" s="5">
        <f>+$AC884*BL884</f>
        <v>0</v>
      </c>
      <c r="AN884" s="5">
        <f>+$AC884*BM884</f>
        <v>0</v>
      </c>
      <c r="AO884" s="5">
        <f>+$AC884*BN884</f>
        <v>0</v>
      </c>
      <c r="AP884" s="5">
        <f>+AC884+P884+C884</f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2">
        <v>8.9181565948742242E-2</v>
      </c>
      <c r="BD884" s="2">
        <v>0.10665277883445198</v>
      </c>
      <c r="BE884" s="2">
        <v>9.438849084854764E-2</v>
      </c>
      <c r="BF884" s="2">
        <v>7.149564986855049E-2</v>
      </c>
      <c r="BG884" s="2">
        <v>0.10368571810536763</v>
      </c>
      <c r="BH884" s="2">
        <v>8.4970330952544637E-2</v>
      </c>
      <c r="BI884" s="2">
        <v>8.4593878877262704E-2</v>
      </c>
      <c r="BJ884" s="2">
        <v>5.7447105462779965E-2</v>
      </c>
      <c r="BK884" s="2">
        <v>8.5153852345557474E-2</v>
      </c>
      <c r="BL884" s="2">
        <v>7.4158058913035174E-2</v>
      </c>
      <c r="BM884" s="2">
        <v>7.5718189192107169E-2</v>
      </c>
      <c r="BN884" s="2">
        <v>7.3955559365675619E-2</v>
      </c>
    </row>
    <row r="885" spans="1:66" x14ac:dyDescent="0.25">
      <c r="A885" s="8">
        <v>6670</v>
      </c>
      <c r="B885" s="8" t="s">
        <v>111</v>
      </c>
      <c r="C885" s="5">
        <v>0</v>
      </c>
      <c r="D885" s="5">
        <f>+$C885*BC885</f>
        <v>0</v>
      </c>
      <c r="E885" s="5">
        <f>+$C885*BD885</f>
        <v>0</v>
      </c>
      <c r="F885" s="5">
        <f>+$C885*BE885</f>
        <v>0</v>
      </c>
      <c r="G885" s="5">
        <f>+$C885*BF885</f>
        <v>0</v>
      </c>
      <c r="H885" s="5">
        <f>+$C885*BG885</f>
        <v>0</v>
      </c>
      <c r="I885" s="5">
        <f>+$C885*BH885</f>
        <v>0</v>
      </c>
      <c r="J885" s="5">
        <f>+$C885*BI885</f>
        <v>0</v>
      </c>
      <c r="K885" s="5">
        <f>+$C885*BJ885</f>
        <v>0</v>
      </c>
      <c r="L885" s="5">
        <f>+$C885*BK885</f>
        <v>0</v>
      </c>
      <c r="M885" s="5">
        <f>+$C885*BL885</f>
        <v>0</v>
      </c>
      <c r="N885" s="5">
        <f>+$C885*BM885</f>
        <v>0</v>
      </c>
      <c r="O885" s="5">
        <f>+$C885*BN885</f>
        <v>0</v>
      </c>
      <c r="P885" s="5">
        <v>0</v>
      </c>
      <c r="Q885" s="5">
        <f>+$P885*BC885</f>
        <v>0</v>
      </c>
      <c r="R885" s="5">
        <f>+$P885*BD885</f>
        <v>0</v>
      </c>
      <c r="S885" s="5">
        <f>+$P885*BE885</f>
        <v>0</v>
      </c>
      <c r="T885" s="5">
        <f>+$P885*BF885</f>
        <v>0</v>
      </c>
      <c r="U885" s="5">
        <f>+$P885*BG885</f>
        <v>0</v>
      </c>
      <c r="V885" s="5">
        <f>+$P885*BH885</f>
        <v>0</v>
      </c>
      <c r="W885" s="5">
        <f>+$P885*BI885</f>
        <v>0</v>
      </c>
      <c r="X885" s="5">
        <f>+$P885*BJ885</f>
        <v>0</v>
      </c>
      <c r="Y885" s="5">
        <f>+$P885*BK885</f>
        <v>0</v>
      </c>
      <c r="Z885" s="5">
        <f>+$P885*BL885</f>
        <v>0</v>
      </c>
      <c r="AA885" s="5">
        <f>+$P885*BM885</f>
        <v>0</v>
      </c>
      <c r="AB885" s="5">
        <f>+$P885*BN885</f>
        <v>0</v>
      </c>
      <c r="AC885" s="5">
        <v>0</v>
      </c>
      <c r="AD885" s="5">
        <f>+$AC885*BC885</f>
        <v>0</v>
      </c>
      <c r="AE885" s="5">
        <f>+$AC885*BD885</f>
        <v>0</v>
      </c>
      <c r="AF885" s="5">
        <f>+$AC885*BE885</f>
        <v>0</v>
      </c>
      <c r="AG885" s="5">
        <f>+$AC885*BF885</f>
        <v>0</v>
      </c>
      <c r="AH885" s="5">
        <f>+$AC885*BG885</f>
        <v>0</v>
      </c>
      <c r="AI885" s="5">
        <f>+$AC885*BH885</f>
        <v>0</v>
      </c>
      <c r="AJ885" s="5">
        <f>+$AC885*BI885</f>
        <v>0</v>
      </c>
      <c r="AK885" s="5">
        <f>+$AC885*BJ885</f>
        <v>0</v>
      </c>
      <c r="AL885" s="5">
        <f>+$AC885*BK885</f>
        <v>0</v>
      </c>
      <c r="AM885" s="5">
        <f>+$AC885*BL885</f>
        <v>0</v>
      </c>
      <c r="AN885" s="5">
        <f>+$AC885*BM885</f>
        <v>0</v>
      </c>
      <c r="AO885" s="5">
        <f>+$AC885*BN885</f>
        <v>0</v>
      </c>
      <c r="AP885" s="5">
        <f>+AC885+P885+C885</f>
        <v>0</v>
      </c>
      <c r="AQ885" s="1">
        <v>2.3279064159600189</v>
      </c>
      <c r="AR885" s="1">
        <v>2.7839574859157001</v>
      </c>
      <c r="AS885" s="1">
        <v>2.4638227766196392</v>
      </c>
      <c r="AT885" s="1">
        <v>1.8662509485187735</v>
      </c>
      <c r="AU885" s="1">
        <v>2.7065082997044114</v>
      </c>
      <c r="AV885" s="1">
        <v>2.217980548854273</v>
      </c>
      <c r="AW885" s="1">
        <v>2.2081540203331884</v>
      </c>
      <c r="AX885" s="1">
        <v>1.4995417938949456</v>
      </c>
      <c r="AY885" s="1">
        <v>2.2227710077760867</v>
      </c>
      <c r="AZ885" s="1">
        <v>1.9357478118069573</v>
      </c>
      <c r="BA885" s="1">
        <v>1.9764718924815736</v>
      </c>
      <c r="BB885" s="1">
        <v>1.9304619661222309</v>
      </c>
      <c r="BC885" s="2">
        <v>8.9181565948742242E-2</v>
      </c>
      <c r="BD885" s="2">
        <v>0.10665277883445198</v>
      </c>
      <c r="BE885" s="2">
        <v>9.438849084854764E-2</v>
      </c>
      <c r="BF885" s="2">
        <v>7.149564986855049E-2</v>
      </c>
      <c r="BG885" s="2">
        <v>0.10368571810536763</v>
      </c>
      <c r="BH885" s="2">
        <v>8.4970330952544637E-2</v>
      </c>
      <c r="BI885" s="2">
        <v>8.4593878877262704E-2</v>
      </c>
      <c r="BJ885" s="2">
        <v>5.7447105462779965E-2</v>
      </c>
      <c r="BK885" s="2">
        <v>8.5153852345557474E-2</v>
      </c>
      <c r="BL885" s="2">
        <v>7.4158058913035174E-2</v>
      </c>
      <c r="BM885" s="2">
        <v>7.5718189192107169E-2</v>
      </c>
      <c r="BN885" s="2">
        <v>7.3955559365675619E-2</v>
      </c>
    </row>
    <row r="886" spans="1:66" x14ac:dyDescent="0.25">
      <c r="A886" s="8">
        <v>6674</v>
      </c>
      <c r="B886" s="8" t="s">
        <v>110</v>
      </c>
      <c r="C886" s="5">
        <v>0</v>
      </c>
      <c r="D886" s="5">
        <f>+$C886*BC886</f>
        <v>0</v>
      </c>
      <c r="E886" s="5">
        <f>+$C886*BD886</f>
        <v>0</v>
      </c>
      <c r="F886" s="5">
        <f>+$C886*BE886</f>
        <v>0</v>
      </c>
      <c r="G886" s="5">
        <f>+$C886*BF886</f>
        <v>0</v>
      </c>
      <c r="H886" s="5">
        <f>+$C886*BG886</f>
        <v>0</v>
      </c>
      <c r="I886" s="5">
        <f>+$C886*BH886</f>
        <v>0</v>
      </c>
      <c r="J886" s="5">
        <f>+$C886*BI886</f>
        <v>0</v>
      </c>
      <c r="K886" s="5">
        <f>+$C886*BJ886</f>
        <v>0</v>
      </c>
      <c r="L886" s="5">
        <f>+$C886*BK886</f>
        <v>0</v>
      </c>
      <c r="M886" s="5">
        <f>+$C886*BL886</f>
        <v>0</v>
      </c>
      <c r="N886" s="5">
        <f>+$C886*BM886</f>
        <v>0</v>
      </c>
      <c r="O886" s="5">
        <f>+$C886*BN886</f>
        <v>0</v>
      </c>
      <c r="P886" s="5">
        <v>0</v>
      </c>
      <c r="Q886" s="5">
        <f>+$P886*BC886</f>
        <v>0</v>
      </c>
      <c r="R886" s="5">
        <f>+$P886*BD886</f>
        <v>0</v>
      </c>
      <c r="S886" s="5">
        <f>+$P886*BE886</f>
        <v>0</v>
      </c>
      <c r="T886" s="5">
        <f>+$P886*BF886</f>
        <v>0</v>
      </c>
      <c r="U886" s="5">
        <f>+$P886*BG886</f>
        <v>0</v>
      </c>
      <c r="V886" s="5">
        <f>+$P886*BH886</f>
        <v>0</v>
      </c>
      <c r="W886" s="5">
        <f>+$P886*BI886</f>
        <v>0</v>
      </c>
      <c r="X886" s="5">
        <f>+$P886*BJ886</f>
        <v>0</v>
      </c>
      <c r="Y886" s="5">
        <f>+$P886*BK886</f>
        <v>0</v>
      </c>
      <c r="Z886" s="5">
        <f>+$P886*BL886</f>
        <v>0</v>
      </c>
      <c r="AA886" s="5">
        <f>+$P886*BM886</f>
        <v>0</v>
      </c>
      <c r="AB886" s="5">
        <f>+$P886*BN886</f>
        <v>0</v>
      </c>
      <c r="AC886" s="5">
        <v>0</v>
      </c>
      <c r="AD886" s="5">
        <f>+$AC886*BC886</f>
        <v>0</v>
      </c>
      <c r="AE886" s="5">
        <f>+$AC886*BD886</f>
        <v>0</v>
      </c>
      <c r="AF886" s="5">
        <f>+$AC886*BE886</f>
        <v>0</v>
      </c>
      <c r="AG886" s="5">
        <f>+$AC886*BF886</f>
        <v>0</v>
      </c>
      <c r="AH886" s="5">
        <f>+$AC886*BG886</f>
        <v>0</v>
      </c>
      <c r="AI886" s="5">
        <f>+$AC886*BH886</f>
        <v>0</v>
      </c>
      <c r="AJ886" s="5">
        <f>+$AC886*BI886</f>
        <v>0</v>
      </c>
      <c r="AK886" s="5">
        <f>+$AC886*BJ886</f>
        <v>0</v>
      </c>
      <c r="AL886" s="5">
        <f>+$AC886*BK886</f>
        <v>0</v>
      </c>
      <c r="AM886" s="5">
        <f>+$AC886*BL886</f>
        <v>0</v>
      </c>
      <c r="AN886" s="5">
        <f>+$AC886*BM886</f>
        <v>0</v>
      </c>
      <c r="AO886" s="5">
        <f>+$AC886*BN886</f>
        <v>0</v>
      </c>
      <c r="AP886" s="5">
        <f>+AC886+P886+C886</f>
        <v>0</v>
      </c>
      <c r="AQ886" s="1">
        <v>0.26486925086776453</v>
      </c>
      <c r="AR886" s="1">
        <v>0.31675875313832247</v>
      </c>
      <c r="AS886" s="1">
        <v>0.28033381782018657</v>
      </c>
      <c r="AT886" s="1">
        <v>0.21234208010959499</v>
      </c>
      <c r="AU886" s="1">
        <v>0.3079465827729419</v>
      </c>
      <c r="AV886" s="1">
        <v>0.25236188292905765</v>
      </c>
      <c r="AW886" s="1">
        <v>0.25124382026547026</v>
      </c>
      <c r="AX886" s="1">
        <v>0.17061790322445652</v>
      </c>
      <c r="AY886" s="1">
        <v>0.25290694146630577</v>
      </c>
      <c r="AZ886" s="1">
        <v>0.22024943497171451</v>
      </c>
      <c r="BA886" s="1">
        <v>0.22488302190055834</v>
      </c>
      <c r="BB886" s="1">
        <v>0.21964801131605663</v>
      </c>
      <c r="BC886" s="2">
        <v>8.9181565948742242E-2</v>
      </c>
      <c r="BD886" s="2">
        <v>0.10665277883445198</v>
      </c>
      <c r="BE886" s="2">
        <v>9.438849084854764E-2</v>
      </c>
      <c r="BF886" s="2">
        <v>7.149564986855049E-2</v>
      </c>
      <c r="BG886" s="2">
        <v>0.10368571810536763</v>
      </c>
      <c r="BH886" s="2">
        <v>8.4970330952544637E-2</v>
      </c>
      <c r="BI886" s="2">
        <v>8.4593878877262704E-2</v>
      </c>
      <c r="BJ886" s="2">
        <v>5.7447105462779965E-2</v>
      </c>
      <c r="BK886" s="2">
        <v>8.5153852345557474E-2</v>
      </c>
      <c r="BL886" s="2">
        <v>7.4158058913035174E-2</v>
      </c>
      <c r="BM886" s="2">
        <v>7.5718189192107169E-2</v>
      </c>
      <c r="BN886" s="2">
        <v>7.3955559365675619E-2</v>
      </c>
    </row>
    <row r="887" spans="1:66" x14ac:dyDescent="0.25">
      <c r="A887" s="8">
        <v>6676</v>
      </c>
      <c r="B887" s="8" t="s">
        <v>109</v>
      </c>
      <c r="C887" s="5">
        <v>0</v>
      </c>
      <c r="D887" s="5">
        <f>+$C887*BC887</f>
        <v>0</v>
      </c>
      <c r="E887" s="5">
        <f>+$C887*BD887</f>
        <v>0</v>
      </c>
      <c r="F887" s="5">
        <f>+$C887*BE887</f>
        <v>0</v>
      </c>
      <c r="G887" s="5">
        <f>+$C887*BF887</f>
        <v>0</v>
      </c>
      <c r="H887" s="5">
        <f>+$C887*BG887</f>
        <v>0</v>
      </c>
      <c r="I887" s="5">
        <f>+$C887*BH887</f>
        <v>0</v>
      </c>
      <c r="J887" s="5">
        <f>+$C887*BI887</f>
        <v>0</v>
      </c>
      <c r="K887" s="5">
        <f>+$C887*BJ887</f>
        <v>0</v>
      </c>
      <c r="L887" s="5">
        <f>+$C887*BK887</f>
        <v>0</v>
      </c>
      <c r="M887" s="5">
        <f>+$C887*BL887</f>
        <v>0</v>
      </c>
      <c r="N887" s="5">
        <f>+$C887*BM887</f>
        <v>0</v>
      </c>
      <c r="O887" s="5">
        <f>+$C887*BN887</f>
        <v>0</v>
      </c>
      <c r="P887" s="5">
        <v>0</v>
      </c>
      <c r="Q887" s="5">
        <f>+$P887*BC887</f>
        <v>0</v>
      </c>
      <c r="R887" s="5">
        <f>+$P887*BD887</f>
        <v>0</v>
      </c>
      <c r="S887" s="5">
        <f>+$P887*BE887</f>
        <v>0</v>
      </c>
      <c r="T887" s="5">
        <f>+$P887*BF887</f>
        <v>0</v>
      </c>
      <c r="U887" s="5">
        <f>+$P887*BG887</f>
        <v>0</v>
      </c>
      <c r="V887" s="5">
        <f>+$P887*BH887</f>
        <v>0</v>
      </c>
      <c r="W887" s="5">
        <f>+$P887*BI887</f>
        <v>0</v>
      </c>
      <c r="X887" s="5">
        <f>+$P887*BJ887</f>
        <v>0</v>
      </c>
      <c r="Y887" s="5">
        <f>+$P887*BK887</f>
        <v>0</v>
      </c>
      <c r="Z887" s="5">
        <f>+$P887*BL887</f>
        <v>0</v>
      </c>
      <c r="AA887" s="5">
        <f>+$P887*BM887</f>
        <v>0</v>
      </c>
      <c r="AB887" s="5">
        <f>+$P887*BN887</f>
        <v>0</v>
      </c>
      <c r="AC887" s="5">
        <v>0</v>
      </c>
      <c r="AD887" s="5">
        <f>+$AC887*BC887</f>
        <v>0</v>
      </c>
      <c r="AE887" s="5">
        <f>+$AC887*BD887</f>
        <v>0</v>
      </c>
      <c r="AF887" s="5">
        <f>+$AC887*BE887</f>
        <v>0</v>
      </c>
      <c r="AG887" s="5">
        <f>+$AC887*BF887</f>
        <v>0</v>
      </c>
      <c r="AH887" s="5">
        <f>+$AC887*BG887</f>
        <v>0</v>
      </c>
      <c r="AI887" s="5">
        <f>+$AC887*BH887</f>
        <v>0</v>
      </c>
      <c r="AJ887" s="5">
        <f>+$AC887*BI887</f>
        <v>0</v>
      </c>
      <c r="AK887" s="5">
        <f>+$AC887*BJ887</f>
        <v>0</v>
      </c>
      <c r="AL887" s="5">
        <f>+$AC887*BK887</f>
        <v>0</v>
      </c>
      <c r="AM887" s="5">
        <f>+$AC887*BL887</f>
        <v>0</v>
      </c>
      <c r="AN887" s="5">
        <f>+$AC887*BM887</f>
        <v>0</v>
      </c>
      <c r="AO887" s="5">
        <f>+$AC887*BN887</f>
        <v>0</v>
      </c>
      <c r="AP887" s="5">
        <f>+AC887+P887+C887</f>
        <v>0</v>
      </c>
      <c r="AQ887" s="1">
        <v>3.0459963849792913</v>
      </c>
      <c r="AR887" s="1">
        <v>3.6427256610907075</v>
      </c>
      <c r="AS887" s="1">
        <v>3.223838904932145</v>
      </c>
      <c r="AT887" s="1">
        <v>2.4419339212603419</v>
      </c>
      <c r="AU887" s="1">
        <v>3.5413857018888315</v>
      </c>
      <c r="AV887" s="1">
        <v>2.9021616536841623</v>
      </c>
      <c r="AW887" s="1">
        <v>2.8893039330529078</v>
      </c>
      <c r="AX887" s="1">
        <v>1.9621058870812498</v>
      </c>
      <c r="AY887" s="1">
        <v>2.9084298268625157</v>
      </c>
      <c r="AZ887" s="1">
        <v>2.5328685021747166</v>
      </c>
      <c r="BA887" s="1">
        <v>2.5861547518564203</v>
      </c>
      <c r="BB887" s="1">
        <v>2.5259521301346508</v>
      </c>
      <c r="BC887" s="2">
        <v>8.9181565948742242E-2</v>
      </c>
      <c r="BD887" s="2">
        <v>0.10665277883445198</v>
      </c>
      <c r="BE887" s="2">
        <v>9.438849084854764E-2</v>
      </c>
      <c r="BF887" s="2">
        <v>7.149564986855049E-2</v>
      </c>
      <c r="BG887" s="2">
        <v>0.10368571810536763</v>
      </c>
      <c r="BH887" s="2">
        <v>8.4970330952544637E-2</v>
      </c>
      <c r="BI887" s="2">
        <v>8.4593878877262704E-2</v>
      </c>
      <c r="BJ887" s="2">
        <v>5.7447105462779965E-2</v>
      </c>
      <c r="BK887" s="2">
        <v>8.5153852345557474E-2</v>
      </c>
      <c r="BL887" s="2">
        <v>7.4158058913035174E-2</v>
      </c>
      <c r="BM887" s="2">
        <v>7.5718189192107169E-2</v>
      </c>
      <c r="BN887" s="2">
        <v>7.3955559365675619E-2</v>
      </c>
    </row>
    <row r="888" spans="1:66" x14ac:dyDescent="0.25">
      <c r="A888" s="8">
        <v>6681</v>
      </c>
      <c r="B888" s="8" t="s">
        <v>108</v>
      </c>
      <c r="C888" s="5">
        <v>0</v>
      </c>
      <c r="D888" s="5">
        <f>+$C888*BC888</f>
        <v>0</v>
      </c>
      <c r="E888" s="5">
        <f>+$C888*BD888</f>
        <v>0</v>
      </c>
      <c r="F888" s="5">
        <f>+$C888*BE888</f>
        <v>0</v>
      </c>
      <c r="G888" s="5">
        <f>+$C888*BF888</f>
        <v>0</v>
      </c>
      <c r="H888" s="5">
        <f>+$C888*BG888</f>
        <v>0</v>
      </c>
      <c r="I888" s="5">
        <f>+$C888*BH888</f>
        <v>0</v>
      </c>
      <c r="J888" s="5">
        <f>+$C888*BI888</f>
        <v>0</v>
      </c>
      <c r="K888" s="5">
        <f>+$C888*BJ888</f>
        <v>0</v>
      </c>
      <c r="L888" s="5">
        <f>+$C888*BK888</f>
        <v>0</v>
      </c>
      <c r="M888" s="5">
        <f>+$C888*BL888</f>
        <v>0</v>
      </c>
      <c r="N888" s="5">
        <f>+$C888*BM888</f>
        <v>0</v>
      </c>
      <c r="O888" s="5">
        <f>+$C888*BN888</f>
        <v>0</v>
      </c>
      <c r="P888" s="5">
        <v>0</v>
      </c>
      <c r="Q888" s="5">
        <f>+$P888*BC888</f>
        <v>0</v>
      </c>
      <c r="R888" s="5">
        <f>+$P888*BD888</f>
        <v>0</v>
      </c>
      <c r="S888" s="5">
        <f>+$P888*BE888</f>
        <v>0</v>
      </c>
      <c r="T888" s="5">
        <f>+$P888*BF888</f>
        <v>0</v>
      </c>
      <c r="U888" s="5">
        <f>+$P888*BG888</f>
        <v>0</v>
      </c>
      <c r="V888" s="5">
        <f>+$P888*BH888</f>
        <v>0</v>
      </c>
      <c r="W888" s="5">
        <f>+$P888*BI888</f>
        <v>0</v>
      </c>
      <c r="X888" s="5">
        <f>+$P888*BJ888</f>
        <v>0</v>
      </c>
      <c r="Y888" s="5">
        <f>+$P888*BK888</f>
        <v>0</v>
      </c>
      <c r="Z888" s="5">
        <f>+$P888*BL888</f>
        <v>0</v>
      </c>
      <c r="AA888" s="5">
        <f>+$P888*BM888</f>
        <v>0</v>
      </c>
      <c r="AB888" s="5">
        <f>+$P888*BN888</f>
        <v>0</v>
      </c>
      <c r="AC888" s="5">
        <v>0</v>
      </c>
      <c r="AD888" s="5">
        <f>+$AC888*BC888</f>
        <v>0</v>
      </c>
      <c r="AE888" s="5">
        <f>+$AC888*BD888</f>
        <v>0</v>
      </c>
      <c r="AF888" s="5">
        <f>+$AC888*BE888</f>
        <v>0</v>
      </c>
      <c r="AG888" s="5">
        <f>+$AC888*BF888</f>
        <v>0</v>
      </c>
      <c r="AH888" s="5">
        <f>+$AC888*BG888</f>
        <v>0</v>
      </c>
      <c r="AI888" s="5">
        <f>+$AC888*BH888</f>
        <v>0</v>
      </c>
      <c r="AJ888" s="5">
        <f>+$AC888*BI888</f>
        <v>0</v>
      </c>
      <c r="AK888" s="5">
        <f>+$AC888*BJ888</f>
        <v>0</v>
      </c>
      <c r="AL888" s="5">
        <f>+$AC888*BK888</f>
        <v>0</v>
      </c>
      <c r="AM888" s="5">
        <f>+$AC888*BL888</f>
        <v>0</v>
      </c>
      <c r="AN888" s="5">
        <f>+$AC888*BM888</f>
        <v>0</v>
      </c>
      <c r="AO888" s="5">
        <f>+$AC888*BN888</f>
        <v>0</v>
      </c>
      <c r="AP888" s="5">
        <f>+AC888+P888+C888</f>
        <v>0</v>
      </c>
      <c r="AQ888" s="1">
        <v>9.6628226705462232</v>
      </c>
      <c r="AR888" s="1">
        <v>11.555828586712874</v>
      </c>
      <c r="AS888" s="1">
        <v>10.226992983440137</v>
      </c>
      <c r="AT888" s="1">
        <v>7.7465536632574459</v>
      </c>
      <c r="AU888" s="1">
        <v>11.234347556716584</v>
      </c>
      <c r="AV888" s="1">
        <v>9.2065353587082122</v>
      </c>
      <c r="AW888" s="1">
        <v>9.1657467763514155</v>
      </c>
      <c r="AX888" s="1">
        <v>6.2243938768922096</v>
      </c>
      <c r="AY888" s="1">
        <v>9.2264199016411528</v>
      </c>
      <c r="AZ888" s="1">
        <v>8.0350256832273619</v>
      </c>
      <c r="BA888" s="1">
        <v>8.2040657989648125</v>
      </c>
      <c r="BB888" s="1">
        <v>8.0130848572709539</v>
      </c>
      <c r="BC888" s="2">
        <v>8.9181565948742242E-2</v>
      </c>
      <c r="BD888" s="2">
        <v>0.10665277883445198</v>
      </c>
      <c r="BE888" s="2">
        <v>9.438849084854764E-2</v>
      </c>
      <c r="BF888" s="2">
        <v>7.149564986855049E-2</v>
      </c>
      <c r="BG888" s="2">
        <v>0.10368571810536763</v>
      </c>
      <c r="BH888" s="2">
        <v>8.4970330952544637E-2</v>
      </c>
      <c r="BI888" s="2">
        <v>8.4593878877262704E-2</v>
      </c>
      <c r="BJ888" s="2">
        <v>5.7447105462779965E-2</v>
      </c>
      <c r="BK888" s="2">
        <v>8.5153852345557474E-2</v>
      </c>
      <c r="BL888" s="2">
        <v>7.4158058913035174E-2</v>
      </c>
      <c r="BM888" s="2">
        <v>7.5718189192107169E-2</v>
      </c>
      <c r="BN888" s="2">
        <v>7.3955559365675619E-2</v>
      </c>
    </row>
    <row r="889" spans="1:66" x14ac:dyDescent="0.25">
      <c r="A889" s="8">
        <v>6683</v>
      </c>
      <c r="B889" s="8" t="s">
        <v>107</v>
      </c>
      <c r="C889" s="5">
        <v>0</v>
      </c>
      <c r="D889" s="5">
        <f>+$C889*BC889</f>
        <v>0</v>
      </c>
      <c r="E889" s="5">
        <f>+$C889*BD889</f>
        <v>0</v>
      </c>
      <c r="F889" s="5">
        <f>+$C889*BE889</f>
        <v>0</v>
      </c>
      <c r="G889" s="5">
        <f>+$C889*BF889</f>
        <v>0</v>
      </c>
      <c r="H889" s="5">
        <f>+$C889*BG889</f>
        <v>0</v>
      </c>
      <c r="I889" s="5">
        <f>+$C889*BH889</f>
        <v>0</v>
      </c>
      <c r="J889" s="5">
        <f>+$C889*BI889</f>
        <v>0</v>
      </c>
      <c r="K889" s="5">
        <f>+$C889*BJ889</f>
        <v>0</v>
      </c>
      <c r="L889" s="5">
        <f>+$C889*BK889</f>
        <v>0</v>
      </c>
      <c r="M889" s="5">
        <f>+$C889*BL889</f>
        <v>0</v>
      </c>
      <c r="N889" s="5">
        <f>+$C889*BM889</f>
        <v>0</v>
      </c>
      <c r="O889" s="5">
        <f>+$C889*BN889</f>
        <v>0</v>
      </c>
      <c r="P889" s="5">
        <v>5000</v>
      </c>
      <c r="Q889" s="5">
        <f>+$P889*BC889</f>
        <v>445.9078297437112</v>
      </c>
      <c r="R889" s="5">
        <f>+$P889*BD889</f>
        <v>533.26389417225994</v>
      </c>
      <c r="S889" s="5">
        <f>+$P889*BE889</f>
        <v>471.94245424273822</v>
      </c>
      <c r="T889" s="5">
        <f>+$P889*BF889</f>
        <v>357.47824934275246</v>
      </c>
      <c r="U889" s="5">
        <f>+$P889*BG889</f>
        <v>518.42859052683809</v>
      </c>
      <c r="V889" s="5">
        <f>+$P889*BH889</f>
        <v>424.85165476272317</v>
      </c>
      <c r="W889" s="5">
        <f>+$P889*BI889</f>
        <v>422.96939438631352</v>
      </c>
      <c r="X889" s="5">
        <f>+$P889*BJ889</f>
        <v>287.23552731389981</v>
      </c>
      <c r="Y889" s="5">
        <f>+$P889*BK889</f>
        <v>425.76926172778735</v>
      </c>
      <c r="Z889" s="5">
        <f>+$P889*BL889</f>
        <v>370.79029456517588</v>
      </c>
      <c r="AA889" s="5">
        <f>+$P889*BM889</f>
        <v>378.59094596053586</v>
      </c>
      <c r="AB889" s="5">
        <f>+$P889*BN889</f>
        <v>369.77779682837809</v>
      </c>
      <c r="AC889" s="5">
        <v>0</v>
      </c>
      <c r="AD889" s="5">
        <f>+$AC889*BC889</f>
        <v>0</v>
      </c>
      <c r="AE889" s="5">
        <f>+$AC889*BD889</f>
        <v>0</v>
      </c>
      <c r="AF889" s="5">
        <f>+$AC889*BE889</f>
        <v>0</v>
      </c>
      <c r="AG889" s="5">
        <f>+$AC889*BF889</f>
        <v>0</v>
      </c>
      <c r="AH889" s="5">
        <f>+$AC889*BG889</f>
        <v>0</v>
      </c>
      <c r="AI889" s="5">
        <f>+$AC889*BH889</f>
        <v>0</v>
      </c>
      <c r="AJ889" s="5">
        <f>+$AC889*BI889</f>
        <v>0</v>
      </c>
      <c r="AK889" s="5">
        <f>+$AC889*BJ889</f>
        <v>0</v>
      </c>
      <c r="AL889" s="5">
        <f>+$AC889*BK889</f>
        <v>0</v>
      </c>
      <c r="AM889" s="5">
        <f>+$AC889*BL889</f>
        <v>0</v>
      </c>
      <c r="AN889" s="5">
        <f>+$AC889*BM889</f>
        <v>0</v>
      </c>
      <c r="AO889" s="5">
        <f>+$AC889*BN889</f>
        <v>0</v>
      </c>
      <c r="AP889" s="5">
        <f>+AC889+P889+C889</f>
        <v>5000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2">
        <v>8.9181565948742242E-2</v>
      </c>
      <c r="BD889" s="2">
        <v>0.10665277883445198</v>
      </c>
      <c r="BE889" s="2">
        <v>9.438849084854764E-2</v>
      </c>
      <c r="BF889" s="2">
        <v>7.149564986855049E-2</v>
      </c>
      <c r="BG889" s="2">
        <v>0.10368571810536763</v>
      </c>
      <c r="BH889" s="2">
        <v>8.4970330952544637E-2</v>
      </c>
      <c r="BI889" s="2">
        <v>8.4593878877262704E-2</v>
      </c>
      <c r="BJ889" s="2">
        <v>5.7447105462779965E-2</v>
      </c>
      <c r="BK889" s="2">
        <v>8.5153852345557474E-2</v>
      </c>
      <c r="BL889" s="2">
        <v>7.4158058913035174E-2</v>
      </c>
      <c r="BM889" s="2">
        <v>7.5718189192107169E-2</v>
      </c>
      <c r="BN889" s="2">
        <v>7.3955559365675619E-2</v>
      </c>
    </row>
    <row r="890" spans="1:66" x14ac:dyDescent="0.25">
      <c r="A890" s="8">
        <v>6686</v>
      </c>
      <c r="B890" s="8" t="s">
        <v>106</v>
      </c>
      <c r="C890" s="5">
        <v>0</v>
      </c>
      <c r="D890" s="5">
        <f>+$C890*BC890</f>
        <v>0</v>
      </c>
      <c r="E890" s="5">
        <f>+$C890*BD890</f>
        <v>0</v>
      </c>
      <c r="F890" s="5">
        <f>+$C890*BE890</f>
        <v>0</v>
      </c>
      <c r="G890" s="5">
        <f>+$C890*BF890</f>
        <v>0</v>
      </c>
      <c r="H890" s="5">
        <f>+$C890*BG890</f>
        <v>0</v>
      </c>
      <c r="I890" s="5">
        <f>+$C890*BH890</f>
        <v>0</v>
      </c>
      <c r="J890" s="5">
        <f>+$C890*BI890</f>
        <v>0</v>
      </c>
      <c r="K890" s="5">
        <f>+$C890*BJ890</f>
        <v>0</v>
      </c>
      <c r="L890" s="5">
        <f>+$C890*BK890</f>
        <v>0</v>
      </c>
      <c r="M890" s="5">
        <f>+$C890*BL890</f>
        <v>0</v>
      </c>
      <c r="N890" s="5">
        <f>+$C890*BM890</f>
        <v>0</v>
      </c>
      <c r="O890" s="5">
        <f>+$C890*BN890</f>
        <v>0</v>
      </c>
      <c r="P890" s="5">
        <v>0</v>
      </c>
      <c r="Q890" s="5">
        <f>+$P890*BC890</f>
        <v>0</v>
      </c>
      <c r="R890" s="5">
        <f>+$P890*BD890</f>
        <v>0</v>
      </c>
      <c r="S890" s="5">
        <f>+$P890*BE890</f>
        <v>0</v>
      </c>
      <c r="T890" s="5">
        <f>+$P890*BF890</f>
        <v>0</v>
      </c>
      <c r="U890" s="5">
        <f>+$P890*BG890</f>
        <v>0</v>
      </c>
      <c r="V890" s="5">
        <f>+$P890*BH890</f>
        <v>0</v>
      </c>
      <c r="W890" s="5">
        <f>+$P890*BI890</f>
        <v>0</v>
      </c>
      <c r="X890" s="5">
        <f>+$P890*BJ890</f>
        <v>0</v>
      </c>
      <c r="Y890" s="5">
        <f>+$P890*BK890</f>
        <v>0</v>
      </c>
      <c r="Z890" s="5">
        <f>+$P890*BL890</f>
        <v>0</v>
      </c>
      <c r="AA890" s="5">
        <f>+$P890*BM890</f>
        <v>0</v>
      </c>
      <c r="AB890" s="5">
        <f>+$P890*BN890</f>
        <v>0</v>
      </c>
      <c r="AC890" s="5">
        <v>0</v>
      </c>
      <c r="AD890" s="5">
        <f>+$AC890*BC890</f>
        <v>0</v>
      </c>
      <c r="AE890" s="5">
        <f>+$AC890*BD890</f>
        <v>0</v>
      </c>
      <c r="AF890" s="5">
        <f>+$AC890*BE890</f>
        <v>0</v>
      </c>
      <c r="AG890" s="5">
        <f>+$AC890*BF890</f>
        <v>0</v>
      </c>
      <c r="AH890" s="5">
        <f>+$AC890*BG890</f>
        <v>0</v>
      </c>
      <c r="AI890" s="5">
        <f>+$AC890*BH890</f>
        <v>0</v>
      </c>
      <c r="AJ890" s="5">
        <f>+$AC890*BI890</f>
        <v>0</v>
      </c>
      <c r="AK890" s="5">
        <f>+$AC890*BJ890</f>
        <v>0</v>
      </c>
      <c r="AL890" s="5">
        <f>+$AC890*BK890</f>
        <v>0</v>
      </c>
      <c r="AM890" s="5">
        <f>+$AC890*BL890</f>
        <v>0</v>
      </c>
      <c r="AN890" s="5">
        <f>+$AC890*BM890</f>
        <v>0</v>
      </c>
      <c r="AO890" s="5">
        <f>+$AC890*BN890</f>
        <v>0</v>
      </c>
      <c r="AP890" s="5">
        <f>+AC890+P890+C890</f>
        <v>0</v>
      </c>
      <c r="AQ890" s="1">
        <v>65.923013549310269</v>
      </c>
      <c r="AR890" s="1">
        <v>78.837734114426908</v>
      </c>
      <c r="AS890" s="1">
        <v>69.771972435246425</v>
      </c>
      <c r="AT890" s="1">
        <v>52.849584382832525</v>
      </c>
      <c r="AU890" s="1">
        <v>76.644482823487749</v>
      </c>
      <c r="AV890" s="1">
        <v>62.810068640121003</v>
      </c>
      <c r="AW890" s="1">
        <v>62.531795266072592</v>
      </c>
      <c r="AX890" s="1">
        <v>42.46490035808695</v>
      </c>
      <c r="AY890" s="1">
        <v>62.945727653836087</v>
      </c>
      <c r="AZ890" s="1">
        <v>54.817637148515601</v>
      </c>
      <c r="BA890" s="1">
        <v>55.970885450805625</v>
      </c>
      <c r="BB890" s="1">
        <v>54.667949483107421</v>
      </c>
      <c r="BC890" s="2">
        <v>8.9181565948742242E-2</v>
      </c>
      <c r="BD890" s="2">
        <v>0.10665277883445198</v>
      </c>
      <c r="BE890" s="2">
        <v>9.438849084854764E-2</v>
      </c>
      <c r="BF890" s="2">
        <v>7.149564986855049E-2</v>
      </c>
      <c r="BG890" s="2">
        <v>0.10368571810536763</v>
      </c>
      <c r="BH890" s="2">
        <v>8.4970330952544637E-2</v>
      </c>
      <c r="BI890" s="2">
        <v>8.4593878877262704E-2</v>
      </c>
      <c r="BJ890" s="2">
        <v>5.7447105462779965E-2</v>
      </c>
      <c r="BK890" s="2">
        <v>8.5153852345557474E-2</v>
      </c>
      <c r="BL890" s="2">
        <v>7.4158058913035174E-2</v>
      </c>
      <c r="BM890" s="2">
        <v>7.5718189192107169E-2</v>
      </c>
      <c r="BN890" s="2">
        <v>7.3955559365675619E-2</v>
      </c>
    </row>
    <row r="891" spans="1:66" x14ac:dyDescent="0.25">
      <c r="A891" s="8">
        <v>6689</v>
      </c>
      <c r="B891" s="8" t="s">
        <v>105</v>
      </c>
      <c r="C891" s="5">
        <v>0</v>
      </c>
      <c r="D891" s="5">
        <f>+$C891*BC891</f>
        <v>0</v>
      </c>
      <c r="E891" s="5">
        <f>+$C891*BD891</f>
        <v>0</v>
      </c>
      <c r="F891" s="5">
        <f>+$C891*BE891</f>
        <v>0</v>
      </c>
      <c r="G891" s="5">
        <f>+$C891*BF891</f>
        <v>0</v>
      </c>
      <c r="H891" s="5">
        <f>+$C891*BG891</f>
        <v>0</v>
      </c>
      <c r="I891" s="5">
        <f>+$C891*BH891</f>
        <v>0</v>
      </c>
      <c r="J891" s="5">
        <f>+$C891*BI891</f>
        <v>0</v>
      </c>
      <c r="K891" s="5">
        <f>+$C891*BJ891</f>
        <v>0</v>
      </c>
      <c r="L891" s="5">
        <f>+$C891*BK891</f>
        <v>0</v>
      </c>
      <c r="M891" s="5">
        <f>+$C891*BL891</f>
        <v>0</v>
      </c>
      <c r="N891" s="5">
        <f>+$C891*BM891</f>
        <v>0</v>
      </c>
      <c r="O891" s="5">
        <f>+$C891*BN891</f>
        <v>0</v>
      </c>
      <c r="P891" s="5">
        <v>0</v>
      </c>
      <c r="Q891" s="5">
        <f>+$P891*BC891</f>
        <v>0</v>
      </c>
      <c r="R891" s="5">
        <f>+$P891*BD891</f>
        <v>0</v>
      </c>
      <c r="S891" s="5">
        <f>+$P891*BE891</f>
        <v>0</v>
      </c>
      <c r="T891" s="5">
        <f>+$P891*BF891</f>
        <v>0</v>
      </c>
      <c r="U891" s="5">
        <f>+$P891*BG891</f>
        <v>0</v>
      </c>
      <c r="V891" s="5">
        <f>+$P891*BH891</f>
        <v>0</v>
      </c>
      <c r="W891" s="5">
        <f>+$P891*BI891</f>
        <v>0</v>
      </c>
      <c r="X891" s="5">
        <f>+$P891*BJ891</f>
        <v>0</v>
      </c>
      <c r="Y891" s="5">
        <f>+$P891*BK891</f>
        <v>0</v>
      </c>
      <c r="Z891" s="5">
        <f>+$P891*BL891</f>
        <v>0</v>
      </c>
      <c r="AA891" s="5">
        <f>+$P891*BM891</f>
        <v>0</v>
      </c>
      <c r="AB891" s="5">
        <f>+$P891*BN891</f>
        <v>0</v>
      </c>
      <c r="AC891" s="5">
        <v>0</v>
      </c>
      <c r="AD891" s="5">
        <f>+$AC891*BC891</f>
        <v>0</v>
      </c>
      <c r="AE891" s="5">
        <f>+$AC891*BD891</f>
        <v>0</v>
      </c>
      <c r="AF891" s="5">
        <f>+$AC891*BE891</f>
        <v>0</v>
      </c>
      <c r="AG891" s="5">
        <f>+$AC891*BF891</f>
        <v>0</v>
      </c>
      <c r="AH891" s="5">
        <f>+$AC891*BG891</f>
        <v>0</v>
      </c>
      <c r="AI891" s="5">
        <f>+$AC891*BH891</f>
        <v>0</v>
      </c>
      <c r="AJ891" s="5">
        <f>+$AC891*BI891</f>
        <v>0</v>
      </c>
      <c r="AK891" s="5">
        <f>+$AC891*BJ891</f>
        <v>0</v>
      </c>
      <c r="AL891" s="5">
        <f>+$AC891*BK891</f>
        <v>0</v>
      </c>
      <c r="AM891" s="5">
        <f>+$AC891*BL891</f>
        <v>0</v>
      </c>
      <c r="AN891" s="5">
        <f>+$AC891*BM891</f>
        <v>0</v>
      </c>
      <c r="AO891" s="5">
        <f>+$AC891*BN891</f>
        <v>0</v>
      </c>
      <c r="AP891" s="5">
        <f>+AC891+P891+C891</f>
        <v>0</v>
      </c>
      <c r="AQ891" s="1">
        <v>0.38651290682184891</v>
      </c>
      <c r="AR891" s="1">
        <v>0.46223314346851496</v>
      </c>
      <c r="AS891" s="1">
        <v>0.40907971933760551</v>
      </c>
      <c r="AT891" s="1">
        <v>0.30986214653029787</v>
      </c>
      <c r="AU891" s="1">
        <v>0.44937390226866336</v>
      </c>
      <c r="AV891" s="1">
        <v>0.36826141434832849</v>
      </c>
      <c r="AW891" s="1">
        <v>0.36662987105405659</v>
      </c>
      <c r="AX891" s="1">
        <v>0.24897575507568839</v>
      </c>
      <c r="AY891" s="1">
        <v>0.36905679606564612</v>
      </c>
      <c r="AZ891" s="1">
        <v>0.32140102732909448</v>
      </c>
      <c r="BA891" s="1">
        <v>0.32816263195859252</v>
      </c>
      <c r="BB891" s="1">
        <v>0.32052339429083815</v>
      </c>
      <c r="BC891" s="2">
        <v>8.9181565948742242E-2</v>
      </c>
      <c r="BD891" s="2">
        <v>0.10665277883445198</v>
      </c>
      <c r="BE891" s="2">
        <v>9.438849084854764E-2</v>
      </c>
      <c r="BF891" s="2">
        <v>7.149564986855049E-2</v>
      </c>
      <c r="BG891" s="2">
        <v>0.10368571810536763</v>
      </c>
      <c r="BH891" s="2">
        <v>8.4970330952544637E-2</v>
      </c>
      <c r="BI891" s="2">
        <v>8.4593878877262704E-2</v>
      </c>
      <c r="BJ891" s="2">
        <v>5.7447105462779965E-2</v>
      </c>
      <c r="BK891" s="2">
        <v>8.5153852345557474E-2</v>
      </c>
      <c r="BL891" s="2">
        <v>7.4158058913035174E-2</v>
      </c>
      <c r="BM891" s="2">
        <v>7.5718189192107169E-2</v>
      </c>
      <c r="BN891" s="2">
        <v>7.3955559365675619E-2</v>
      </c>
    </row>
    <row r="892" spans="1:66" x14ac:dyDescent="0.25">
      <c r="A892" s="8">
        <v>6691</v>
      </c>
      <c r="B892" s="8" t="s">
        <v>104</v>
      </c>
      <c r="C892" s="5">
        <v>0</v>
      </c>
      <c r="D892" s="5">
        <f>+$C892*BC892</f>
        <v>0</v>
      </c>
      <c r="E892" s="5">
        <f>+$C892*BD892</f>
        <v>0</v>
      </c>
      <c r="F892" s="5">
        <f>+$C892*BE892</f>
        <v>0</v>
      </c>
      <c r="G892" s="5">
        <f>+$C892*BF892</f>
        <v>0</v>
      </c>
      <c r="H892" s="5">
        <f>+$C892*BG892</f>
        <v>0</v>
      </c>
      <c r="I892" s="5">
        <f>+$C892*BH892</f>
        <v>0</v>
      </c>
      <c r="J892" s="5">
        <f>+$C892*BI892</f>
        <v>0</v>
      </c>
      <c r="K892" s="5">
        <f>+$C892*BJ892</f>
        <v>0</v>
      </c>
      <c r="L892" s="5">
        <f>+$C892*BK892</f>
        <v>0</v>
      </c>
      <c r="M892" s="5">
        <f>+$C892*BL892</f>
        <v>0</v>
      </c>
      <c r="N892" s="5">
        <f>+$C892*BM892</f>
        <v>0</v>
      </c>
      <c r="O892" s="5">
        <f>+$C892*BN892</f>
        <v>0</v>
      </c>
      <c r="P892" s="5">
        <v>0</v>
      </c>
      <c r="Q892" s="5">
        <f>+$P892*BC892</f>
        <v>0</v>
      </c>
      <c r="R892" s="5">
        <f>+$P892*BD892</f>
        <v>0</v>
      </c>
      <c r="S892" s="5">
        <f>+$P892*BE892</f>
        <v>0</v>
      </c>
      <c r="T892" s="5">
        <f>+$P892*BF892</f>
        <v>0</v>
      </c>
      <c r="U892" s="5">
        <f>+$P892*BG892</f>
        <v>0</v>
      </c>
      <c r="V892" s="5">
        <f>+$P892*BH892</f>
        <v>0</v>
      </c>
      <c r="W892" s="5">
        <f>+$P892*BI892</f>
        <v>0</v>
      </c>
      <c r="X892" s="5">
        <f>+$P892*BJ892</f>
        <v>0</v>
      </c>
      <c r="Y892" s="5">
        <f>+$P892*BK892</f>
        <v>0</v>
      </c>
      <c r="Z892" s="5">
        <f>+$P892*BL892</f>
        <v>0</v>
      </c>
      <c r="AA892" s="5">
        <f>+$P892*BM892</f>
        <v>0</v>
      </c>
      <c r="AB892" s="5">
        <f>+$P892*BN892</f>
        <v>0</v>
      </c>
      <c r="AC892" s="5">
        <v>0</v>
      </c>
      <c r="AD892" s="5">
        <f>+$AC892*BC892</f>
        <v>0</v>
      </c>
      <c r="AE892" s="5">
        <f>+$AC892*BD892</f>
        <v>0</v>
      </c>
      <c r="AF892" s="5">
        <f>+$AC892*BE892</f>
        <v>0</v>
      </c>
      <c r="AG892" s="5">
        <f>+$AC892*BF892</f>
        <v>0</v>
      </c>
      <c r="AH892" s="5">
        <f>+$AC892*BG892</f>
        <v>0</v>
      </c>
      <c r="AI892" s="5">
        <f>+$AC892*BH892</f>
        <v>0</v>
      </c>
      <c r="AJ892" s="5">
        <f>+$AC892*BI892</f>
        <v>0</v>
      </c>
      <c r="AK892" s="5">
        <f>+$AC892*BJ892</f>
        <v>0</v>
      </c>
      <c r="AL892" s="5">
        <f>+$AC892*BK892</f>
        <v>0</v>
      </c>
      <c r="AM892" s="5">
        <f>+$AC892*BL892</f>
        <v>0</v>
      </c>
      <c r="AN892" s="5">
        <f>+$AC892*BM892</f>
        <v>0</v>
      </c>
      <c r="AO892" s="5">
        <f>+$AC892*BN892</f>
        <v>0</v>
      </c>
      <c r="AP892" s="5">
        <f>+AC892+P892+C892</f>
        <v>0</v>
      </c>
      <c r="AQ892" s="1">
        <v>1.4322559491368005</v>
      </c>
      <c r="AR892" s="1">
        <v>1.7128436280812991</v>
      </c>
      <c r="AS892" s="1">
        <v>1.5158791630276753</v>
      </c>
      <c r="AT892" s="1">
        <v>1.1482201368889211</v>
      </c>
      <c r="AU892" s="1">
        <v>1.6651926327722044</v>
      </c>
      <c r="AV892" s="1">
        <v>1.3646235150978672</v>
      </c>
      <c r="AW892" s="1">
        <v>1.3585776947688393</v>
      </c>
      <c r="AX892" s="1">
        <v>0.92260051373224639</v>
      </c>
      <c r="AY892" s="1">
        <v>1.3675708686696533</v>
      </c>
      <c r="AZ892" s="1">
        <v>1.1909784261433451</v>
      </c>
      <c r="BA892" s="1">
        <v>1.2160341184252412</v>
      </c>
      <c r="BB892" s="1">
        <v>1.1877262834127507</v>
      </c>
      <c r="BC892" s="2">
        <v>8.9181565948742242E-2</v>
      </c>
      <c r="BD892" s="2">
        <v>0.10665277883445198</v>
      </c>
      <c r="BE892" s="2">
        <v>9.438849084854764E-2</v>
      </c>
      <c r="BF892" s="2">
        <v>7.149564986855049E-2</v>
      </c>
      <c r="BG892" s="2">
        <v>0.10368571810536763</v>
      </c>
      <c r="BH892" s="2">
        <v>8.4970330952544637E-2</v>
      </c>
      <c r="BI892" s="2">
        <v>8.4593878877262704E-2</v>
      </c>
      <c r="BJ892" s="2">
        <v>5.7447105462779965E-2</v>
      </c>
      <c r="BK892" s="2">
        <v>8.5153852345557474E-2</v>
      </c>
      <c r="BL892" s="2">
        <v>7.4158058913035174E-2</v>
      </c>
      <c r="BM892" s="2">
        <v>7.5718189192107169E-2</v>
      </c>
      <c r="BN892" s="2">
        <v>7.3955559365675619E-2</v>
      </c>
    </row>
    <row r="893" spans="1:66" x14ac:dyDescent="0.25">
      <c r="A893" s="8">
        <v>6693</v>
      </c>
      <c r="B893" s="8" t="s">
        <v>103</v>
      </c>
      <c r="C893" s="5">
        <v>0</v>
      </c>
      <c r="D893" s="5">
        <f>+$C893*BC893</f>
        <v>0</v>
      </c>
      <c r="E893" s="5">
        <f>+$C893*BD893</f>
        <v>0</v>
      </c>
      <c r="F893" s="5">
        <f>+$C893*BE893</f>
        <v>0</v>
      </c>
      <c r="G893" s="5">
        <f>+$C893*BF893</f>
        <v>0</v>
      </c>
      <c r="H893" s="5">
        <f>+$C893*BG893</f>
        <v>0</v>
      </c>
      <c r="I893" s="5">
        <f>+$C893*BH893</f>
        <v>0</v>
      </c>
      <c r="J893" s="5">
        <f>+$C893*BI893</f>
        <v>0</v>
      </c>
      <c r="K893" s="5">
        <f>+$C893*BJ893</f>
        <v>0</v>
      </c>
      <c r="L893" s="5">
        <f>+$C893*BK893</f>
        <v>0</v>
      </c>
      <c r="M893" s="5">
        <f>+$C893*BL893</f>
        <v>0</v>
      </c>
      <c r="N893" s="5">
        <f>+$C893*BM893</f>
        <v>0</v>
      </c>
      <c r="O893" s="5">
        <f>+$C893*BN893</f>
        <v>0</v>
      </c>
      <c r="P893" s="5">
        <v>1000</v>
      </c>
      <c r="Q893" s="5">
        <f>+$P893*BC893</f>
        <v>89.181565948742247</v>
      </c>
      <c r="R893" s="5">
        <f>+$P893*BD893</f>
        <v>106.65277883445198</v>
      </c>
      <c r="S893" s="5">
        <f>+$P893*BE893</f>
        <v>94.388490848547647</v>
      </c>
      <c r="T893" s="5">
        <f>+$P893*BF893</f>
        <v>71.495649868550487</v>
      </c>
      <c r="U893" s="5">
        <f>+$P893*BG893</f>
        <v>103.68571810536763</v>
      </c>
      <c r="V893" s="5">
        <f>+$P893*BH893</f>
        <v>84.970330952544643</v>
      </c>
      <c r="W893" s="5">
        <f>+$P893*BI893</f>
        <v>84.593878877262711</v>
      </c>
      <c r="X893" s="5">
        <f>+$P893*BJ893</f>
        <v>57.447105462779966</v>
      </c>
      <c r="Y893" s="5">
        <f>+$P893*BK893</f>
        <v>85.153852345557468</v>
      </c>
      <c r="Z893" s="5">
        <f>+$P893*BL893</f>
        <v>74.158058913035177</v>
      </c>
      <c r="AA893" s="5">
        <f>+$P893*BM893</f>
        <v>75.718189192107175</v>
      </c>
      <c r="AB893" s="5">
        <f>+$P893*BN893</f>
        <v>73.955559365675626</v>
      </c>
      <c r="AC893" s="5">
        <v>0</v>
      </c>
      <c r="AD893" s="5">
        <f>+$AC893*BC893</f>
        <v>0</v>
      </c>
      <c r="AE893" s="5">
        <f>+$AC893*BD893</f>
        <v>0</v>
      </c>
      <c r="AF893" s="5">
        <f>+$AC893*BE893</f>
        <v>0</v>
      </c>
      <c r="AG893" s="5">
        <f>+$AC893*BF893</f>
        <v>0</v>
      </c>
      <c r="AH893" s="5">
        <f>+$AC893*BG893</f>
        <v>0</v>
      </c>
      <c r="AI893" s="5">
        <f>+$AC893*BH893</f>
        <v>0</v>
      </c>
      <c r="AJ893" s="5">
        <f>+$AC893*BI893</f>
        <v>0</v>
      </c>
      <c r="AK893" s="5">
        <f>+$AC893*BJ893</f>
        <v>0</v>
      </c>
      <c r="AL893" s="5">
        <f>+$AC893*BK893</f>
        <v>0</v>
      </c>
      <c r="AM893" s="5">
        <f>+$AC893*BL893</f>
        <v>0</v>
      </c>
      <c r="AN893" s="5">
        <f>+$AC893*BM893</f>
        <v>0</v>
      </c>
      <c r="AO893" s="5">
        <f>+$AC893*BN893</f>
        <v>0</v>
      </c>
      <c r="AP893" s="5">
        <f>+AC893+P893+C893</f>
        <v>1000</v>
      </c>
      <c r="AQ893" s="1">
        <v>5.3758647953901821</v>
      </c>
      <c r="AR893" s="1">
        <v>6.4290295081407658</v>
      </c>
      <c r="AS893" s="1">
        <v>5.6897382283504516</v>
      </c>
      <c r="AT893" s="1">
        <v>4.3097577740762238</v>
      </c>
      <c r="AU893" s="1">
        <v>6.2501750873915611</v>
      </c>
      <c r="AV893" s="1">
        <v>5.1220115498193906</v>
      </c>
      <c r="AW893" s="1">
        <v>5.0993190187213955</v>
      </c>
      <c r="AX893" s="1">
        <v>3.4629115172963765</v>
      </c>
      <c r="AY893" s="1">
        <v>5.1330742193902044</v>
      </c>
      <c r="AZ893" s="1">
        <v>4.4702477912777603</v>
      </c>
      <c r="BA893" s="1">
        <v>4.5642924445002206</v>
      </c>
      <c r="BB893" s="1">
        <v>4.4580411185629263</v>
      </c>
      <c r="BC893" s="2">
        <v>8.9181565948742242E-2</v>
      </c>
      <c r="BD893" s="2">
        <v>0.10665277883445198</v>
      </c>
      <c r="BE893" s="2">
        <v>9.438849084854764E-2</v>
      </c>
      <c r="BF893" s="2">
        <v>7.149564986855049E-2</v>
      </c>
      <c r="BG893" s="2">
        <v>0.10368571810536763</v>
      </c>
      <c r="BH893" s="2">
        <v>8.4970330952544637E-2</v>
      </c>
      <c r="BI893" s="2">
        <v>8.4593878877262704E-2</v>
      </c>
      <c r="BJ893" s="2">
        <v>5.7447105462779965E-2</v>
      </c>
      <c r="BK893" s="2">
        <v>8.5153852345557474E-2</v>
      </c>
      <c r="BL893" s="2">
        <v>7.4158058913035174E-2</v>
      </c>
      <c r="BM893" s="2">
        <v>7.5718189192107169E-2</v>
      </c>
      <c r="BN893" s="2">
        <v>7.3955559365675619E-2</v>
      </c>
    </row>
    <row r="894" spans="1:66" x14ac:dyDescent="0.25">
      <c r="A894" s="8">
        <v>6695</v>
      </c>
      <c r="B894" s="8" t="s">
        <v>102</v>
      </c>
      <c r="C894" s="5">
        <v>0</v>
      </c>
      <c r="D894" s="5">
        <f>+$C894*BC894</f>
        <v>0</v>
      </c>
      <c r="E894" s="5">
        <f>+$C894*BD894</f>
        <v>0</v>
      </c>
      <c r="F894" s="5">
        <f>+$C894*BE894</f>
        <v>0</v>
      </c>
      <c r="G894" s="5">
        <f>+$C894*BF894</f>
        <v>0</v>
      </c>
      <c r="H894" s="5">
        <f>+$C894*BG894</f>
        <v>0</v>
      </c>
      <c r="I894" s="5">
        <f>+$C894*BH894</f>
        <v>0</v>
      </c>
      <c r="J894" s="5">
        <f>+$C894*BI894</f>
        <v>0</v>
      </c>
      <c r="K894" s="5">
        <f>+$C894*BJ894</f>
        <v>0</v>
      </c>
      <c r="L894" s="5">
        <f>+$C894*BK894</f>
        <v>0</v>
      </c>
      <c r="M894" s="5">
        <f>+$C894*BL894</f>
        <v>0</v>
      </c>
      <c r="N894" s="5">
        <f>+$C894*BM894</f>
        <v>0</v>
      </c>
      <c r="O894" s="5">
        <f>+$C894*BN894</f>
        <v>0</v>
      </c>
      <c r="P894" s="5">
        <v>0</v>
      </c>
      <c r="Q894" s="5">
        <f>+$P894*BC894</f>
        <v>0</v>
      </c>
      <c r="R894" s="5">
        <f>+$P894*BD894</f>
        <v>0</v>
      </c>
      <c r="S894" s="5">
        <f>+$P894*BE894</f>
        <v>0</v>
      </c>
      <c r="T894" s="5">
        <f>+$P894*BF894</f>
        <v>0</v>
      </c>
      <c r="U894" s="5">
        <f>+$P894*BG894</f>
        <v>0</v>
      </c>
      <c r="V894" s="5">
        <f>+$P894*BH894</f>
        <v>0</v>
      </c>
      <c r="W894" s="5">
        <f>+$P894*BI894</f>
        <v>0</v>
      </c>
      <c r="X894" s="5">
        <f>+$P894*BJ894</f>
        <v>0</v>
      </c>
      <c r="Y894" s="5">
        <f>+$P894*BK894</f>
        <v>0</v>
      </c>
      <c r="Z894" s="5">
        <f>+$P894*BL894</f>
        <v>0</v>
      </c>
      <c r="AA894" s="5">
        <f>+$P894*BM894</f>
        <v>0</v>
      </c>
      <c r="AB894" s="5">
        <f>+$P894*BN894</f>
        <v>0</v>
      </c>
      <c r="AC894" s="5">
        <v>0</v>
      </c>
      <c r="AD894" s="5">
        <f>+$AC894*BC894</f>
        <v>0</v>
      </c>
      <c r="AE894" s="5">
        <f>+$AC894*BD894</f>
        <v>0</v>
      </c>
      <c r="AF894" s="5">
        <f>+$AC894*BE894</f>
        <v>0</v>
      </c>
      <c r="AG894" s="5">
        <f>+$AC894*BF894</f>
        <v>0</v>
      </c>
      <c r="AH894" s="5">
        <f>+$AC894*BG894</f>
        <v>0</v>
      </c>
      <c r="AI894" s="5">
        <f>+$AC894*BH894</f>
        <v>0</v>
      </c>
      <c r="AJ894" s="5">
        <f>+$AC894*BI894</f>
        <v>0</v>
      </c>
      <c r="AK894" s="5">
        <f>+$AC894*BJ894</f>
        <v>0</v>
      </c>
      <c r="AL894" s="5">
        <f>+$AC894*BK894</f>
        <v>0</v>
      </c>
      <c r="AM894" s="5">
        <f>+$AC894*BL894</f>
        <v>0</v>
      </c>
      <c r="AN894" s="5">
        <f>+$AC894*BM894</f>
        <v>0</v>
      </c>
      <c r="AO894" s="5">
        <f>+$AC894*BN894</f>
        <v>0</v>
      </c>
      <c r="AP894" s="5">
        <f>+AC894+P894+C894</f>
        <v>0</v>
      </c>
      <c r="AQ894" s="1">
        <v>20.968815693698023</v>
      </c>
      <c r="AR894" s="1">
        <v>25.076734623450527</v>
      </c>
      <c r="AS894" s="1">
        <v>22.193093910764766</v>
      </c>
      <c r="AT894" s="1">
        <v>16.810414675342937</v>
      </c>
      <c r="AU894" s="1">
        <v>24.379104469524567</v>
      </c>
      <c r="AV894" s="1">
        <v>19.978649065217059</v>
      </c>
      <c r="AW894" s="1">
        <v>19.890135771016396</v>
      </c>
      <c r="AX894" s="1">
        <v>13.507250671936141</v>
      </c>
      <c r="AY894" s="1">
        <v>20.021799532749203</v>
      </c>
      <c r="AZ894" s="1">
        <v>17.436413601927399</v>
      </c>
      <c r="BA894" s="1">
        <v>17.803239233794201</v>
      </c>
      <c r="BB894" s="1">
        <v>17.388800895854484</v>
      </c>
      <c r="BC894" s="2">
        <v>8.9181565948742242E-2</v>
      </c>
      <c r="BD894" s="2">
        <v>0.10665277883445198</v>
      </c>
      <c r="BE894" s="2">
        <v>9.438849084854764E-2</v>
      </c>
      <c r="BF894" s="2">
        <v>7.149564986855049E-2</v>
      </c>
      <c r="BG894" s="2">
        <v>0.10368571810536763</v>
      </c>
      <c r="BH894" s="2">
        <v>8.4970330952544637E-2</v>
      </c>
      <c r="BI894" s="2">
        <v>8.4593878877262704E-2</v>
      </c>
      <c r="BJ894" s="2">
        <v>5.7447105462779965E-2</v>
      </c>
      <c r="BK894" s="2">
        <v>8.5153852345557474E-2</v>
      </c>
      <c r="BL894" s="2">
        <v>7.4158058913035174E-2</v>
      </c>
      <c r="BM894" s="2">
        <v>7.5718189192107169E-2</v>
      </c>
      <c r="BN894" s="2">
        <v>7.3955559365675619E-2</v>
      </c>
    </row>
    <row r="895" spans="1:66" x14ac:dyDescent="0.25">
      <c r="A895" s="8">
        <v>6696</v>
      </c>
      <c r="B895" s="8" t="s">
        <v>101</v>
      </c>
      <c r="C895" s="5">
        <v>0</v>
      </c>
      <c r="D895" s="5">
        <f>+$C895*BC895</f>
        <v>0</v>
      </c>
      <c r="E895" s="5">
        <f>+$C895*BD895</f>
        <v>0</v>
      </c>
      <c r="F895" s="5">
        <f>+$C895*BE895</f>
        <v>0</v>
      </c>
      <c r="G895" s="5">
        <f>+$C895*BF895</f>
        <v>0</v>
      </c>
      <c r="H895" s="5">
        <f>+$C895*BG895</f>
        <v>0</v>
      </c>
      <c r="I895" s="5">
        <f>+$C895*BH895</f>
        <v>0</v>
      </c>
      <c r="J895" s="5">
        <f>+$C895*BI895</f>
        <v>0</v>
      </c>
      <c r="K895" s="5">
        <f>+$C895*BJ895</f>
        <v>0</v>
      </c>
      <c r="L895" s="5">
        <f>+$C895*BK895</f>
        <v>0</v>
      </c>
      <c r="M895" s="5">
        <f>+$C895*BL895</f>
        <v>0</v>
      </c>
      <c r="N895" s="5">
        <f>+$C895*BM895</f>
        <v>0</v>
      </c>
      <c r="O895" s="5">
        <f>+$C895*BN895</f>
        <v>0</v>
      </c>
      <c r="P895" s="5">
        <v>0</v>
      </c>
      <c r="Q895" s="5">
        <f>+$P895*BC895</f>
        <v>0</v>
      </c>
      <c r="R895" s="5">
        <f>+$P895*BD895</f>
        <v>0</v>
      </c>
      <c r="S895" s="5">
        <f>+$P895*BE895</f>
        <v>0</v>
      </c>
      <c r="T895" s="5">
        <f>+$P895*BF895</f>
        <v>0</v>
      </c>
      <c r="U895" s="5">
        <f>+$P895*BG895</f>
        <v>0</v>
      </c>
      <c r="V895" s="5">
        <f>+$P895*BH895</f>
        <v>0</v>
      </c>
      <c r="W895" s="5">
        <f>+$P895*BI895</f>
        <v>0</v>
      </c>
      <c r="X895" s="5">
        <f>+$P895*BJ895</f>
        <v>0</v>
      </c>
      <c r="Y895" s="5">
        <f>+$P895*BK895</f>
        <v>0</v>
      </c>
      <c r="Z895" s="5">
        <f>+$P895*BL895</f>
        <v>0</v>
      </c>
      <c r="AA895" s="5">
        <f>+$P895*BM895</f>
        <v>0</v>
      </c>
      <c r="AB895" s="5">
        <f>+$P895*BN895</f>
        <v>0</v>
      </c>
      <c r="AC895" s="5">
        <v>0</v>
      </c>
      <c r="AD895" s="5">
        <f>+$AC895*BC895</f>
        <v>0</v>
      </c>
      <c r="AE895" s="5">
        <f>+$AC895*BD895</f>
        <v>0</v>
      </c>
      <c r="AF895" s="5">
        <f>+$AC895*BE895</f>
        <v>0</v>
      </c>
      <c r="AG895" s="5">
        <f>+$AC895*BF895</f>
        <v>0</v>
      </c>
      <c r="AH895" s="5">
        <f>+$AC895*BG895</f>
        <v>0</v>
      </c>
      <c r="AI895" s="5">
        <f>+$AC895*BH895</f>
        <v>0</v>
      </c>
      <c r="AJ895" s="5">
        <f>+$AC895*BI895</f>
        <v>0</v>
      </c>
      <c r="AK895" s="5">
        <f>+$AC895*BJ895</f>
        <v>0</v>
      </c>
      <c r="AL895" s="5">
        <f>+$AC895*BK895</f>
        <v>0</v>
      </c>
      <c r="AM895" s="5">
        <f>+$AC895*BL895</f>
        <v>0</v>
      </c>
      <c r="AN895" s="5">
        <f>+$AC895*BM895</f>
        <v>0</v>
      </c>
      <c r="AO895" s="5">
        <f>+$AC895*BN895</f>
        <v>0</v>
      </c>
      <c r="AP895" s="5">
        <f>+AC895+P895+C895</f>
        <v>0</v>
      </c>
      <c r="AQ895" s="1">
        <v>5.0030858497244397</v>
      </c>
      <c r="AR895" s="1">
        <v>5.9832208926127564</v>
      </c>
      <c r="AS895" s="1">
        <v>5.2951943366035223</v>
      </c>
      <c r="AT895" s="1">
        <v>4.0109059576256829</v>
      </c>
      <c r="AU895" s="1">
        <v>5.8167687857111243</v>
      </c>
      <c r="AV895" s="1">
        <v>4.766835566437754</v>
      </c>
      <c r="AW895" s="1">
        <v>4.7457166050144375</v>
      </c>
      <c r="AX895" s="1">
        <v>3.2227826164619562</v>
      </c>
      <c r="AY895" s="1">
        <v>4.7771311165857746</v>
      </c>
      <c r="AZ895" s="1">
        <v>4.1602671050212736</v>
      </c>
      <c r="BA895" s="1">
        <v>4.2477904136772127</v>
      </c>
      <c r="BB895" s="1">
        <v>4.148906880414402</v>
      </c>
      <c r="BC895" s="2">
        <v>8.9181565948742242E-2</v>
      </c>
      <c r="BD895" s="2">
        <v>0.10665277883445198</v>
      </c>
      <c r="BE895" s="2">
        <v>9.438849084854764E-2</v>
      </c>
      <c r="BF895" s="2">
        <v>7.149564986855049E-2</v>
      </c>
      <c r="BG895" s="2">
        <v>0.10368571810536763</v>
      </c>
      <c r="BH895" s="2">
        <v>8.4970330952544637E-2</v>
      </c>
      <c r="BI895" s="2">
        <v>8.4593878877262704E-2</v>
      </c>
      <c r="BJ895" s="2">
        <v>5.7447105462779965E-2</v>
      </c>
      <c r="BK895" s="2">
        <v>8.5153852345557474E-2</v>
      </c>
      <c r="BL895" s="2">
        <v>7.4158058913035174E-2</v>
      </c>
      <c r="BM895" s="2">
        <v>7.5718189192107169E-2</v>
      </c>
      <c r="BN895" s="2">
        <v>7.3955559365675619E-2</v>
      </c>
    </row>
    <row r="896" spans="1:66" x14ac:dyDescent="0.25">
      <c r="A896" s="8">
        <v>6697</v>
      </c>
      <c r="B896" s="8" t="s">
        <v>100</v>
      </c>
      <c r="C896" s="5">
        <v>0</v>
      </c>
      <c r="D896" s="5">
        <f>+$C896*BC896</f>
        <v>0</v>
      </c>
      <c r="E896" s="5">
        <f>+$C896*BD896</f>
        <v>0</v>
      </c>
      <c r="F896" s="5">
        <f>+$C896*BE896</f>
        <v>0</v>
      </c>
      <c r="G896" s="5">
        <f>+$C896*BF896</f>
        <v>0</v>
      </c>
      <c r="H896" s="5">
        <f>+$C896*BG896</f>
        <v>0</v>
      </c>
      <c r="I896" s="5">
        <f>+$C896*BH896</f>
        <v>0</v>
      </c>
      <c r="J896" s="5">
        <f>+$C896*BI896</f>
        <v>0</v>
      </c>
      <c r="K896" s="5">
        <f>+$C896*BJ896</f>
        <v>0</v>
      </c>
      <c r="L896" s="5">
        <f>+$C896*BK896</f>
        <v>0</v>
      </c>
      <c r="M896" s="5">
        <f>+$C896*BL896</f>
        <v>0</v>
      </c>
      <c r="N896" s="5">
        <f>+$C896*BM896</f>
        <v>0</v>
      </c>
      <c r="O896" s="5">
        <f>+$C896*BN896</f>
        <v>0</v>
      </c>
      <c r="P896" s="5">
        <v>0</v>
      </c>
      <c r="Q896" s="5">
        <f>+$P896*BC896</f>
        <v>0</v>
      </c>
      <c r="R896" s="5">
        <f>+$P896*BD896</f>
        <v>0</v>
      </c>
      <c r="S896" s="5">
        <f>+$P896*BE896</f>
        <v>0</v>
      </c>
      <c r="T896" s="5">
        <f>+$P896*BF896</f>
        <v>0</v>
      </c>
      <c r="U896" s="5">
        <f>+$P896*BG896</f>
        <v>0</v>
      </c>
      <c r="V896" s="5">
        <f>+$P896*BH896</f>
        <v>0</v>
      </c>
      <c r="W896" s="5">
        <f>+$P896*BI896</f>
        <v>0</v>
      </c>
      <c r="X896" s="5">
        <f>+$P896*BJ896</f>
        <v>0</v>
      </c>
      <c r="Y896" s="5">
        <f>+$P896*BK896</f>
        <v>0</v>
      </c>
      <c r="Z896" s="5">
        <f>+$P896*BL896</f>
        <v>0</v>
      </c>
      <c r="AA896" s="5">
        <f>+$P896*BM896</f>
        <v>0</v>
      </c>
      <c r="AB896" s="5">
        <f>+$P896*BN896</f>
        <v>0</v>
      </c>
      <c r="AC896" s="5">
        <v>0</v>
      </c>
      <c r="AD896" s="5">
        <f>+$AC896*BC896</f>
        <v>0</v>
      </c>
      <c r="AE896" s="5">
        <f>+$AC896*BD896</f>
        <v>0</v>
      </c>
      <c r="AF896" s="5">
        <f>+$AC896*BE896</f>
        <v>0</v>
      </c>
      <c r="AG896" s="5">
        <f>+$AC896*BF896</f>
        <v>0</v>
      </c>
      <c r="AH896" s="5">
        <f>+$AC896*BG896</f>
        <v>0</v>
      </c>
      <c r="AI896" s="5">
        <f>+$AC896*BH896</f>
        <v>0</v>
      </c>
      <c r="AJ896" s="5">
        <f>+$AC896*BI896</f>
        <v>0</v>
      </c>
      <c r="AK896" s="5">
        <f>+$AC896*BJ896</f>
        <v>0</v>
      </c>
      <c r="AL896" s="5">
        <f>+$AC896*BK896</f>
        <v>0</v>
      </c>
      <c r="AM896" s="5">
        <f>+$AC896*BL896</f>
        <v>0</v>
      </c>
      <c r="AN896" s="5">
        <f>+$AC896*BM896</f>
        <v>0</v>
      </c>
      <c r="AO896" s="5">
        <f>+$AC896*BN896</f>
        <v>0</v>
      </c>
      <c r="AP896" s="5">
        <f>+AC896+P896+C896</f>
        <v>0</v>
      </c>
      <c r="AQ896" s="1">
        <v>3.4334902890265764</v>
      </c>
      <c r="AR896" s="1">
        <v>4.1061319851264013</v>
      </c>
      <c r="AS896" s="1">
        <v>3.6339568976690844</v>
      </c>
      <c r="AT896" s="1">
        <v>2.7525825199391938</v>
      </c>
      <c r="AU896" s="1">
        <v>3.9919001470566537</v>
      </c>
      <c r="AV896" s="1">
        <v>3.2713577416729684</v>
      </c>
      <c r="AW896" s="1">
        <v>3.2568643367746142</v>
      </c>
      <c r="AX896" s="1">
        <v>2.2117135603170288</v>
      </c>
      <c r="AY896" s="1">
        <v>3.2784233153039626</v>
      </c>
      <c r="AZ896" s="1">
        <v>2.8550852681518544</v>
      </c>
      <c r="BA896" s="1">
        <v>2.9151502838961258</v>
      </c>
      <c r="BB896" s="1">
        <v>2.8472890355785112</v>
      </c>
      <c r="BC896" s="2">
        <v>8.9181565948742242E-2</v>
      </c>
      <c r="BD896" s="2">
        <v>0.10665277883445198</v>
      </c>
      <c r="BE896" s="2">
        <v>9.438849084854764E-2</v>
      </c>
      <c r="BF896" s="2">
        <v>7.149564986855049E-2</v>
      </c>
      <c r="BG896" s="2">
        <v>0.10368571810536763</v>
      </c>
      <c r="BH896" s="2">
        <v>8.4970330952544637E-2</v>
      </c>
      <c r="BI896" s="2">
        <v>8.4593878877262704E-2</v>
      </c>
      <c r="BJ896" s="2">
        <v>5.7447105462779965E-2</v>
      </c>
      <c r="BK896" s="2">
        <v>8.5153852345557474E-2</v>
      </c>
      <c r="BL896" s="2">
        <v>7.4158058913035174E-2</v>
      </c>
      <c r="BM896" s="2">
        <v>7.5718189192107169E-2</v>
      </c>
      <c r="BN896" s="2">
        <v>7.3955559365675619E-2</v>
      </c>
    </row>
    <row r="897" spans="1:66" x14ac:dyDescent="0.25">
      <c r="A897" s="8">
        <v>6700</v>
      </c>
      <c r="B897" s="8" t="s">
        <v>99</v>
      </c>
      <c r="C897" s="5">
        <v>0</v>
      </c>
      <c r="D897" s="5">
        <f>+$C897*BC897</f>
        <v>0</v>
      </c>
      <c r="E897" s="5">
        <f>+$C897*BD897</f>
        <v>0</v>
      </c>
      <c r="F897" s="5">
        <f>+$C897*BE897</f>
        <v>0</v>
      </c>
      <c r="G897" s="5">
        <f>+$C897*BF897</f>
        <v>0</v>
      </c>
      <c r="H897" s="5">
        <f>+$C897*BG897</f>
        <v>0</v>
      </c>
      <c r="I897" s="5">
        <f>+$C897*BH897</f>
        <v>0</v>
      </c>
      <c r="J897" s="5">
        <f>+$C897*BI897</f>
        <v>0</v>
      </c>
      <c r="K897" s="5">
        <f>+$C897*BJ897</f>
        <v>0</v>
      </c>
      <c r="L897" s="5">
        <f>+$C897*BK897</f>
        <v>0</v>
      </c>
      <c r="M897" s="5">
        <f>+$C897*BL897</f>
        <v>0</v>
      </c>
      <c r="N897" s="5">
        <f>+$C897*BM897</f>
        <v>0</v>
      </c>
      <c r="O897" s="5">
        <f>+$C897*BN897</f>
        <v>0</v>
      </c>
      <c r="P897" s="5">
        <v>0</v>
      </c>
      <c r="Q897" s="5">
        <f>+$P897*BC897</f>
        <v>0</v>
      </c>
      <c r="R897" s="5">
        <f>+$P897*BD897</f>
        <v>0</v>
      </c>
      <c r="S897" s="5">
        <f>+$P897*BE897</f>
        <v>0</v>
      </c>
      <c r="T897" s="5">
        <f>+$P897*BF897</f>
        <v>0</v>
      </c>
      <c r="U897" s="5">
        <f>+$P897*BG897</f>
        <v>0</v>
      </c>
      <c r="V897" s="5">
        <f>+$P897*BH897</f>
        <v>0</v>
      </c>
      <c r="W897" s="5">
        <f>+$P897*BI897</f>
        <v>0</v>
      </c>
      <c r="X897" s="5">
        <f>+$P897*BJ897</f>
        <v>0</v>
      </c>
      <c r="Y897" s="5">
        <f>+$P897*BK897</f>
        <v>0</v>
      </c>
      <c r="Z897" s="5">
        <f>+$P897*BL897</f>
        <v>0</v>
      </c>
      <c r="AA897" s="5">
        <f>+$P897*BM897</f>
        <v>0</v>
      </c>
      <c r="AB897" s="5">
        <f>+$P897*BN897</f>
        <v>0</v>
      </c>
      <c r="AC897" s="5">
        <v>400</v>
      </c>
      <c r="AD897" s="5">
        <f>+$AC897*BC897</f>
        <v>35.672626379496897</v>
      </c>
      <c r="AE897" s="5">
        <f>+$AC897*BD897</f>
        <v>42.66111153378079</v>
      </c>
      <c r="AF897" s="5">
        <f>+$AC897*BE897</f>
        <v>37.755396339419057</v>
      </c>
      <c r="AG897" s="5">
        <f>+$AC897*BF897</f>
        <v>28.598259947420196</v>
      </c>
      <c r="AH897" s="5">
        <f>+$AC897*BG897</f>
        <v>41.474287242147049</v>
      </c>
      <c r="AI897" s="5">
        <f>+$AC897*BH897</f>
        <v>33.988132381017856</v>
      </c>
      <c r="AJ897" s="5">
        <f>+$AC897*BI897</f>
        <v>33.837551550905083</v>
      </c>
      <c r="AK897" s="5">
        <f>+$AC897*BJ897</f>
        <v>22.978842185111986</v>
      </c>
      <c r="AL897" s="5">
        <f>+$AC897*BK897</f>
        <v>34.06154093822299</v>
      </c>
      <c r="AM897" s="5">
        <f>+$AC897*BL897</f>
        <v>29.663223565214068</v>
      </c>
      <c r="AN897" s="5">
        <f>+$AC897*BM897</f>
        <v>30.287275676842867</v>
      </c>
      <c r="AO897" s="5">
        <f>+$AC897*BN897</f>
        <v>29.582223746270248</v>
      </c>
      <c r="AP897" s="5">
        <f>+AC897+P897+C897</f>
        <v>400</v>
      </c>
      <c r="AQ897" s="1">
        <v>2.1581938959595623</v>
      </c>
      <c r="AR897" s="1">
        <v>2.5809972477937384</v>
      </c>
      <c r="AS897" s="1">
        <v>2.284201478534853</v>
      </c>
      <c r="AT897" s="1">
        <v>1.7301947268189222</v>
      </c>
      <c r="AU897" s="1">
        <v>2.5091943781498971</v>
      </c>
      <c r="AV897" s="1">
        <v>2.0562820090515803</v>
      </c>
      <c r="AW897" s="1">
        <v>2.0471718688297575</v>
      </c>
      <c r="AX897" s="1">
        <v>1.3902199521992753</v>
      </c>
      <c r="AY897" s="1">
        <v>2.0607232267624913</v>
      </c>
      <c r="AZ897" s="1">
        <v>1.7946250256954515</v>
      </c>
      <c r="BA897" s="1">
        <v>1.8323801784489937</v>
      </c>
      <c r="BB897" s="1">
        <v>1.7897245366493502</v>
      </c>
      <c r="BC897" s="2">
        <v>8.9181565948742242E-2</v>
      </c>
      <c r="BD897" s="2">
        <v>0.10665277883445198</v>
      </c>
      <c r="BE897" s="2">
        <v>9.438849084854764E-2</v>
      </c>
      <c r="BF897" s="2">
        <v>7.149564986855049E-2</v>
      </c>
      <c r="BG897" s="2">
        <v>0.10368571810536763</v>
      </c>
      <c r="BH897" s="2">
        <v>8.4970330952544637E-2</v>
      </c>
      <c r="BI897" s="2">
        <v>8.4593878877262704E-2</v>
      </c>
      <c r="BJ897" s="2">
        <v>5.7447105462779965E-2</v>
      </c>
      <c r="BK897" s="2">
        <v>8.5153852345557474E-2</v>
      </c>
      <c r="BL897" s="2">
        <v>7.4158058913035174E-2</v>
      </c>
      <c r="BM897" s="2">
        <v>7.5718189192107169E-2</v>
      </c>
      <c r="BN897" s="2">
        <v>7.3955559365675619E-2</v>
      </c>
    </row>
    <row r="898" spans="1:66" x14ac:dyDescent="0.25">
      <c r="A898" s="8">
        <v>6701</v>
      </c>
      <c r="B898" s="8" t="s">
        <v>98</v>
      </c>
      <c r="C898" s="5">
        <v>0</v>
      </c>
      <c r="D898" s="5">
        <f>+$C898*BC898</f>
        <v>0</v>
      </c>
      <c r="E898" s="5">
        <f>+$C898*BD898</f>
        <v>0</v>
      </c>
      <c r="F898" s="5">
        <f>+$C898*BE898</f>
        <v>0</v>
      </c>
      <c r="G898" s="5">
        <f>+$C898*BF898</f>
        <v>0</v>
      </c>
      <c r="H898" s="5">
        <f>+$C898*BG898</f>
        <v>0</v>
      </c>
      <c r="I898" s="5">
        <f>+$C898*BH898</f>
        <v>0</v>
      </c>
      <c r="J898" s="5">
        <f>+$C898*BI898</f>
        <v>0</v>
      </c>
      <c r="K898" s="5">
        <f>+$C898*BJ898</f>
        <v>0</v>
      </c>
      <c r="L898" s="5">
        <f>+$C898*BK898</f>
        <v>0</v>
      </c>
      <c r="M898" s="5">
        <f>+$C898*BL898</f>
        <v>0</v>
      </c>
      <c r="N898" s="5">
        <f>+$C898*BM898</f>
        <v>0</v>
      </c>
      <c r="O898" s="5">
        <f>+$C898*BN898</f>
        <v>0</v>
      </c>
      <c r="P898" s="5">
        <v>1500</v>
      </c>
      <c r="Q898" s="5">
        <f>+$P898*BC898</f>
        <v>133.77234892311336</v>
      </c>
      <c r="R898" s="5">
        <f>+$P898*BD898</f>
        <v>159.97916825167798</v>
      </c>
      <c r="S898" s="5">
        <f>+$P898*BE898</f>
        <v>141.58273627282145</v>
      </c>
      <c r="T898" s="5">
        <f>+$P898*BF898</f>
        <v>107.24347480282573</v>
      </c>
      <c r="U898" s="5">
        <f>+$P898*BG898</f>
        <v>155.52857715805143</v>
      </c>
      <c r="V898" s="5">
        <f>+$P898*BH898</f>
        <v>127.45549642881696</v>
      </c>
      <c r="W898" s="5">
        <f>+$P898*BI898</f>
        <v>126.89081831589405</v>
      </c>
      <c r="X898" s="5">
        <f>+$P898*BJ898</f>
        <v>86.170658194169945</v>
      </c>
      <c r="Y898" s="5">
        <f>+$P898*BK898</f>
        <v>127.73077851833621</v>
      </c>
      <c r="Z898" s="5">
        <f>+$P898*BL898</f>
        <v>111.23708836955277</v>
      </c>
      <c r="AA898" s="5">
        <f>+$P898*BM898</f>
        <v>113.57728378816076</v>
      </c>
      <c r="AB898" s="5">
        <f>+$P898*BN898</f>
        <v>110.93333904851343</v>
      </c>
      <c r="AC898" s="5">
        <v>0</v>
      </c>
      <c r="AD898" s="5">
        <f>+$AC898*BC898</f>
        <v>0</v>
      </c>
      <c r="AE898" s="5">
        <f>+$AC898*BD898</f>
        <v>0</v>
      </c>
      <c r="AF898" s="5">
        <f>+$AC898*BE898</f>
        <v>0</v>
      </c>
      <c r="AG898" s="5">
        <f>+$AC898*BF898</f>
        <v>0</v>
      </c>
      <c r="AH898" s="5">
        <f>+$AC898*BG898</f>
        <v>0</v>
      </c>
      <c r="AI898" s="5">
        <f>+$AC898*BH898</f>
        <v>0</v>
      </c>
      <c r="AJ898" s="5">
        <f>+$AC898*BI898</f>
        <v>0</v>
      </c>
      <c r="AK898" s="5">
        <f>+$AC898*BJ898</f>
        <v>0</v>
      </c>
      <c r="AL898" s="5">
        <f>+$AC898*BK898</f>
        <v>0</v>
      </c>
      <c r="AM898" s="5">
        <f>+$AC898*BL898</f>
        <v>0</v>
      </c>
      <c r="AN898" s="5">
        <f>+$AC898*BM898</f>
        <v>0</v>
      </c>
      <c r="AO898" s="5">
        <f>+$AC898*BN898</f>
        <v>0</v>
      </c>
      <c r="AP898" s="5">
        <f>+AC898+P898+C898</f>
        <v>1500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2">
        <v>8.9181565948742242E-2</v>
      </c>
      <c r="BD898" s="2">
        <v>0.10665277883445198</v>
      </c>
      <c r="BE898" s="2">
        <v>9.438849084854764E-2</v>
      </c>
      <c r="BF898" s="2">
        <v>7.149564986855049E-2</v>
      </c>
      <c r="BG898" s="2">
        <v>0.10368571810536763</v>
      </c>
      <c r="BH898" s="2">
        <v>8.4970330952544637E-2</v>
      </c>
      <c r="BI898" s="2">
        <v>8.4593878877262704E-2</v>
      </c>
      <c r="BJ898" s="2">
        <v>5.7447105462779965E-2</v>
      </c>
      <c r="BK898" s="2">
        <v>8.5153852345557474E-2</v>
      </c>
      <c r="BL898" s="2">
        <v>7.4158058913035174E-2</v>
      </c>
      <c r="BM898" s="2">
        <v>7.5718189192107169E-2</v>
      </c>
      <c r="BN898" s="2">
        <v>7.3955559365675619E-2</v>
      </c>
    </row>
    <row r="899" spans="1:66" x14ac:dyDescent="0.25">
      <c r="A899" s="8">
        <v>6702</v>
      </c>
      <c r="B899" s="8" t="s">
        <v>97</v>
      </c>
      <c r="C899" s="5">
        <v>0</v>
      </c>
      <c r="D899" s="5">
        <f>+$C899*BC899</f>
        <v>0</v>
      </c>
      <c r="E899" s="5">
        <f>+$C899*BD899</f>
        <v>0</v>
      </c>
      <c r="F899" s="5">
        <f>+$C899*BE899</f>
        <v>0</v>
      </c>
      <c r="G899" s="5">
        <f>+$C899*BF899</f>
        <v>0</v>
      </c>
      <c r="H899" s="5">
        <f>+$C899*BG899</f>
        <v>0</v>
      </c>
      <c r="I899" s="5">
        <f>+$C899*BH899</f>
        <v>0</v>
      </c>
      <c r="J899" s="5">
        <f>+$C899*BI899</f>
        <v>0</v>
      </c>
      <c r="K899" s="5">
        <f>+$C899*BJ899</f>
        <v>0</v>
      </c>
      <c r="L899" s="5">
        <f>+$C899*BK899</f>
        <v>0</v>
      </c>
      <c r="M899" s="5">
        <f>+$C899*BL899</f>
        <v>0</v>
      </c>
      <c r="N899" s="5">
        <f>+$C899*BM899</f>
        <v>0</v>
      </c>
      <c r="O899" s="5">
        <f>+$C899*BN899</f>
        <v>0</v>
      </c>
      <c r="P899" s="5">
        <v>0</v>
      </c>
      <c r="Q899" s="5">
        <f>+$P899*BC899</f>
        <v>0</v>
      </c>
      <c r="R899" s="5">
        <f>+$P899*BD899</f>
        <v>0</v>
      </c>
      <c r="S899" s="5">
        <f>+$P899*BE899</f>
        <v>0</v>
      </c>
      <c r="T899" s="5">
        <f>+$P899*BF899</f>
        <v>0</v>
      </c>
      <c r="U899" s="5">
        <f>+$P899*BG899</f>
        <v>0</v>
      </c>
      <c r="V899" s="5">
        <f>+$P899*BH899</f>
        <v>0</v>
      </c>
      <c r="W899" s="5">
        <f>+$P899*BI899</f>
        <v>0</v>
      </c>
      <c r="X899" s="5">
        <f>+$P899*BJ899</f>
        <v>0</v>
      </c>
      <c r="Y899" s="5">
        <f>+$P899*BK899</f>
        <v>0</v>
      </c>
      <c r="Z899" s="5">
        <f>+$P899*BL899</f>
        <v>0</v>
      </c>
      <c r="AA899" s="5">
        <f>+$P899*BM899</f>
        <v>0</v>
      </c>
      <c r="AB899" s="5">
        <f>+$P899*BN899</f>
        <v>0</v>
      </c>
      <c r="AC899" s="5">
        <v>0</v>
      </c>
      <c r="AD899" s="5">
        <f>+$AC899*BC899</f>
        <v>0</v>
      </c>
      <c r="AE899" s="5">
        <f>+$AC899*BD899</f>
        <v>0</v>
      </c>
      <c r="AF899" s="5">
        <f>+$AC899*BE899</f>
        <v>0</v>
      </c>
      <c r="AG899" s="5">
        <f>+$AC899*BF899</f>
        <v>0</v>
      </c>
      <c r="AH899" s="5">
        <f>+$AC899*BG899</f>
        <v>0</v>
      </c>
      <c r="AI899" s="5">
        <f>+$AC899*BH899</f>
        <v>0</v>
      </c>
      <c r="AJ899" s="5">
        <f>+$AC899*BI899</f>
        <v>0</v>
      </c>
      <c r="AK899" s="5">
        <f>+$AC899*BJ899</f>
        <v>0</v>
      </c>
      <c r="AL899" s="5">
        <f>+$AC899*BK899</f>
        <v>0</v>
      </c>
      <c r="AM899" s="5">
        <f>+$AC899*BL899</f>
        <v>0</v>
      </c>
      <c r="AN899" s="5">
        <f>+$AC899*BM899</f>
        <v>0</v>
      </c>
      <c r="AO899" s="5">
        <f>+$AC899*BN899</f>
        <v>0</v>
      </c>
      <c r="AP899" s="5">
        <f>+AC899+P899+C899</f>
        <v>0</v>
      </c>
      <c r="AQ899" s="1">
        <v>4.2428130000114122</v>
      </c>
      <c r="AR899" s="1">
        <v>5.0740059530490536</v>
      </c>
      <c r="AS899" s="1">
        <v>4.4905324521196546</v>
      </c>
      <c r="AT899" s="1">
        <v>3.4014055424962897</v>
      </c>
      <c r="AU899" s="1">
        <v>4.9328480388628648</v>
      </c>
      <c r="AV899" s="1">
        <v>4.0424634950673113</v>
      </c>
      <c r="AW899" s="1">
        <v>4.0245537875857735</v>
      </c>
      <c r="AX899" s="1">
        <v>2.7330460423917571</v>
      </c>
      <c r="AY899" s="1">
        <v>4.0511945253398967</v>
      </c>
      <c r="AZ899" s="1">
        <v>3.5280696527876487</v>
      </c>
      <c r="BA899" s="1">
        <v>3.6022928508144987</v>
      </c>
      <c r="BB899" s="1">
        <v>3.5184357368220178</v>
      </c>
      <c r="BC899" s="2">
        <v>8.9181565948742242E-2</v>
      </c>
      <c r="BD899" s="2">
        <v>0.10665277883445198</v>
      </c>
      <c r="BE899" s="2">
        <v>9.438849084854764E-2</v>
      </c>
      <c r="BF899" s="2">
        <v>7.149564986855049E-2</v>
      </c>
      <c r="BG899" s="2">
        <v>0.10368571810536763</v>
      </c>
      <c r="BH899" s="2">
        <v>8.4970330952544637E-2</v>
      </c>
      <c r="BI899" s="2">
        <v>8.4593878877262704E-2</v>
      </c>
      <c r="BJ899" s="2">
        <v>5.7447105462779965E-2</v>
      </c>
      <c r="BK899" s="2">
        <v>8.5153852345557474E-2</v>
      </c>
      <c r="BL899" s="2">
        <v>7.4158058913035174E-2</v>
      </c>
      <c r="BM899" s="2">
        <v>7.5718189192107169E-2</v>
      </c>
      <c r="BN899" s="2">
        <v>7.3955559365675619E-2</v>
      </c>
    </row>
    <row r="900" spans="1:66" x14ac:dyDescent="0.25">
      <c r="A900" s="8">
        <v>6704</v>
      </c>
      <c r="B900" s="8" t="s">
        <v>96</v>
      </c>
      <c r="C900" s="5">
        <v>0</v>
      </c>
      <c r="D900" s="5">
        <f>+$C900*BC900</f>
        <v>0</v>
      </c>
      <c r="E900" s="5">
        <f>+$C900*BD900</f>
        <v>0</v>
      </c>
      <c r="F900" s="5">
        <f>+$C900*BE900</f>
        <v>0</v>
      </c>
      <c r="G900" s="5">
        <f>+$C900*BF900</f>
        <v>0</v>
      </c>
      <c r="H900" s="5">
        <f>+$C900*BG900</f>
        <v>0</v>
      </c>
      <c r="I900" s="5">
        <f>+$C900*BH900</f>
        <v>0</v>
      </c>
      <c r="J900" s="5">
        <f>+$C900*BI900</f>
        <v>0</v>
      </c>
      <c r="K900" s="5">
        <f>+$C900*BJ900</f>
        <v>0</v>
      </c>
      <c r="L900" s="5">
        <f>+$C900*BK900</f>
        <v>0</v>
      </c>
      <c r="M900" s="5">
        <f>+$C900*BL900</f>
        <v>0</v>
      </c>
      <c r="N900" s="5">
        <f>+$C900*BM900</f>
        <v>0</v>
      </c>
      <c r="O900" s="5">
        <f>+$C900*BN900</f>
        <v>0</v>
      </c>
      <c r="P900" s="5">
        <v>0</v>
      </c>
      <c r="Q900" s="5">
        <f>+$P900*BC900</f>
        <v>0</v>
      </c>
      <c r="R900" s="5">
        <f>+$P900*BD900</f>
        <v>0</v>
      </c>
      <c r="S900" s="5">
        <f>+$P900*BE900</f>
        <v>0</v>
      </c>
      <c r="T900" s="5">
        <f>+$P900*BF900</f>
        <v>0</v>
      </c>
      <c r="U900" s="5">
        <f>+$P900*BG900</f>
        <v>0</v>
      </c>
      <c r="V900" s="5">
        <f>+$P900*BH900</f>
        <v>0</v>
      </c>
      <c r="W900" s="5">
        <f>+$P900*BI900</f>
        <v>0</v>
      </c>
      <c r="X900" s="5">
        <f>+$P900*BJ900</f>
        <v>0</v>
      </c>
      <c r="Y900" s="5">
        <f>+$P900*BK900</f>
        <v>0</v>
      </c>
      <c r="Z900" s="5">
        <f>+$P900*BL900</f>
        <v>0</v>
      </c>
      <c r="AA900" s="5">
        <f>+$P900*BM900</f>
        <v>0</v>
      </c>
      <c r="AB900" s="5">
        <f>+$P900*BN900</f>
        <v>0</v>
      </c>
      <c r="AC900" s="5">
        <v>0</v>
      </c>
      <c r="AD900" s="5">
        <f>+$AC900*BC900</f>
        <v>0</v>
      </c>
      <c r="AE900" s="5">
        <f>+$AC900*BD900</f>
        <v>0</v>
      </c>
      <c r="AF900" s="5">
        <f>+$AC900*BE900</f>
        <v>0</v>
      </c>
      <c r="AG900" s="5">
        <f>+$AC900*BF900</f>
        <v>0</v>
      </c>
      <c r="AH900" s="5">
        <f>+$AC900*BG900</f>
        <v>0</v>
      </c>
      <c r="AI900" s="5">
        <f>+$AC900*BH900</f>
        <v>0</v>
      </c>
      <c r="AJ900" s="5">
        <f>+$AC900*BI900</f>
        <v>0</v>
      </c>
      <c r="AK900" s="5">
        <f>+$AC900*BJ900</f>
        <v>0</v>
      </c>
      <c r="AL900" s="5">
        <f>+$AC900*BK900</f>
        <v>0</v>
      </c>
      <c r="AM900" s="5">
        <f>+$AC900*BL900</f>
        <v>0</v>
      </c>
      <c r="AN900" s="5">
        <f>+$AC900*BM900</f>
        <v>0</v>
      </c>
      <c r="AO900" s="5">
        <f>+$AC900*BN900</f>
        <v>0</v>
      </c>
      <c r="AP900" s="5">
        <f>+AC900+P900+C900</f>
        <v>0</v>
      </c>
      <c r="AQ900" s="1">
        <v>2.8448919537648776E-2</v>
      </c>
      <c r="AR900" s="1">
        <v>3.4022236448190184E-2</v>
      </c>
      <c r="AS900" s="1">
        <v>3.0109928580686698E-2</v>
      </c>
      <c r="AT900" s="1">
        <v>2.2807112308067607E-2</v>
      </c>
      <c r="AU900" s="1">
        <v>3.3075744075612271E-2</v>
      </c>
      <c r="AV900" s="1">
        <v>2.7105535573861739E-2</v>
      </c>
      <c r="AW900" s="1">
        <v>2.6985447361846802E-2</v>
      </c>
      <c r="AX900" s="1">
        <v>1.8325626642626811E-2</v>
      </c>
      <c r="AY900" s="1">
        <v>2.7164078898232833E-2</v>
      </c>
      <c r="AZ900" s="1">
        <v>2.365642079325822E-2</v>
      </c>
      <c r="BA900" s="1">
        <v>2.4154102352282186E-2</v>
      </c>
      <c r="BB900" s="1">
        <v>2.3591823437650521E-2</v>
      </c>
      <c r="BC900" s="2">
        <v>8.9181565948742242E-2</v>
      </c>
      <c r="BD900" s="2">
        <v>0.10665277883445198</v>
      </c>
      <c r="BE900" s="2">
        <v>9.438849084854764E-2</v>
      </c>
      <c r="BF900" s="2">
        <v>7.149564986855049E-2</v>
      </c>
      <c r="BG900" s="2">
        <v>0.10368571810536763</v>
      </c>
      <c r="BH900" s="2">
        <v>8.4970330952544637E-2</v>
      </c>
      <c r="BI900" s="2">
        <v>8.4593878877262704E-2</v>
      </c>
      <c r="BJ900" s="2">
        <v>5.7447105462779965E-2</v>
      </c>
      <c r="BK900" s="2">
        <v>8.5153852345557474E-2</v>
      </c>
      <c r="BL900" s="2">
        <v>7.4158058913035174E-2</v>
      </c>
      <c r="BM900" s="2">
        <v>7.5718189192107169E-2</v>
      </c>
      <c r="BN900" s="2">
        <v>7.3955559365675619E-2</v>
      </c>
    </row>
    <row r="901" spans="1:66" x14ac:dyDescent="0.25">
      <c r="A901" s="8">
        <v>6706</v>
      </c>
      <c r="B901" s="8" t="s">
        <v>95</v>
      </c>
      <c r="C901" s="5">
        <v>0</v>
      </c>
      <c r="D901" s="5">
        <f>+$C901*BC901</f>
        <v>0</v>
      </c>
      <c r="E901" s="5">
        <f>+$C901*BD901</f>
        <v>0</v>
      </c>
      <c r="F901" s="5">
        <f>+$C901*BE901</f>
        <v>0</v>
      </c>
      <c r="G901" s="5">
        <f>+$C901*BF901</f>
        <v>0</v>
      </c>
      <c r="H901" s="5">
        <f>+$C901*BG901</f>
        <v>0</v>
      </c>
      <c r="I901" s="5">
        <f>+$C901*BH901</f>
        <v>0</v>
      </c>
      <c r="J901" s="5">
        <f>+$C901*BI901</f>
        <v>0</v>
      </c>
      <c r="K901" s="5">
        <f>+$C901*BJ901</f>
        <v>0</v>
      </c>
      <c r="L901" s="5">
        <f>+$C901*BK901</f>
        <v>0</v>
      </c>
      <c r="M901" s="5">
        <f>+$C901*BL901</f>
        <v>0</v>
      </c>
      <c r="N901" s="5">
        <f>+$C901*BM901</f>
        <v>0</v>
      </c>
      <c r="O901" s="5">
        <f>+$C901*BN901</f>
        <v>0</v>
      </c>
      <c r="P901" s="5">
        <v>0</v>
      </c>
      <c r="Q901" s="5">
        <f>+$P901*BC901</f>
        <v>0</v>
      </c>
      <c r="R901" s="5">
        <f>+$P901*BD901</f>
        <v>0</v>
      </c>
      <c r="S901" s="5">
        <f>+$P901*BE901</f>
        <v>0</v>
      </c>
      <c r="T901" s="5">
        <f>+$P901*BF901</f>
        <v>0</v>
      </c>
      <c r="U901" s="5">
        <f>+$P901*BG901</f>
        <v>0</v>
      </c>
      <c r="V901" s="5">
        <f>+$P901*BH901</f>
        <v>0</v>
      </c>
      <c r="W901" s="5">
        <f>+$P901*BI901</f>
        <v>0</v>
      </c>
      <c r="X901" s="5">
        <f>+$P901*BJ901</f>
        <v>0</v>
      </c>
      <c r="Y901" s="5">
        <f>+$P901*BK901</f>
        <v>0</v>
      </c>
      <c r="Z901" s="5">
        <f>+$P901*BL901</f>
        <v>0</v>
      </c>
      <c r="AA901" s="5">
        <f>+$P901*BM901</f>
        <v>0</v>
      </c>
      <c r="AB901" s="5">
        <f>+$P901*BN901</f>
        <v>0</v>
      </c>
      <c r="AC901" s="5">
        <v>0</v>
      </c>
      <c r="AD901" s="5">
        <f>+$AC901*BC901</f>
        <v>0</v>
      </c>
      <c r="AE901" s="5">
        <f>+$AC901*BD901</f>
        <v>0</v>
      </c>
      <c r="AF901" s="5">
        <f>+$AC901*BE901</f>
        <v>0</v>
      </c>
      <c r="AG901" s="5">
        <f>+$AC901*BF901</f>
        <v>0</v>
      </c>
      <c r="AH901" s="5">
        <f>+$AC901*BG901</f>
        <v>0</v>
      </c>
      <c r="AI901" s="5">
        <f>+$AC901*BH901</f>
        <v>0</v>
      </c>
      <c r="AJ901" s="5">
        <f>+$AC901*BI901</f>
        <v>0</v>
      </c>
      <c r="AK901" s="5">
        <f>+$AC901*BJ901</f>
        <v>0</v>
      </c>
      <c r="AL901" s="5">
        <f>+$AC901*BK901</f>
        <v>0</v>
      </c>
      <c r="AM901" s="5">
        <f>+$AC901*BL901</f>
        <v>0</v>
      </c>
      <c r="AN901" s="5">
        <f>+$AC901*BM901</f>
        <v>0</v>
      </c>
      <c r="AO901" s="5">
        <f>+$AC901*BN901</f>
        <v>0</v>
      </c>
      <c r="AP901" s="5">
        <f>+AC901+P901+C901</f>
        <v>0</v>
      </c>
      <c r="AQ901" s="1">
        <v>7.2377975292680228</v>
      </c>
      <c r="AR901" s="1">
        <v>8.6557262246464539</v>
      </c>
      <c r="AS901" s="1">
        <v>7.6603811402864297</v>
      </c>
      <c r="AT901" s="1">
        <v>5.8024439520318207</v>
      </c>
      <c r="AU901" s="1">
        <v>8.4149255099954257</v>
      </c>
      <c r="AV901" s="1">
        <v>6.8960221194466174</v>
      </c>
      <c r="AW901" s="1">
        <v>6.8654700219208866</v>
      </c>
      <c r="AX901" s="1">
        <v>4.6622921851482966</v>
      </c>
      <c r="AY901" s="1">
        <v>6.9109163486607539</v>
      </c>
      <c r="AZ901" s="1">
        <v>6.0185197452641086</v>
      </c>
      <c r="BA901" s="1">
        <v>6.1451367984530334</v>
      </c>
      <c r="BB901" s="1">
        <v>6.0020852869995016</v>
      </c>
      <c r="BC901" s="2">
        <v>8.9181565948742242E-2</v>
      </c>
      <c r="BD901" s="2">
        <v>0.10665277883445198</v>
      </c>
      <c r="BE901" s="2">
        <v>9.438849084854764E-2</v>
      </c>
      <c r="BF901" s="2">
        <v>7.149564986855049E-2</v>
      </c>
      <c r="BG901" s="2">
        <v>0.10368571810536763</v>
      </c>
      <c r="BH901" s="2">
        <v>8.4970330952544637E-2</v>
      </c>
      <c r="BI901" s="2">
        <v>8.4593878877262704E-2</v>
      </c>
      <c r="BJ901" s="2">
        <v>5.7447105462779965E-2</v>
      </c>
      <c r="BK901" s="2">
        <v>8.5153852345557474E-2</v>
      </c>
      <c r="BL901" s="2">
        <v>7.4158058913035174E-2</v>
      </c>
      <c r="BM901" s="2">
        <v>7.5718189192107169E-2</v>
      </c>
      <c r="BN901" s="2">
        <v>7.3955559365675619E-2</v>
      </c>
    </row>
    <row r="902" spans="1:66" x14ac:dyDescent="0.25">
      <c r="A902" s="8">
        <v>6707</v>
      </c>
      <c r="B902" s="8" t="s">
        <v>94</v>
      </c>
      <c r="C902" s="5">
        <v>0</v>
      </c>
      <c r="D902" s="5">
        <f>+$C902*BC902</f>
        <v>0</v>
      </c>
      <c r="E902" s="5">
        <f>+$C902*BD902</f>
        <v>0</v>
      </c>
      <c r="F902" s="5">
        <f>+$C902*BE902</f>
        <v>0</v>
      </c>
      <c r="G902" s="5">
        <f>+$C902*BF902</f>
        <v>0</v>
      </c>
      <c r="H902" s="5">
        <f>+$C902*BG902</f>
        <v>0</v>
      </c>
      <c r="I902" s="5">
        <f>+$C902*BH902</f>
        <v>0</v>
      </c>
      <c r="J902" s="5">
        <f>+$C902*BI902</f>
        <v>0</v>
      </c>
      <c r="K902" s="5">
        <f>+$C902*BJ902</f>
        <v>0</v>
      </c>
      <c r="L902" s="5">
        <f>+$C902*BK902</f>
        <v>0</v>
      </c>
      <c r="M902" s="5">
        <f>+$C902*BL902</f>
        <v>0</v>
      </c>
      <c r="N902" s="5">
        <f>+$C902*BM902</f>
        <v>0</v>
      </c>
      <c r="O902" s="5">
        <f>+$C902*BN902</f>
        <v>0</v>
      </c>
      <c r="P902" s="5">
        <v>1000</v>
      </c>
      <c r="Q902" s="5">
        <f>+$P902*BC902</f>
        <v>89.181565948742247</v>
      </c>
      <c r="R902" s="5">
        <f>+$P902*BD902</f>
        <v>106.65277883445198</v>
      </c>
      <c r="S902" s="5">
        <f>+$P902*BE902</f>
        <v>94.388490848547647</v>
      </c>
      <c r="T902" s="5">
        <f>+$P902*BF902</f>
        <v>71.495649868550487</v>
      </c>
      <c r="U902" s="5">
        <f>+$P902*BG902</f>
        <v>103.68571810536763</v>
      </c>
      <c r="V902" s="5">
        <f>+$P902*BH902</f>
        <v>84.970330952544643</v>
      </c>
      <c r="W902" s="5">
        <f>+$P902*BI902</f>
        <v>84.593878877262711</v>
      </c>
      <c r="X902" s="5">
        <f>+$P902*BJ902</f>
        <v>57.447105462779966</v>
      </c>
      <c r="Y902" s="5">
        <f>+$P902*BK902</f>
        <v>85.153852345557468</v>
      </c>
      <c r="Z902" s="5">
        <f>+$P902*BL902</f>
        <v>74.158058913035177</v>
      </c>
      <c r="AA902" s="5">
        <f>+$P902*BM902</f>
        <v>75.718189192107175</v>
      </c>
      <c r="AB902" s="5">
        <f>+$P902*BN902</f>
        <v>73.955559365675626</v>
      </c>
      <c r="AC902" s="5">
        <v>0</v>
      </c>
      <c r="AD902" s="5">
        <f>+$AC902*BC902</f>
        <v>0</v>
      </c>
      <c r="AE902" s="5">
        <f>+$AC902*BD902</f>
        <v>0</v>
      </c>
      <c r="AF902" s="5">
        <f>+$AC902*BE902</f>
        <v>0</v>
      </c>
      <c r="AG902" s="5">
        <f>+$AC902*BF902</f>
        <v>0</v>
      </c>
      <c r="AH902" s="5">
        <f>+$AC902*BG902</f>
        <v>0</v>
      </c>
      <c r="AI902" s="5">
        <f>+$AC902*BH902</f>
        <v>0</v>
      </c>
      <c r="AJ902" s="5">
        <f>+$AC902*BI902</f>
        <v>0</v>
      </c>
      <c r="AK902" s="5">
        <f>+$AC902*BJ902</f>
        <v>0</v>
      </c>
      <c r="AL902" s="5">
        <f>+$AC902*BK902</f>
        <v>0</v>
      </c>
      <c r="AM902" s="5">
        <f>+$AC902*BL902</f>
        <v>0</v>
      </c>
      <c r="AN902" s="5">
        <f>+$AC902*BM902</f>
        <v>0</v>
      </c>
      <c r="AO902" s="5">
        <f>+$AC902*BN902</f>
        <v>0</v>
      </c>
      <c r="AP902" s="5">
        <f>+AC902+P902+C902</f>
        <v>1000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2">
        <v>8.9181565948742242E-2</v>
      </c>
      <c r="BD902" s="2">
        <v>0.10665277883445198</v>
      </c>
      <c r="BE902" s="2">
        <v>9.438849084854764E-2</v>
      </c>
      <c r="BF902" s="2">
        <v>7.149564986855049E-2</v>
      </c>
      <c r="BG902" s="2">
        <v>0.10368571810536763</v>
      </c>
      <c r="BH902" s="2">
        <v>8.4970330952544637E-2</v>
      </c>
      <c r="BI902" s="2">
        <v>8.4593878877262704E-2</v>
      </c>
      <c r="BJ902" s="2">
        <v>5.7447105462779965E-2</v>
      </c>
      <c r="BK902" s="2">
        <v>8.5153852345557474E-2</v>
      </c>
      <c r="BL902" s="2">
        <v>7.4158058913035174E-2</v>
      </c>
      <c r="BM902" s="2">
        <v>7.5718189192107169E-2</v>
      </c>
      <c r="BN902" s="2">
        <v>7.3955559365675619E-2</v>
      </c>
    </row>
    <row r="903" spans="1:66" x14ac:dyDescent="0.25">
      <c r="A903" s="8">
        <v>6709</v>
      </c>
      <c r="B903" s="8" t="s">
        <v>93</v>
      </c>
      <c r="C903" s="5">
        <v>0</v>
      </c>
      <c r="D903" s="5">
        <f>+$C903*BC903</f>
        <v>0</v>
      </c>
      <c r="E903" s="5">
        <f>+$C903*BD903</f>
        <v>0</v>
      </c>
      <c r="F903" s="5">
        <f>+$C903*BE903</f>
        <v>0</v>
      </c>
      <c r="G903" s="5">
        <f>+$C903*BF903</f>
        <v>0</v>
      </c>
      <c r="H903" s="5">
        <f>+$C903*BG903</f>
        <v>0</v>
      </c>
      <c r="I903" s="5">
        <f>+$C903*BH903</f>
        <v>0</v>
      </c>
      <c r="J903" s="5">
        <f>+$C903*BI903</f>
        <v>0</v>
      </c>
      <c r="K903" s="5">
        <f>+$C903*BJ903</f>
        <v>0</v>
      </c>
      <c r="L903" s="5">
        <f>+$C903*BK903</f>
        <v>0</v>
      </c>
      <c r="M903" s="5">
        <f>+$C903*BL903</f>
        <v>0</v>
      </c>
      <c r="N903" s="5">
        <f>+$C903*BM903</f>
        <v>0</v>
      </c>
      <c r="O903" s="5">
        <f>+$C903*BN903</f>
        <v>0</v>
      </c>
      <c r="P903" s="5">
        <v>0</v>
      </c>
      <c r="Q903" s="5">
        <f>+$P903*BC903</f>
        <v>0</v>
      </c>
      <c r="R903" s="5">
        <f>+$P903*BD903</f>
        <v>0</v>
      </c>
      <c r="S903" s="5">
        <f>+$P903*BE903</f>
        <v>0</v>
      </c>
      <c r="T903" s="5">
        <f>+$P903*BF903</f>
        <v>0</v>
      </c>
      <c r="U903" s="5">
        <f>+$P903*BG903</f>
        <v>0</v>
      </c>
      <c r="V903" s="5">
        <f>+$P903*BH903</f>
        <v>0</v>
      </c>
      <c r="W903" s="5">
        <f>+$P903*BI903</f>
        <v>0</v>
      </c>
      <c r="X903" s="5">
        <f>+$P903*BJ903</f>
        <v>0</v>
      </c>
      <c r="Y903" s="5">
        <f>+$P903*BK903</f>
        <v>0</v>
      </c>
      <c r="Z903" s="5">
        <f>+$P903*BL903</f>
        <v>0</v>
      </c>
      <c r="AA903" s="5">
        <f>+$P903*BM903</f>
        <v>0</v>
      </c>
      <c r="AB903" s="5">
        <f>+$P903*BN903</f>
        <v>0</v>
      </c>
      <c r="AC903" s="5">
        <v>0</v>
      </c>
      <c r="AD903" s="5">
        <f>+$AC903*BC903</f>
        <v>0</v>
      </c>
      <c r="AE903" s="5">
        <f>+$AC903*BD903</f>
        <v>0</v>
      </c>
      <c r="AF903" s="5">
        <f>+$AC903*BE903</f>
        <v>0</v>
      </c>
      <c r="AG903" s="5">
        <f>+$AC903*BF903</f>
        <v>0</v>
      </c>
      <c r="AH903" s="5">
        <f>+$AC903*BG903</f>
        <v>0</v>
      </c>
      <c r="AI903" s="5">
        <f>+$AC903*BH903</f>
        <v>0</v>
      </c>
      <c r="AJ903" s="5">
        <f>+$AC903*BI903</f>
        <v>0</v>
      </c>
      <c r="AK903" s="5">
        <f>+$AC903*BJ903</f>
        <v>0</v>
      </c>
      <c r="AL903" s="5">
        <f>+$AC903*BK903</f>
        <v>0</v>
      </c>
      <c r="AM903" s="5">
        <f>+$AC903*BL903</f>
        <v>0</v>
      </c>
      <c r="AN903" s="5">
        <f>+$AC903*BM903</f>
        <v>0</v>
      </c>
      <c r="AO903" s="5">
        <f>+$AC903*BN903</f>
        <v>0</v>
      </c>
      <c r="AP903" s="5">
        <f>+AC903+P903+C903</f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2">
        <v>8.9181565948742242E-2</v>
      </c>
      <c r="BD903" s="2">
        <v>0.10665277883445198</v>
      </c>
      <c r="BE903" s="2">
        <v>9.438849084854764E-2</v>
      </c>
      <c r="BF903" s="2">
        <v>7.149564986855049E-2</v>
      </c>
      <c r="BG903" s="2">
        <v>0.10368571810536763</v>
      </c>
      <c r="BH903" s="2">
        <v>8.4970330952544637E-2</v>
      </c>
      <c r="BI903" s="2">
        <v>8.4593878877262704E-2</v>
      </c>
      <c r="BJ903" s="2">
        <v>5.7447105462779965E-2</v>
      </c>
      <c r="BK903" s="2">
        <v>8.5153852345557474E-2</v>
      </c>
      <c r="BL903" s="2">
        <v>7.4158058913035174E-2</v>
      </c>
      <c r="BM903" s="2">
        <v>7.5718189192107169E-2</v>
      </c>
      <c r="BN903" s="2">
        <v>7.3955559365675619E-2</v>
      </c>
    </row>
    <row r="904" spans="1:66" x14ac:dyDescent="0.25">
      <c r="A904" s="8">
        <v>6710</v>
      </c>
      <c r="B904" s="8" t="s">
        <v>92</v>
      </c>
      <c r="C904" s="5">
        <v>0</v>
      </c>
      <c r="D904" s="5">
        <f>+$C904*BC904</f>
        <v>0</v>
      </c>
      <c r="E904" s="5">
        <f>+$C904*BD904</f>
        <v>0</v>
      </c>
      <c r="F904" s="5">
        <f>+$C904*BE904</f>
        <v>0</v>
      </c>
      <c r="G904" s="5">
        <f>+$C904*BF904</f>
        <v>0</v>
      </c>
      <c r="H904" s="5">
        <f>+$C904*BG904</f>
        <v>0</v>
      </c>
      <c r="I904" s="5">
        <f>+$C904*BH904</f>
        <v>0</v>
      </c>
      <c r="J904" s="5">
        <f>+$C904*BI904</f>
        <v>0</v>
      </c>
      <c r="K904" s="5">
        <f>+$C904*BJ904</f>
        <v>0</v>
      </c>
      <c r="L904" s="5">
        <f>+$C904*BK904</f>
        <v>0</v>
      </c>
      <c r="M904" s="5">
        <f>+$C904*BL904</f>
        <v>0</v>
      </c>
      <c r="N904" s="5">
        <f>+$C904*BM904</f>
        <v>0</v>
      </c>
      <c r="O904" s="5">
        <f>+$C904*BN904</f>
        <v>0</v>
      </c>
      <c r="P904" s="5">
        <v>0</v>
      </c>
      <c r="Q904" s="5">
        <f>+$P904*BC904</f>
        <v>0</v>
      </c>
      <c r="R904" s="5">
        <f>+$P904*BD904</f>
        <v>0</v>
      </c>
      <c r="S904" s="5">
        <f>+$P904*BE904</f>
        <v>0</v>
      </c>
      <c r="T904" s="5">
        <f>+$P904*BF904</f>
        <v>0</v>
      </c>
      <c r="U904" s="5">
        <f>+$P904*BG904</f>
        <v>0</v>
      </c>
      <c r="V904" s="5">
        <f>+$P904*BH904</f>
        <v>0</v>
      </c>
      <c r="W904" s="5">
        <f>+$P904*BI904</f>
        <v>0</v>
      </c>
      <c r="X904" s="5">
        <f>+$P904*BJ904</f>
        <v>0</v>
      </c>
      <c r="Y904" s="5">
        <f>+$P904*BK904</f>
        <v>0</v>
      </c>
      <c r="Z904" s="5">
        <f>+$P904*BL904</f>
        <v>0</v>
      </c>
      <c r="AA904" s="5">
        <f>+$P904*BM904</f>
        <v>0</v>
      </c>
      <c r="AB904" s="5">
        <f>+$P904*BN904</f>
        <v>0</v>
      </c>
      <c r="AC904" s="5">
        <v>0</v>
      </c>
      <c r="AD904" s="5">
        <f>+$AC904*BC904</f>
        <v>0</v>
      </c>
      <c r="AE904" s="5">
        <f>+$AC904*BD904</f>
        <v>0</v>
      </c>
      <c r="AF904" s="5">
        <f>+$AC904*BE904</f>
        <v>0</v>
      </c>
      <c r="AG904" s="5">
        <f>+$AC904*BF904</f>
        <v>0</v>
      </c>
      <c r="AH904" s="5">
        <f>+$AC904*BG904</f>
        <v>0</v>
      </c>
      <c r="AI904" s="5">
        <f>+$AC904*BH904</f>
        <v>0</v>
      </c>
      <c r="AJ904" s="5">
        <f>+$AC904*BI904</f>
        <v>0</v>
      </c>
      <c r="AK904" s="5">
        <f>+$AC904*BJ904</f>
        <v>0</v>
      </c>
      <c r="AL904" s="5">
        <f>+$AC904*BK904</f>
        <v>0</v>
      </c>
      <c r="AM904" s="5">
        <f>+$AC904*BL904</f>
        <v>0</v>
      </c>
      <c r="AN904" s="5">
        <f>+$AC904*BM904</f>
        <v>0</v>
      </c>
      <c r="AO904" s="5">
        <f>+$AC904*BN904</f>
        <v>0</v>
      </c>
      <c r="AP904" s="5">
        <f>+AC904+P904+C904</f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2">
        <v>8.9181565948742242E-2</v>
      </c>
      <c r="BD904" s="2">
        <v>0.10665277883445198</v>
      </c>
      <c r="BE904" s="2">
        <v>9.438849084854764E-2</v>
      </c>
      <c r="BF904" s="2">
        <v>7.149564986855049E-2</v>
      </c>
      <c r="BG904" s="2">
        <v>0.10368571810536763</v>
      </c>
      <c r="BH904" s="2">
        <v>8.4970330952544637E-2</v>
      </c>
      <c r="BI904" s="2">
        <v>8.4593878877262704E-2</v>
      </c>
      <c r="BJ904" s="2">
        <v>5.7447105462779965E-2</v>
      </c>
      <c r="BK904" s="2">
        <v>8.5153852345557474E-2</v>
      </c>
      <c r="BL904" s="2">
        <v>7.4158058913035174E-2</v>
      </c>
      <c r="BM904" s="2">
        <v>7.5718189192107169E-2</v>
      </c>
      <c r="BN904" s="2">
        <v>7.3955559365675619E-2</v>
      </c>
    </row>
    <row r="905" spans="1:66" x14ac:dyDescent="0.25">
      <c r="A905" s="8">
        <v>6711</v>
      </c>
      <c r="B905" s="8" t="s">
        <v>91</v>
      </c>
      <c r="C905" s="5">
        <v>0</v>
      </c>
      <c r="D905" s="5">
        <f>+$C905*BC905</f>
        <v>0</v>
      </c>
      <c r="E905" s="5">
        <f>+$C905*BD905</f>
        <v>0</v>
      </c>
      <c r="F905" s="5">
        <f>+$C905*BE905</f>
        <v>0</v>
      </c>
      <c r="G905" s="5">
        <f>+$C905*BF905</f>
        <v>0</v>
      </c>
      <c r="H905" s="5">
        <f>+$C905*BG905</f>
        <v>0</v>
      </c>
      <c r="I905" s="5">
        <f>+$C905*BH905</f>
        <v>0</v>
      </c>
      <c r="J905" s="5">
        <f>+$C905*BI905</f>
        <v>0</v>
      </c>
      <c r="K905" s="5">
        <f>+$C905*BJ905</f>
        <v>0</v>
      </c>
      <c r="L905" s="5">
        <f>+$C905*BK905</f>
        <v>0</v>
      </c>
      <c r="M905" s="5">
        <f>+$C905*BL905</f>
        <v>0</v>
      </c>
      <c r="N905" s="5">
        <f>+$C905*BM905</f>
        <v>0</v>
      </c>
      <c r="O905" s="5">
        <f>+$C905*BN905</f>
        <v>0</v>
      </c>
      <c r="P905" s="5">
        <v>0</v>
      </c>
      <c r="Q905" s="5">
        <f>+$P905*BC905</f>
        <v>0</v>
      </c>
      <c r="R905" s="5">
        <f>+$P905*BD905</f>
        <v>0</v>
      </c>
      <c r="S905" s="5">
        <f>+$P905*BE905</f>
        <v>0</v>
      </c>
      <c r="T905" s="5">
        <f>+$P905*BF905</f>
        <v>0</v>
      </c>
      <c r="U905" s="5">
        <f>+$P905*BG905</f>
        <v>0</v>
      </c>
      <c r="V905" s="5">
        <f>+$P905*BH905</f>
        <v>0</v>
      </c>
      <c r="W905" s="5">
        <f>+$P905*BI905</f>
        <v>0</v>
      </c>
      <c r="X905" s="5">
        <f>+$P905*BJ905</f>
        <v>0</v>
      </c>
      <c r="Y905" s="5">
        <f>+$P905*BK905</f>
        <v>0</v>
      </c>
      <c r="Z905" s="5">
        <f>+$P905*BL905</f>
        <v>0</v>
      </c>
      <c r="AA905" s="5">
        <f>+$P905*BM905</f>
        <v>0</v>
      </c>
      <c r="AB905" s="5">
        <f>+$P905*BN905</f>
        <v>0</v>
      </c>
      <c r="AC905" s="5">
        <v>0</v>
      </c>
      <c r="AD905" s="5">
        <f>+$AC905*BC905</f>
        <v>0</v>
      </c>
      <c r="AE905" s="5">
        <f>+$AC905*BD905</f>
        <v>0</v>
      </c>
      <c r="AF905" s="5">
        <f>+$AC905*BE905</f>
        <v>0</v>
      </c>
      <c r="AG905" s="5">
        <f>+$AC905*BF905</f>
        <v>0</v>
      </c>
      <c r="AH905" s="5">
        <f>+$AC905*BG905</f>
        <v>0</v>
      </c>
      <c r="AI905" s="5">
        <f>+$AC905*BH905</f>
        <v>0</v>
      </c>
      <c r="AJ905" s="5">
        <f>+$AC905*BI905</f>
        <v>0</v>
      </c>
      <c r="AK905" s="5">
        <f>+$AC905*BJ905</f>
        <v>0</v>
      </c>
      <c r="AL905" s="5">
        <f>+$AC905*BK905</f>
        <v>0</v>
      </c>
      <c r="AM905" s="5">
        <f>+$AC905*BL905</f>
        <v>0</v>
      </c>
      <c r="AN905" s="5">
        <f>+$AC905*BM905</f>
        <v>0</v>
      </c>
      <c r="AO905" s="5">
        <f>+$AC905*BN905</f>
        <v>0</v>
      </c>
      <c r="AP905" s="5">
        <f>+AC905+P905+C905</f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2">
        <v>8.9181565948742242E-2</v>
      </c>
      <c r="BD905" s="2">
        <v>0.10665277883445198</v>
      </c>
      <c r="BE905" s="2">
        <v>9.438849084854764E-2</v>
      </c>
      <c r="BF905" s="2">
        <v>7.149564986855049E-2</v>
      </c>
      <c r="BG905" s="2">
        <v>0.10368571810536763</v>
      </c>
      <c r="BH905" s="2">
        <v>8.4970330952544637E-2</v>
      </c>
      <c r="BI905" s="2">
        <v>8.4593878877262704E-2</v>
      </c>
      <c r="BJ905" s="2">
        <v>5.7447105462779965E-2</v>
      </c>
      <c r="BK905" s="2">
        <v>8.5153852345557474E-2</v>
      </c>
      <c r="BL905" s="2">
        <v>7.4158058913035174E-2</v>
      </c>
      <c r="BM905" s="2">
        <v>7.5718189192107169E-2</v>
      </c>
      <c r="BN905" s="2">
        <v>7.3955559365675619E-2</v>
      </c>
    </row>
    <row r="906" spans="1:66" x14ac:dyDescent="0.25">
      <c r="A906" s="8">
        <v>6712</v>
      </c>
      <c r="B906" s="8" t="s">
        <v>90</v>
      </c>
      <c r="C906" s="5">
        <v>0</v>
      </c>
      <c r="D906" s="5">
        <f>+$C906*BC906</f>
        <v>0</v>
      </c>
      <c r="E906" s="5">
        <f>+$C906*BD906</f>
        <v>0</v>
      </c>
      <c r="F906" s="5">
        <f>+$C906*BE906</f>
        <v>0</v>
      </c>
      <c r="G906" s="5">
        <f>+$C906*BF906</f>
        <v>0</v>
      </c>
      <c r="H906" s="5">
        <f>+$C906*BG906</f>
        <v>0</v>
      </c>
      <c r="I906" s="5">
        <f>+$C906*BH906</f>
        <v>0</v>
      </c>
      <c r="J906" s="5">
        <f>+$C906*BI906</f>
        <v>0</v>
      </c>
      <c r="K906" s="5">
        <f>+$C906*BJ906</f>
        <v>0</v>
      </c>
      <c r="L906" s="5">
        <f>+$C906*BK906</f>
        <v>0</v>
      </c>
      <c r="M906" s="5">
        <f>+$C906*BL906</f>
        <v>0</v>
      </c>
      <c r="N906" s="5">
        <f>+$C906*BM906</f>
        <v>0</v>
      </c>
      <c r="O906" s="5">
        <f>+$C906*BN906</f>
        <v>0</v>
      </c>
      <c r="P906" s="5">
        <v>0</v>
      </c>
      <c r="Q906" s="5">
        <f>+$P906*BC906</f>
        <v>0</v>
      </c>
      <c r="R906" s="5">
        <f>+$P906*BD906</f>
        <v>0</v>
      </c>
      <c r="S906" s="5">
        <f>+$P906*BE906</f>
        <v>0</v>
      </c>
      <c r="T906" s="5">
        <f>+$P906*BF906</f>
        <v>0</v>
      </c>
      <c r="U906" s="5">
        <f>+$P906*BG906</f>
        <v>0</v>
      </c>
      <c r="V906" s="5">
        <f>+$P906*BH906</f>
        <v>0</v>
      </c>
      <c r="W906" s="5">
        <f>+$P906*BI906</f>
        <v>0</v>
      </c>
      <c r="X906" s="5">
        <f>+$P906*BJ906</f>
        <v>0</v>
      </c>
      <c r="Y906" s="5">
        <f>+$P906*BK906</f>
        <v>0</v>
      </c>
      <c r="Z906" s="5">
        <f>+$P906*BL906</f>
        <v>0</v>
      </c>
      <c r="AA906" s="5">
        <f>+$P906*BM906</f>
        <v>0</v>
      </c>
      <c r="AB906" s="5">
        <f>+$P906*BN906</f>
        <v>0</v>
      </c>
      <c r="AC906" s="5">
        <v>0</v>
      </c>
      <c r="AD906" s="5">
        <f>+$AC906*BC906</f>
        <v>0</v>
      </c>
      <c r="AE906" s="5">
        <f>+$AC906*BD906</f>
        <v>0</v>
      </c>
      <c r="AF906" s="5">
        <f>+$AC906*BE906</f>
        <v>0</v>
      </c>
      <c r="AG906" s="5">
        <f>+$AC906*BF906</f>
        <v>0</v>
      </c>
      <c r="AH906" s="5">
        <f>+$AC906*BG906</f>
        <v>0</v>
      </c>
      <c r="AI906" s="5">
        <f>+$AC906*BH906</f>
        <v>0</v>
      </c>
      <c r="AJ906" s="5">
        <f>+$AC906*BI906</f>
        <v>0</v>
      </c>
      <c r="AK906" s="5">
        <f>+$AC906*BJ906</f>
        <v>0</v>
      </c>
      <c r="AL906" s="5">
        <f>+$AC906*BK906</f>
        <v>0</v>
      </c>
      <c r="AM906" s="5">
        <f>+$AC906*BL906</f>
        <v>0</v>
      </c>
      <c r="AN906" s="5">
        <f>+$AC906*BM906</f>
        <v>0</v>
      </c>
      <c r="AO906" s="5">
        <f>+$AC906*BN906</f>
        <v>0</v>
      </c>
      <c r="AP906" s="5">
        <f>+AC906+P906+C906</f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2">
        <v>8.9181565948742242E-2</v>
      </c>
      <c r="BD906" s="2">
        <v>0.10665277883445198</v>
      </c>
      <c r="BE906" s="2">
        <v>9.438849084854764E-2</v>
      </c>
      <c r="BF906" s="2">
        <v>7.149564986855049E-2</v>
      </c>
      <c r="BG906" s="2">
        <v>0.10368571810536763</v>
      </c>
      <c r="BH906" s="2">
        <v>8.4970330952544637E-2</v>
      </c>
      <c r="BI906" s="2">
        <v>8.4593878877262704E-2</v>
      </c>
      <c r="BJ906" s="2">
        <v>5.7447105462779965E-2</v>
      </c>
      <c r="BK906" s="2">
        <v>8.5153852345557474E-2</v>
      </c>
      <c r="BL906" s="2">
        <v>7.4158058913035174E-2</v>
      </c>
      <c r="BM906" s="2">
        <v>7.5718189192107169E-2</v>
      </c>
      <c r="BN906" s="2">
        <v>7.3955559365675619E-2</v>
      </c>
    </row>
    <row r="907" spans="1:66" x14ac:dyDescent="0.25">
      <c r="A907" s="8">
        <v>6715</v>
      </c>
      <c r="B907" s="8" t="s">
        <v>89</v>
      </c>
      <c r="C907" s="5">
        <v>0</v>
      </c>
      <c r="D907" s="5">
        <f>+$C907*BC907</f>
        <v>0</v>
      </c>
      <c r="E907" s="5">
        <f>+$C907*BD907</f>
        <v>0</v>
      </c>
      <c r="F907" s="5">
        <f>+$C907*BE907</f>
        <v>0</v>
      </c>
      <c r="G907" s="5">
        <f>+$C907*BF907</f>
        <v>0</v>
      </c>
      <c r="H907" s="5">
        <f>+$C907*BG907</f>
        <v>0</v>
      </c>
      <c r="I907" s="5">
        <f>+$C907*BH907</f>
        <v>0</v>
      </c>
      <c r="J907" s="5">
        <f>+$C907*BI907</f>
        <v>0</v>
      </c>
      <c r="K907" s="5">
        <f>+$C907*BJ907</f>
        <v>0</v>
      </c>
      <c r="L907" s="5">
        <f>+$C907*BK907</f>
        <v>0</v>
      </c>
      <c r="M907" s="5">
        <f>+$C907*BL907</f>
        <v>0</v>
      </c>
      <c r="N907" s="5">
        <f>+$C907*BM907</f>
        <v>0</v>
      </c>
      <c r="O907" s="5">
        <f>+$C907*BN907</f>
        <v>0</v>
      </c>
      <c r="P907" s="5">
        <v>0</v>
      </c>
      <c r="Q907" s="5">
        <f>+$P907*BC907</f>
        <v>0</v>
      </c>
      <c r="R907" s="5">
        <f>+$P907*BD907</f>
        <v>0</v>
      </c>
      <c r="S907" s="5">
        <f>+$P907*BE907</f>
        <v>0</v>
      </c>
      <c r="T907" s="5">
        <f>+$P907*BF907</f>
        <v>0</v>
      </c>
      <c r="U907" s="5">
        <f>+$P907*BG907</f>
        <v>0</v>
      </c>
      <c r="V907" s="5">
        <f>+$P907*BH907</f>
        <v>0</v>
      </c>
      <c r="W907" s="5">
        <f>+$P907*BI907</f>
        <v>0</v>
      </c>
      <c r="X907" s="5">
        <f>+$P907*BJ907</f>
        <v>0</v>
      </c>
      <c r="Y907" s="5">
        <f>+$P907*BK907</f>
        <v>0</v>
      </c>
      <c r="Z907" s="5">
        <f>+$P907*BL907</f>
        <v>0</v>
      </c>
      <c r="AA907" s="5">
        <f>+$P907*BM907</f>
        <v>0</v>
      </c>
      <c r="AB907" s="5">
        <f>+$P907*BN907</f>
        <v>0</v>
      </c>
      <c r="AC907" s="5">
        <v>0</v>
      </c>
      <c r="AD907" s="5">
        <f>+$AC907*BC907</f>
        <v>0</v>
      </c>
      <c r="AE907" s="5">
        <f>+$AC907*BD907</f>
        <v>0</v>
      </c>
      <c r="AF907" s="5">
        <f>+$AC907*BE907</f>
        <v>0</v>
      </c>
      <c r="AG907" s="5">
        <f>+$AC907*BF907</f>
        <v>0</v>
      </c>
      <c r="AH907" s="5">
        <f>+$AC907*BG907</f>
        <v>0</v>
      </c>
      <c r="AI907" s="5">
        <f>+$AC907*BH907</f>
        <v>0</v>
      </c>
      <c r="AJ907" s="5">
        <f>+$AC907*BI907</f>
        <v>0</v>
      </c>
      <c r="AK907" s="5">
        <f>+$AC907*BJ907</f>
        <v>0</v>
      </c>
      <c r="AL907" s="5">
        <f>+$AC907*BK907</f>
        <v>0</v>
      </c>
      <c r="AM907" s="5">
        <f>+$AC907*BL907</f>
        <v>0</v>
      </c>
      <c r="AN907" s="5">
        <f>+$AC907*BM907</f>
        <v>0</v>
      </c>
      <c r="AO907" s="5">
        <f>+$AC907*BN907</f>
        <v>0</v>
      </c>
      <c r="AP907" s="5">
        <f>+AC907+P907+C907</f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2">
        <v>8.9181565948742242E-2</v>
      </c>
      <c r="BD907" s="2">
        <v>0.10665277883445198</v>
      </c>
      <c r="BE907" s="2">
        <v>9.438849084854764E-2</v>
      </c>
      <c r="BF907" s="2">
        <v>7.149564986855049E-2</v>
      </c>
      <c r="BG907" s="2">
        <v>0.10368571810536763</v>
      </c>
      <c r="BH907" s="2">
        <v>8.4970330952544637E-2</v>
      </c>
      <c r="BI907" s="2">
        <v>8.4593878877262704E-2</v>
      </c>
      <c r="BJ907" s="2">
        <v>5.7447105462779965E-2</v>
      </c>
      <c r="BK907" s="2">
        <v>8.5153852345557474E-2</v>
      </c>
      <c r="BL907" s="2">
        <v>7.4158058913035174E-2</v>
      </c>
      <c r="BM907" s="2">
        <v>7.5718189192107169E-2</v>
      </c>
      <c r="BN907" s="2">
        <v>7.3955559365675619E-2</v>
      </c>
    </row>
    <row r="908" spans="1:66" x14ac:dyDescent="0.25">
      <c r="A908" s="8">
        <v>6718</v>
      </c>
      <c r="B908" s="8" t="s">
        <v>88</v>
      </c>
      <c r="C908" s="5">
        <v>0</v>
      </c>
      <c r="D908" s="5">
        <f>+$C908*BC908</f>
        <v>0</v>
      </c>
      <c r="E908" s="5">
        <f>+$C908*BD908</f>
        <v>0</v>
      </c>
      <c r="F908" s="5">
        <f>+$C908*BE908</f>
        <v>0</v>
      </c>
      <c r="G908" s="5">
        <f>+$C908*BF908</f>
        <v>0</v>
      </c>
      <c r="H908" s="5">
        <f>+$C908*BG908</f>
        <v>0</v>
      </c>
      <c r="I908" s="5">
        <f>+$C908*BH908</f>
        <v>0</v>
      </c>
      <c r="J908" s="5">
        <f>+$C908*BI908</f>
        <v>0</v>
      </c>
      <c r="K908" s="5">
        <f>+$C908*BJ908</f>
        <v>0</v>
      </c>
      <c r="L908" s="5">
        <f>+$C908*BK908</f>
        <v>0</v>
      </c>
      <c r="M908" s="5">
        <f>+$C908*BL908</f>
        <v>0</v>
      </c>
      <c r="N908" s="5">
        <f>+$C908*BM908</f>
        <v>0</v>
      </c>
      <c r="O908" s="5">
        <f>+$C908*BN908</f>
        <v>0</v>
      </c>
      <c r="P908" s="5">
        <v>0</v>
      </c>
      <c r="Q908" s="5">
        <f>+$P908*BC908</f>
        <v>0</v>
      </c>
      <c r="R908" s="5">
        <f>+$P908*BD908</f>
        <v>0</v>
      </c>
      <c r="S908" s="5">
        <f>+$P908*BE908</f>
        <v>0</v>
      </c>
      <c r="T908" s="5">
        <f>+$P908*BF908</f>
        <v>0</v>
      </c>
      <c r="U908" s="5">
        <f>+$P908*BG908</f>
        <v>0</v>
      </c>
      <c r="V908" s="5">
        <f>+$P908*BH908</f>
        <v>0</v>
      </c>
      <c r="W908" s="5">
        <f>+$P908*BI908</f>
        <v>0</v>
      </c>
      <c r="X908" s="5">
        <f>+$P908*BJ908</f>
        <v>0</v>
      </c>
      <c r="Y908" s="5">
        <f>+$P908*BK908</f>
        <v>0</v>
      </c>
      <c r="Z908" s="5">
        <f>+$P908*BL908</f>
        <v>0</v>
      </c>
      <c r="AA908" s="5">
        <f>+$P908*BM908</f>
        <v>0</v>
      </c>
      <c r="AB908" s="5">
        <f>+$P908*BN908</f>
        <v>0</v>
      </c>
      <c r="AC908" s="5">
        <v>0</v>
      </c>
      <c r="AD908" s="5">
        <f>+$AC908*BC908</f>
        <v>0</v>
      </c>
      <c r="AE908" s="5">
        <f>+$AC908*BD908</f>
        <v>0</v>
      </c>
      <c r="AF908" s="5">
        <f>+$AC908*BE908</f>
        <v>0</v>
      </c>
      <c r="AG908" s="5">
        <f>+$AC908*BF908</f>
        <v>0</v>
      </c>
      <c r="AH908" s="5">
        <f>+$AC908*BG908</f>
        <v>0</v>
      </c>
      <c r="AI908" s="5">
        <f>+$AC908*BH908</f>
        <v>0</v>
      </c>
      <c r="AJ908" s="5">
        <f>+$AC908*BI908</f>
        <v>0</v>
      </c>
      <c r="AK908" s="5">
        <f>+$AC908*BJ908</f>
        <v>0</v>
      </c>
      <c r="AL908" s="5">
        <f>+$AC908*BK908</f>
        <v>0</v>
      </c>
      <c r="AM908" s="5">
        <f>+$AC908*BL908</f>
        <v>0</v>
      </c>
      <c r="AN908" s="5">
        <f>+$AC908*BM908</f>
        <v>0</v>
      </c>
      <c r="AO908" s="5">
        <f>+$AC908*BN908</f>
        <v>0</v>
      </c>
      <c r="AP908" s="5">
        <f>+AC908+P908+C908</f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2">
        <v>8.9181565948742242E-2</v>
      </c>
      <c r="BD908" s="2">
        <v>0.10665277883445198</v>
      </c>
      <c r="BE908" s="2">
        <v>9.438849084854764E-2</v>
      </c>
      <c r="BF908" s="2">
        <v>7.149564986855049E-2</v>
      </c>
      <c r="BG908" s="2">
        <v>0.10368571810536763</v>
      </c>
      <c r="BH908" s="2">
        <v>8.4970330952544637E-2</v>
      </c>
      <c r="BI908" s="2">
        <v>8.4593878877262704E-2</v>
      </c>
      <c r="BJ908" s="2">
        <v>5.7447105462779965E-2</v>
      </c>
      <c r="BK908" s="2">
        <v>8.5153852345557474E-2</v>
      </c>
      <c r="BL908" s="2">
        <v>7.4158058913035174E-2</v>
      </c>
      <c r="BM908" s="2">
        <v>7.5718189192107169E-2</v>
      </c>
      <c r="BN908" s="2">
        <v>7.3955559365675619E-2</v>
      </c>
    </row>
    <row r="909" spans="1:66" x14ac:dyDescent="0.25">
      <c r="A909" s="8">
        <v>6719</v>
      </c>
      <c r="B909" s="8" t="s">
        <v>87</v>
      </c>
      <c r="C909" s="5">
        <v>0</v>
      </c>
      <c r="D909" s="5">
        <f>+$C909*BC909</f>
        <v>0</v>
      </c>
      <c r="E909" s="5">
        <f>+$C909*BD909</f>
        <v>0</v>
      </c>
      <c r="F909" s="5">
        <f>+$C909*BE909</f>
        <v>0</v>
      </c>
      <c r="G909" s="5">
        <f>+$C909*BF909</f>
        <v>0</v>
      </c>
      <c r="H909" s="5">
        <f>+$C909*BG909</f>
        <v>0</v>
      </c>
      <c r="I909" s="5">
        <f>+$C909*BH909</f>
        <v>0</v>
      </c>
      <c r="J909" s="5">
        <f>+$C909*BI909</f>
        <v>0</v>
      </c>
      <c r="K909" s="5">
        <f>+$C909*BJ909</f>
        <v>0</v>
      </c>
      <c r="L909" s="5">
        <f>+$C909*BK909</f>
        <v>0</v>
      </c>
      <c r="M909" s="5">
        <f>+$C909*BL909</f>
        <v>0</v>
      </c>
      <c r="N909" s="5">
        <f>+$C909*BM909</f>
        <v>0</v>
      </c>
      <c r="O909" s="5">
        <f>+$C909*BN909</f>
        <v>0</v>
      </c>
      <c r="P909" s="5">
        <v>0</v>
      </c>
      <c r="Q909" s="5">
        <f>+$P909*BC909</f>
        <v>0</v>
      </c>
      <c r="R909" s="5">
        <f>+$P909*BD909</f>
        <v>0</v>
      </c>
      <c r="S909" s="5">
        <f>+$P909*BE909</f>
        <v>0</v>
      </c>
      <c r="T909" s="5">
        <f>+$P909*BF909</f>
        <v>0</v>
      </c>
      <c r="U909" s="5">
        <f>+$P909*BG909</f>
        <v>0</v>
      </c>
      <c r="V909" s="5">
        <f>+$P909*BH909</f>
        <v>0</v>
      </c>
      <c r="W909" s="5">
        <f>+$P909*BI909</f>
        <v>0</v>
      </c>
      <c r="X909" s="5">
        <f>+$P909*BJ909</f>
        <v>0</v>
      </c>
      <c r="Y909" s="5">
        <f>+$P909*BK909</f>
        <v>0</v>
      </c>
      <c r="Z909" s="5">
        <f>+$P909*BL909</f>
        <v>0</v>
      </c>
      <c r="AA909" s="5">
        <f>+$P909*BM909</f>
        <v>0</v>
      </c>
      <c r="AB909" s="5">
        <f>+$P909*BN909</f>
        <v>0</v>
      </c>
      <c r="AC909" s="5">
        <v>0</v>
      </c>
      <c r="AD909" s="5">
        <f>+$AC909*BC909</f>
        <v>0</v>
      </c>
      <c r="AE909" s="5">
        <f>+$AC909*BD909</f>
        <v>0</v>
      </c>
      <c r="AF909" s="5">
        <f>+$AC909*BE909</f>
        <v>0</v>
      </c>
      <c r="AG909" s="5">
        <f>+$AC909*BF909</f>
        <v>0</v>
      </c>
      <c r="AH909" s="5">
        <f>+$AC909*BG909</f>
        <v>0</v>
      </c>
      <c r="AI909" s="5">
        <f>+$AC909*BH909</f>
        <v>0</v>
      </c>
      <c r="AJ909" s="5">
        <f>+$AC909*BI909</f>
        <v>0</v>
      </c>
      <c r="AK909" s="5">
        <f>+$AC909*BJ909</f>
        <v>0</v>
      </c>
      <c r="AL909" s="5">
        <f>+$AC909*BK909</f>
        <v>0</v>
      </c>
      <c r="AM909" s="5">
        <f>+$AC909*BL909</f>
        <v>0</v>
      </c>
      <c r="AN909" s="5">
        <f>+$AC909*BM909</f>
        <v>0</v>
      </c>
      <c r="AO909" s="5">
        <f>+$AC909*BN909</f>
        <v>0</v>
      </c>
      <c r="AP909" s="5">
        <f>+AC909+P909+C909</f>
        <v>0</v>
      </c>
      <c r="AQ909" s="1">
        <v>6.0037030196693282</v>
      </c>
      <c r="AR909" s="1">
        <v>7.1798650711353087</v>
      </c>
      <c r="AS909" s="1">
        <v>6.3542332039242275</v>
      </c>
      <c r="AT909" s="1">
        <v>4.8130871491508191</v>
      </c>
      <c r="AU909" s="1">
        <v>6.9801225428533495</v>
      </c>
      <c r="AV909" s="1">
        <v>5.7202026797253058</v>
      </c>
      <c r="AW909" s="1">
        <v>5.694859926017326</v>
      </c>
      <c r="AX909" s="1">
        <v>3.8673391397543475</v>
      </c>
      <c r="AY909" s="1">
        <v>5.7325573399029297</v>
      </c>
      <c r="AZ909" s="1">
        <v>4.9923205260255283</v>
      </c>
      <c r="BA909" s="1">
        <v>5.0973484964126552</v>
      </c>
      <c r="BB909" s="1">
        <v>4.978688256497283</v>
      </c>
      <c r="BC909" s="2">
        <v>8.9181565948742242E-2</v>
      </c>
      <c r="BD909" s="2">
        <v>0.10665277883445198</v>
      </c>
      <c r="BE909" s="2">
        <v>9.438849084854764E-2</v>
      </c>
      <c r="BF909" s="2">
        <v>7.149564986855049E-2</v>
      </c>
      <c r="BG909" s="2">
        <v>0.10368571810536763</v>
      </c>
      <c r="BH909" s="2">
        <v>8.4970330952544637E-2</v>
      </c>
      <c r="BI909" s="2">
        <v>8.4593878877262704E-2</v>
      </c>
      <c r="BJ909" s="2">
        <v>5.7447105462779965E-2</v>
      </c>
      <c r="BK909" s="2">
        <v>8.5153852345557474E-2</v>
      </c>
      <c r="BL909" s="2">
        <v>7.4158058913035174E-2</v>
      </c>
      <c r="BM909" s="2">
        <v>7.5718189192107169E-2</v>
      </c>
      <c r="BN909" s="2">
        <v>7.3955559365675619E-2</v>
      </c>
    </row>
    <row r="910" spans="1:66" x14ac:dyDescent="0.25">
      <c r="A910" s="8">
        <v>6725</v>
      </c>
      <c r="B910" s="8" t="s">
        <v>86</v>
      </c>
      <c r="C910" s="5">
        <v>0</v>
      </c>
      <c r="D910" s="5">
        <f>+$C910*BC910</f>
        <v>0</v>
      </c>
      <c r="E910" s="5">
        <f>+$C910*BD910</f>
        <v>0</v>
      </c>
      <c r="F910" s="5">
        <f>+$C910*BE910</f>
        <v>0</v>
      </c>
      <c r="G910" s="5">
        <f>+$C910*BF910</f>
        <v>0</v>
      </c>
      <c r="H910" s="5">
        <f>+$C910*BG910</f>
        <v>0</v>
      </c>
      <c r="I910" s="5">
        <f>+$C910*BH910</f>
        <v>0</v>
      </c>
      <c r="J910" s="5">
        <f>+$C910*BI910</f>
        <v>0</v>
      </c>
      <c r="K910" s="5">
        <f>+$C910*BJ910</f>
        <v>0</v>
      </c>
      <c r="L910" s="5">
        <f>+$C910*BK910</f>
        <v>0</v>
      </c>
      <c r="M910" s="5">
        <f>+$C910*BL910</f>
        <v>0</v>
      </c>
      <c r="N910" s="5">
        <f>+$C910*BM910</f>
        <v>0</v>
      </c>
      <c r="O910" s="5">
        <f>+$C910*BN910</f>
        <v>0</v>
      </c>
      <c r="P910" s="5">
        <v>0</v>
      </c>
      <c r="Q910" s="5">
        <f>+$P910*BC910</f>
        <v>0</v>
      </c>
      <c r="R910" s="5">
        <f>+$P910*BD910</f>
        <v>0</v>
      </c>
      <c r="S910" s="5">
        <f>+$P910*BE910</f>
        <v>0</v>
      </c>
      <c r="T910" s="5">
        <f>+$P910*BF910</f>
        <v>0</v>
      </c>
      <c r="U910" s="5">
        <f>+$P910*BG910</f>
        <v>0</v>
      </c>
      <c r="V910" s="5">
        <f>+$P910*BH910</f>
        <v>0</v>
      </c>
      <c r="W910" s="5">
        <f>+$P910*BI910</f>
        <v>0</v>
      </c>
      <c r="X910" s="5">
        <f>+$P910*BJ910</f>
        <v>0</v>
      </c>
      <c r="Y910" s="5">
        <f>+$P910*BK910</f>
        <v>0</v>
      </c>
      <c r="Z910" s="5">
        <f>+$P910*BL910</f>
        <v>0</v>
      </c>
      <c r="AA910" s="5">
        <f>+$P910*BM910</f>
        <v>0</v>
      </c>
      <c r="AB910" s="5">
        <f>+$P910*BN910</f>
        <v>0</v>
      </c>
      <c r="AC910" s="5">
        <v>0</v>
      </c>
      <c r="AD910" s="5">
        <f>+$AC910*BC910</f>
        <v>0</v>
      </c>
      <c r="AE910" s="5">
        <f>+$AC910*BD910</f>
        <v>0</v>
      </c>
      <c r="AF910" s="5">
        <f>+$AC910*BE910</f>
        <v>0</v>
      </c>
      <c r="AG910" s="5">
        <f>+$AC910*BF910</f>
        <v>0</v>
      </c>
      <c r="AH910" s="5">
        <f>+$AC910*BG910</f>
        <v>0</v>
      </c>
      <c r="AI910" s="5">
        <f>+$AC910*BH910</f>
        <v>0</v>
      </c>
      <c r="AJ910" s="5">
        <f>+$AC910*BI910</f>
        <v>0</v>
      </c>
      <c r="AK910" s="5">
        <f>+$AC910*BJ910</f>
        <v>0</v>
      </c>
      <c r="AL910" s="5">
        <f>+$AC910*BK910</f>
        <v>0</v>
      </c>
      <c r="AM910" s="5">
        <f>+$AC910*BL910</f>
        <v>0</v>
      </c>
      <c r="AN910" s="5">
        <f>+$AC910*BM910</f>
        <v>0</v>
      </c>
      <c r="AO910" s="5">
        <f>+$AC910*BN910</f>
        <v>0</v>
      </c>
      <c r="AP910" s="5">
        <f>+AC910+P910+C910</f>
        <v>0</v>
      </c>
      <c r="AQ910" s="1">
        <v>0.8828975028925482</v>
      </c>
      <c r="AR910" s="1">
        <v>1.0558625104610746</v>
      </c>
      <c r="AS910" s="1">
        <v>0.93444605940062164</v>
      </c>
      <c r="AT910" s="1">
        <v>0.70780693369864989</v>
      </c>
      <c r="AU910" s="1">
        <v>1.0264886092431396</v>
      </c>
      <c r="AV910" s="1">
        <v>0.84120627643019197</v>
      </c>
      <c r="AW910" s="1">
        <v>0.8374794008849008</v>
      </c>
      <c r="AX910" s="1">
        <v>0.56872634408152167</v>
      </c>
      <c r="AY910" s="1">
        <v>0.84302313822101904</v>
      </c>
      <c r="AZ910" s="1">
        <v>0.73416478323904821</v>
      </c>
      <c r="BA910" s="1">
        <v>0.749610073001861</v>
      </c>
      <c r="BB910" s="1">
        <v>0.73216003772018867</v>
      </c>
      <c r="BC910" s="2">
        <v>8.9181565948742242E-2</v>
      </c>
      <c r="BD910" s="2">
        <v>0.10665277883445198</v>
      </c>
      <c r="BE910" s="2">
        <v>9.438849084854764E-2</v>
      </c>
      <c r="BF910" s="2">
        <v>7.149564986855049E-2</v>
      </c>
      <c r="BG910" s="2">
        <v>0.10368571810536763</v>
      </c>
      <c r="BH910" s="2">
        <v>8.4970330952544637E-2</v>
      </c>
      <c r="BI910" s="2">
        <v>8.4593878877262704E-2</v>
      </c>
      <c r="BJ910" s="2">
        <v>5.7447105462779965E-2</v>
      </c>
      <c r="BK910" s="2">
        <v>8.5153852345557474E-2</v>
      </c>
      <c r="BL910" s="2">
        <v>7.4158058913035174E-2</v>
      </c>
      <c r="BM910" s="2">
        <v>7.5718189192107169E-2</v>
      </c>
      <c r="BN910" s="2">
        <v>7.3955559365675619E-2</v>
      </c>
    </row>
    <row r="911" spans="1:66" x14ac:dyDescent="0.25">
      <c r="A911" s="8">
        <v>6831</v>
      </c>
      <c r="B911" s="8" t="s">
        <v>85</v>
      </c>
      <c r="C911" s="5">
        <v>0</v>
      </c>
      <c r="D911" s="5">
        <f>+$C911*BC911</f>
        <v>0</v>
      </c>
      <c r="E911" s="5">
        <f>+$C911*BD911</f>
        <v>0</v>
      </c>
      <c r="F911" s="5">
        <f>+$C911*BE911</f>
        <v>0</v>
      </c>
      <c r="G911" s="5">
        <f>+$C911*BF911</f>
        <v>0</v>
      </c>
      <c r="H911" s="5">
        <f>+$C911*BG911</f>
        <v>0</v>
      </c>
      <c r="I911" s="5">
        <f>+$C911*BH911</f>
        <v>0</v>
      </c>
      <c r="J911" s="5">
        <f>+$C911*BI911</f>
        <v>0</v>
      </c>
      <c r="K911" s="5">
        <f>+$C911*BJ911</f>
        <v>0</v>
      </c>
      <c r="L911" s="5">
        <f>+$C911*BK911</f>
        <v>0</v>
      </c>
      <c r="M911" s="5">
        <f>+$C911*BL911</f>
        <v>0</v>
      </c>
      <c r="N911" s="5">
        <f>+$C911*BM911</f>
        <v>0</v>
      </c>
      <c r="O911" s="5">
        <f>+$C911*BN911</f>
        <v>0</v>
      </c>
      <c r="P911" s="5">
        <v>0</v>
      </c>
      <c r="Q911" s="5">
        <f>+$P911*BC911</f>
        <v>0</v>
      </c>
      <c r="R911" s="5">
        <f>+$P911*BD911</f>
        <v>0</v>
      </c>
      <c r="S911" s="5">
        <f>+$P911*BE911</f>
        <v>0</v>
      </c>
      <c r="T911" s="5">
        <f>+$P911*BF911</f>
        <v>0</v>
      </c>
      <c r="U911" s="5">
        <f>+$P911*BG911</f>
        <v>0</v>
      </c>
      <c r="V911" s="5">
        <f>+$P911*BH911</f>
        <v>0</v>
      </c>
      <c r="W911" s="5">
        <f>+$P911*BI911</f>
        <v>0</v>
      </c>
      <c r="X911" s="5">
        <f>+$P911*BJ911</f>
        <v>0</v>
      </c>
      <c r="Y911" s="5">
        <f>+$P911*BK911</f>
        <v>0</v>
      </c>
      <c r="Z911" s="5">
        <f>+$P911*BL911</f>
        <v>0</v>
      </c>
      <c r="AA911" s="5">
        <f>+$P911*BM911</f>
        <v>0</v>
      </c>
      <c r="AB911" s="5">
        <f>+$P911*BN911</f>
        <v>0</v>
      </c>
      <c r="AC911" s="5">
        <v>0</v>
      </c>
      <c r="AD911" s="5">
        <f>+$AC911*BC911</f>
        <v>0</v>
      </c>
      <c r="AE911" s="5">
        <f>+$AC911*BD911</f>
        <v>0</v>
      </c>
      <c r="AF911" s="5">
        <f>+$AC911*BE911</f>
        <v>0</v>
      </c>
      <c r="AG911" s="5">
        <f>+$AC911*BF911</f>
        <v>0</v>
      </c>
      <c r="AH911" s="5">
        <f>+$AC911*BG911</f>
        <v>0</v>
      </c>
      <c r="AI911" s="5">
        <f>+$AC911*BH911</f>
        <v>0</v>
      </c>
      <c r="AJ911" s="5">
        <f>+$AC911*BI911</f>
        <v>0</v>
      </c>
      <c r="AK911" s="5">
        <f>+$AC911*BJ911</f>
        <v>0</v>
      </c>
      <c r="AL911" s="5">
        <f>+$AC911*BK911</f>
        <v>0</v>
      </c>
      <c r="AM911" s="5">
        <f>+$AC911*BL911</f>
        <v>0</v>
      </c>
      <c r="AN911" s="5">
        <f>+$AC911*BM911</f>
        <v>0</v>
      </c>
      <c r="AO911" s="5">
        <f>+$AC911*BN911</f>
        <v>0</v>
      </c>
      <c r="AP911" s="5">
        <f>+AC911+P911+C911</f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2">
        <v>8.9181565948742242E-2</v>
      </c>
      <c r="BD911" s="2">
        <v>0.10665277883445198</v>
      </c>
      <c r="BE911" s="2">
        <v>9.438849084854764E-2</v>
      </c>
      <c r="BF911" s="2">
        <v>7.149564986855049E-2</v>
      </c>
      <c r="BG911" s="2">
        <v>0.10368571810536763</v>
      </c>
      <c r="BH911" s="2">
        <v>8.4970330952544637E-2</v>
      </c>
      <c r="BI911" s="2">
        <v>8.4593878877262704E-2</v>
      </c>
      <c r="BJ911" s="2">
        <v>5.7447105462779965E-2</v>
      </c>
      <c r="BK911" s="2">
        <v>8.5153852345557474E-2</v>
      </c>
      <c r="BL911" s="2">
        <v>7.4158058913035174E-2</v>
      </c>
      <c r="BM911" s="2">
        <v>7.5718189192107169E-2</v>
      </c>
      <c r="BN911" s="2">
        <v>7.3955559365675619E-2</v>
      </c>
    </row>
    <row r="912" spans="1:66" x14ac:dyDescent="0.25">
      <c r="A912" s="8">
        <v>6835</v>
      </c>
      <c r="B912" s="8" t="s">
        <v>84</v>
      </c>
      <c r="C912" s="5">
        <v>0</v>
      </c>
      <c r="D912" s="5">
        <f>+$C912*BC912</f>
        <v>0</v>
      </c>
      <c r="E912" s="5">
        <f>+$C912*BD912</f>
        <v>0</v>
      </c>
      <c r="F912" s="5">
        <f>+$C912*BE912</f>
        <v>0</v>
      </c>
      <c r="G912" s="5">
        <f>+$C912*BF912</f>
        <v>0</v>
      </c>
      <c r="H912" s="5">
        <f>+$C912*BG912</f>
        <v>0</v>
      </c>
      <c r="I912" s="5">
        <f>+$C912*BH912</f>
        <v>0</v>
      </c>
      <c r="J912" s="5">
        <f>+$C912*BI912</f>
        <v>0</v>
      </c>
      <c r="K912" s="5">
        <f>+$C912*BJ912</f>
        <v>0</v>
      </c>
      <c r="L912" s="5">
        <f>+$C912*BK912</f>
        <v>0</v>
      </c>
      <c r="M912" s="5">
        <f>+$C912*BL912</f>
        <v>0</v>
      </c>
      <c r="N912" s="5">
        <f>+$C912*BM912</f>
        <v>0</v>
      </c>
      <c r="O912" s="5">
        <f>+$C912*BN912</f>
        <v>0</v>
      </c>
      <c r="P912" s="5">
        <v>0</v>
      </c>
      <c r="Q912" s="5">
        <f>+$P912*BC912</f>
        <v>0</v>
      </c>
      <c r="R912" s="5">
        <f>+$P912*BD912</f>
        <v>0</v>
      </c>
      <c r="S912" s="5">
        <f>+$P912*BE912</f>
        <v>0</v>
      </c>
      <c r="T912" s="5">
        <f>+$P912*BF912</f>
        <v>0</v>
      </c>
      <c r="U912" s="5">
        <f>+$P912*BG912</f>
        <v>0</v>
      </c>
      <c r="V912" s="5">
        <f>+$P912*BH912</f>
        <v>0</v>
      </c>
      <c r="W912" s="5">
        <f>+$P912*BI912</f>
        <v>0</v>
      </c>
      <c r="X912" s="5">
        <f>+$P912*BJ912</f>
        <v>0</v>
      </c>
      <c r="Y912" s="5">
        <f>+$P912*BK912</f>
        <v>0</v>
      </c>
      <c r="Z912" s="5">
        <f>+$P912*BL912</f>
        <v>0</v>
      </c>
      <c r="AA912" s="5">
        <f>+$P912*BM912</f>
        <v>0</v>
      </c>
      <c r="AB912" s="5">
        <f>+$P912*BN912</f>
        <v>0</v>
      </c>
      <c r="AC912" s="5">
        <v>0</v>
      </c>
      <c r="AD912" s="5">
        <f>+$AC912*BC912</f>
        <v>0</v>
      </c>
      <c r="AE912" s="5">
        <f>+$AC912*BD912</f>
        <v>0</v>
      </c>
      <c r="AF912" s="5">
        <f>+$AC912*BE912</f>
        <v>0</v>
      </c>
      <c r="AG912" s="5">
        <f>+$AC912*BF912</f>
        <v>0</v>
      </c>
      <c r="AH912" s="5">
        <f>+$AC912*BG912</f>
        <v>0</v>
      </c>
      <c r="AI912" s="5">
        <f>+$AC912*BH912</f>
        <v>0</v>
      </c>
      <c r="AJ912" s="5">
        <f>+$AC912*BI912</f>
        <v>0</v>
      </c>
      <c r="AK912" s="5">
        <f>+$AC912*BJ912</f>
        <v>0</v>
      </c>
      <c r="AL912" s="5">
        <f>+$AC912*BK912</f>
        <v>0</v>
      </c>
      <c r="AM912" s="5">
        <f>+$AC912*BL912</f>
        <v>0</v>
      </c>
      <c r="AN912" s="5">
        <f>+$AC912*BM912</f>
        <v>0</v>
      </c>
      <c r="AO912" s="5">
        <f>+$AC912*BN912</f>
        <v>0</v>
      </c>
      <c r="AP912" s="5">
        <f>+AC912+P912+C912</f>
        <v>0</v>
      </c>
      <c r="AQ912" s="1">
        <v>2.1581938959595623</v>
      </c>
      <c r="AR912" s="1">
        <v>2.5809972477937384</v>
      </c>
      <c r="AS912" s="1">
        <v>2.284201478534853</v>
      </c>
      <c r="AT912" s="1">
        <v>1.7301947268189222</v>
      </c>
      <c r="AU912" s="1">
        <v>2.5091943781498971</v>
      </c>
      <c r="AV912" s="1">
        <v>2.0562820090515803</v>
      </c>
      <c r="AW912" s="1">
        <v>2.0471718688297575</v>
      </c>
      <c r="AX912" s="1">
        <v>1.3902199521992753</v>
      </c>
      <c r="AY912" s="1">
        <v>2.0607232267624913</v>
      </c>
      <c r="AZ912" s="1">
        <v>1.7946250256954515</v>
      </c>
      <c r="BA912" s="1">
        <v>1.8323801784489937</v>
      </c>
      <c r="BB912" s="1">
        <v>1.7897245366493502</v>
      </c>
      <c r="BC912" s="2">
        <v>8.9181565948742242E-2</v>
      </c>
      <c r="BD912" s="2">
        <v>0.10665277883445198</v>
      </c>
      <c r="BE912" s="2">
        <v>9.438849084854764E-2</v>
      </c>
      <c r="BF912" s="2">
        <v>7.149564986855049E-2</v>
      </c>
      <c r="BG912" s="2">
        <v>0.10368571810536763</v>
      </c>
      <c r="BH912" s="2">
        <v>8.4970330952544637E-2</v>
      </c>
      <c r="BI912" s="2">
        <v>8.4593878877262704E-2</v>
      </c>
      <c r="BJ912" s="2">
        <v>5.7447105462779965E-2</v>
      </c>
      <c r="BK912" s="2">
        <v>8.5153852345557474E-2</v>
      </c>
      <c r="BL912" s="2">
        <v>7.4158058913035174E-2</v>
      </c>
      <c r="BM912" s="2">
        <v>7.5718189192107169E-2</v>
      </c>
      <c r="BN912" s="2">
        <v>7.3955559365675619E-2</v>
      </c>
    </row>
    <row r="913" spans="1:66" x14ac:dyDescent="0.25">
      <c r="A913" s="8">
        <v>6839</v>
      </c>
      <c r="B913" s="8" t="s">
        <v>83</v>
      </c>
      <c r="C913" s="5">
        <v>0</v>
      </c>
      <c r="D913" s="5">
        <f>+$C913*BC913</f>
        <v>0</v>
      </c>
      <c r="E913" s="5">
        <f>+$C913*BD913</f>
        <v>0</v>
      </c>
      <c r="F913" s="5">
        <f>+$C913*BE913</f>
        <v>0</v>
      </c>
      <c r="G913" s="5">
        <f>+$C913*BF913</f>
        <v>0</v>
      </c>
      <c r="H913" s="5">
        <f>+$C913*BG913</f>
        <v>0</v>
      </c>
      <c r="I913" s="5">
        <f>+$C913*BH913</f>
        <v>0</v>
      </c>
      <c r="J913" s="5">
        <f>+$C913*BI913</f>
        <v>0</v>
      </c>
      <c r="K913" s="5">
        <f>+$C913*BJ913</f>
        <v>0</v>
      </c>
      <c r="L913" s="5">
        <f>+$C913*BK913</f>
        <v>0</v>
      </c>
      <c r="M913" s="5">
        <f>+$C913*BL913</f>
        <v>0</v>
      </c>
      <c r="N913" s="5">
        <f>+$C913*BM913</f>
        <v>0</v>
      </c>
      <c r="O913" s="5">
        <f>+$C913*BN913</f>
        <v>0</v>
      </c>
      <c r="P913" s="5">
        <v>3000</v>
      </c>
      <c r="Q913" s="5">
        <f>+$P913*BC913</f>
        <v>267.54469784622671</v>
      </c>
      <c r="R913" s="5">
        <f>+$P913*BD913</f>
        <v>319.95833650335595</v>
      </c>
      <c r="S913" s="5">
        <f>+$P913*BE913</f>
        <v>283.1654725456429</v>
      </c>
      <c r="T913" s="5">
        <f>+$P913*BF913</f>
        <v>214.48694960565146</v>
      </c>
      <c r="U913" s="5">
        <f>+$P913*BG913</f>
        <v>311.05715431610287</v>
      </c>
      <c r="V913" s="5">
        <f>+$P913*BH913</f>
        <v>254.91099285763391</v>
      </c>
      <c r="W913" s="5">
        <f>+$P913*BI913</f>
        <v>253.7816366317881</v>
      </c>
      <c r="X913" s="5">
        <f>+$P913*BJ913</f>
        <v>172.34131638833989</v>
      </c>
      <c r="Y913" s="5">
        <f>+$P913*BK913</f>
        <v>255.46155703667242</v>
      </c>
      <c r="Z913" s="5">
        <f>+$P913*BL913</f>
        <v>222.47417673910553</v>
      </c>
      <c r="AA913" s="5">
        <f>+$P913*BM913</f>
        <v>227.15456757632151</v>
      </c>
      <c r="AB913" s="5">
        <f>+$P913*BN913</f>
        <v>221.86667809702686</v>
      </c>
      <c r="AC913" s="5">
        <v>0</v>
      </c>
      <c r="AD913" s="5">
        <f>+$AC913*BC913</f>
        <v>0</v>
      </c>
      <c r="AE913" s="5">
        <f>+$AC913*BD913</f>
        <v>0</v>
      </c>
      <c r="AF913" s="5">
        <f>+$AC913*BE913</f>
        <v>0</v>
      </c>
      <c r="AG913" s="5">
        <f>+$AC913*BF913</f>
        <v>0</v>
      </c>
      <c r="AH913" s="5">
        <f>+$AC913*BG913</f>
        <v>0</v>
      </c>
      <c r="AI913" s="5">
        <f>+$AC913*BH913</f>
        <v>0</v>
      </c>
      <c r="AJ913" s="5">
        <f>+$AC913*BI913</f>
        <v>0</v>
      </c>
      <c r="AK913" s="5">
        <f>+$AC913*BJ913</f>
        <v>0</v>
      </c>
      <c r="AL913" s="5">
        <f>+$AC913*BK913</f>
        <v>0</v>
      </c>
      <c r="AM913" s="5">
        <f>+$AC913*BL913</f>
        <v>0</v>
      </c>
      <c r="AN913" s="5">
        <f>+$AC913*BM913</f>
        <v>0</v>
      </c>
      <c r="AO913" s="5">
        <f>+$AC913*BN913</f>
        <v>0</v>
      </c>
      <c r="AP913" s="5">
        <f>+AC913+P913+C913</f>
        <v>3000</v>
      </c>
      <c r="AQ913" s="1">
        <v>5.5632352654484896</v>
      </c>
      <c r="AR913" s="1">
        <v>6.6531069964719496</v>
      </c>
      <c r="AS913" s="1">
        <v>5.88804844762325</v>
      </c>
      <c r="AT913" s="1">
        <v>4.4599701344500478</v>
      </c>
      <c r="AU913" s="1">
        <v>6.4680187811309384</v>
      </c>
      <c r="AV913" s="1">
        <v>5.3005342151506873</v>
      </c>
      <c r="AW913" s="1">
        <v>5.2770507582425248</v>
      </c>
      <c r="AX913" s="1">
        <v>3.5836078858736768</v>
      </c>
      <c r="AY913" s="1">
        <v>5.3119824631682206</v>
      </c>
      <c r="AZ913" s="1">
        <v>4.6260538730540475</v>
      </c>
      <c r="BA913" s="1">
        <v>4.7233763599928373</v>
      </c>
      <c r="BB913" s="1">
        <v>4.6134217487902109</v>
      </c>
      <c r="BC913" s="2">
        <v>8.9181565948742242E-2</v>
      </c>
      <c r="BD913" s="2">
        <v>0.10665277883445198</v>
      </c>
      <c r="BE913" s="2">
        <v>9.438849084854764E-2</v>
      </c>
      <c r="BF913" s="2">
        <v>7.149564986855049E-2</v>
      </c>
      <c r="BG913" s="2">
        <v>0.10368571810536763</v>
      </c>
      <c r="BH913" s="2">
        <v>8.4970330952544637E-2</v>
      </c>
      <c r="BI913" s="2">
        <v>8.4593878877262704E-2</v>
      </c>
      <c r="BJ913" s="2">
        <v>5.7447105462779965E-2</v>
      </c>
      <c r="BK913" s="2">
        <v>8.5153852345557474E-2</v>
      </c>
      <c r="BL913" s="2">
        <v>7.4158058913035174E-2</v>
      </c>
      <c r="BM913" s="2">
        <v>7.5718189192107169E-2</v>
      </c>
      <c r="BN913" s="2">
        <v>7.3955559365675619E-2</v>
      </c>
    </row>
    <row r="914" spans="1:66" x14ac:dyDescent="0.25">
      <c r="A914" s="8">
        <v>11207</v>
      </c>
      <c r="B914" s="8" t="s">
        <v>82</v>
      </c>
      <c r="C914" s="5">
        <v>0</v>
      </c>
      <c r="D914" s="5">
        <f>+$C914*BC914</f>
        <v>0</v>
      </c>
      <c r="E914" s="5">
        <f>+$C914*BD914</f>
        <v>0</v>
      </c>
      <c r="F914" s="5">
        <f>+$C914*BE914</f>
        <v>0</v>
      </c>
      <c r="G914" s="5">
        <f>+$C914*BF914</f>
        <v>0</v>
      </c>
      <c r="H914" s="5">
        <f>+$C914*BG914</f>
        <v>0</v>
      </c>
      <c r="I914" s="5">
        <f>+$C914*BH914</f>
        <v>0</v>
      </c>
      <c r="J914" s="5">
        <f>+$C914*BI914</f>
        <v>0</v>
      </c>
      <c r="K914" s="5">
        <f>+$C914*BJ914</f>
        <v>0</v>
      </c>
      <c r="L914" s="5">
        <f>+$C914*BK914</f>
        <v>0</v>
      </c>
      <c r="M914" s="5">
        <f>+$C914*BL914</f>
        <v>0</v>
      </c>
      <c r="N914" s="5">
        <f>+$C914*BM914</f>
        <v>0</v>
      </c>
      <c r="O914" s="5">
        <f>+$C914*BN914</f>
        <v>0</v>
      </c>
      <c r="P914" s="5">
        <v>0</v>
      </c>
      <c r="Q914" s="5">
        <f>+$P914*BC914</f>
        <v>0</v>
      </c>
      <c r="R914" s="5">
        <f>+$P914*BD914</f>
        <v>0</v>
      </c>
      <c r="S914" s="5">
        <f>+$P914*BE914</f>
        <v>0</v>
      </c>
      <c r="T914" s="5">
        <f>+$P914*BF914</f>
        <v>0</v>
      </c>
      <c r="U914" s="5">
        <f>+$P914*BG914</f>
        <v>0</v>
      </c>
      <c r="V914" s="5">
        <f>+$P914*BH914</f>
        <v>0</v>
      </c>
      <c r="W914" s="5">
        <f>+$P914*BI914</f>
        <v>0</v>
      </c>
      <c r="X914" s="5">
        <f>+$P914*BJ914</f>
        <v>0</v>
      </c>
      <c r="Y914" s="5">
        <f>+$P914*BK914</f>
        <v>0</v>
      </c>
      <c r="Z914" s="5">
        <f>+$P914*BL914</f>
        <v>0</v>
      </c>
      <c r="AA914" s="5">
        <f>+$P914*BM914</f>
        <v>0</v>
      </c>
      <c r="AB914" s="5">
        <f>+$P914*BN914</f>
        <v>0</v>
      </c>
      <c r="AC914" s="5">
        <v>0</v>
      </c>
      <c r="AD914" s="5">
        <f>+$AC914*BC914</f>
        <v>0</v>
      </c>
      <c r="AE914" s="5">
        <f>+$AC914*BD914</f>
        <v>0</v>
      </c>
      <c r="AF914" s="5">
        <f>+$AC914*BE914</f>
        <v>0</v>
      </c>
      <c r="AG914" s="5">
        <f>+$AC914*BF914</f>
        <v>0</v>
      </c>
      <c r="AH914" s="5">
        <f>+$AC914*BG914</f>
        <v>0</v>
      </c>
      <c r="AI914" s="5">
        <f>+$AC914*BH914</f>
        <v>0</v>
      </c>
      <c r="AJ914" s="5">
        <f>+$AC914*BI914</f>
        <v>0</v>
      </c>
      <c r="AK914" s="5">
        <f>+$AC914*BJ914</f>
        <v>0</v>
      </c>
      <c r="AL914" s="5">
        <f>+$AC914*BK914</f>
        <v>0</v>
      </c>
      <c r="AM914" s="5">
        <f>+$AC914*BL914</f>
        <v>0</v>
      </c>
      <c r="AN914" s="5">
        <f>+$AC914*BM914</f>
        <v>0</v>
      </c>
      <c r="AO914" s="5">
        <f>+$AC914*BN914</f>
        <v>0</v>
      </c>
      <c r="AP914" s="5">
        <f>+AC914+P914+C914</f>
        <v>0</v>
      </c>
      <c r="AQ914" s="1">
        <v>5.8369334913451798</v>
      </c>
      <c r="AR914" s="1">
        <v>6.9804243747148824</v>
      </c>
      <c r="AS914" s="1">
        <v>6.1777267260374433</v>
      </c>
      <c r="AT914" s="1">
        <v>4.6793902838966295</v>
      </c>
      <c r="AU914" s="1">
        <v>6.7862302499963114</v>
      </c>
      <c r="AV914" s="1">
        <v>5.5613081608440469</v>
      </c>
      <c r="AW914" s="1">
        <v>5.5366693725168439</v>
      </c>
      <c r="AX914" s="1">
        <v>3.7599130525389488</v>
      </c>
      <c r="AY914" s="1">
        <v>5.5733196360167367</v>
      </c>
      <c r="AZ914" s="1">
        <v>4.8536449558581527</v>
      </c>
      <c r="BA914" s="1">
        <v>4.955755482623414</v>
      </c>
      <c r="BB914" s="1">
        <v>4.8403913604834692</v>
      </c>
      <c r="BC914" s="2">
        <v>8.9181565948742242E-2</v>
      </c>
      <c r="BD914" s="2">
        <v>0.10665277883445198</v>
      </c>
      <c r="BE914" s="2">
        <v>9.438849084854764E-2</v>
      </c>
      <c r="BF914" s="2">
        <v>7.149564986855049E-2</v>
      </c>
      <c r="BG914" s="2">
        <v>0.10368571810536763</v>
      </c>
      <c r="BH914" s="2">
        <v>8.4970330952544637E-2</v>
      </c>
      <c r="BI914" s="2">
        <v>8.4593878877262704E-2</v>
      </c>
      <c r="BJ914" s="2">
        <v>5.7447105462779965E-2</v>
      </c>
      <c r="BK914" s="2">
        <v>8.5153852345557474E-2</v>
      </c>
      <c r="BL914" s="2">
        <v>7.4158058913035174E-2</v>
      </c>
      <c r="BM914" s="2">
        <v>7.5718189192107169E-2</v>
      </c>
      <c r="BN914" s="2">
        <v>7.3955559365675619E-2</v>
      </c>
    </row>
    <row r="915" spans="1:66" x14ac:dyDescent="0.25">
      <c r="A915" s="8">
        <v>11402</v>
      </c>
      <c r="B915" s="8" t="s">
        <v>81</v>
      </c>
      <c r="C915" s="5">
        <v>0</v>
      </c>
      <c r="D915" s="5">
        <f>+$C915*BC915</f>
        <v>0</v>
      </c>
      <c r="E915" s="5">
        <f>+$C915*BD915</f>
        <v>0</v>
      </c>
      <c r="F915" s="5">
        <f>+$C915*BE915</f>
        <v>0</v>
      </c>
      <c r="G915" s="5">
        <f>+$C915*BF915</f>
        <v>0</v>
      </c>
      <c r="H915" s="5">
        <f>+$C915*BG915</f>
        <v>0</v>
      </c>
      <c r="I915" s="5">
        <f>+$C915*BH915</f>
        <v>0</v>
      </c>
      <c r="J915" s="5">
        <f>+$C915*BI915</f>
        <v>0</v>
      </c>
      <c r="K915" s="5">
        <f>+$C915*BJ915</f>
        <v>0</v>
      </c>
      <c r="L915" s="5">
        <f>+$C915*BK915</f>
        <v>0</v>
      </c>
      <c r="M915" s="5">
        <f>+$C915*BL915</f>
        <v>0</v>
      </c>
      <c r="N915" s="5">
        <f>+$C915*BM915</f>
        <v>0</v>
      </c>
      <c r="O915" s="5">
        <f>+$C915*BN915</f>
        <v>0</v>
      </c>
      <c r="P915" s="5">
        <v>0</v>
      </c>
      <c r="Q915" s="5">
        <f>+$P915*BC915</f>
        <v>0</v>
      </c>
      <c r="R915" s="5">
        <f>+$P915*BD915</f>
        <v>0</v>
      </c>
      <c r="S915" s="5">
        <f>+$P915*BE915</f>
        <v>0</v>
      </c>
      <c r="T915" s="5">
        <f>+$P915*BF915</f>
        <v>0</v>
      </c>
      <c r="U915" s="5">
        <f>+$P915*BG915</f>
        <v>0</v>
      </c>
      <c r="V915" s="5">
        <f>+$P915*BH915</f>
        <v>0</v>
      </c>
      <c r="W915" s="5">
        <f>+$P915*BI915</f>
        <v>0</v>
      </c>
      <c r="X915" s="5">
        <f>+$P915*BJ915</f>
        <v>0</v>
      </c>
      <c r="Y915" s="5">
        <f>+$P915*BK915</f>
        <v>0</v>
      </c>
      <c r="Z915" s="5">
        <f>+$P915*BL915</f>
        <v>0</v>
      </c>
      <c r="AA915" s="5">
        <f>+$P915*BM915</f>
        <v>0</v>
      </c>
      <c r="AB915" s="5">
        <f>+$P915*BN915</f>
        <v>0</v>
      </c>
      <c r="AC915" s="5">
        <v>0</v>
      </c>
      <c r="AD915" s="5">
        <f>+$AC915*BC915</f>
        <v>0</v>
      </c>
      <c r="AE915" s="5">
        <f>+$AC915*BD915</f>
        <v>0</v>
      </c>
      <c r="AF915" s="5">
        <f>+$AC915*BE915</f>
        <v>0</v>
      </c>
      <c r="AG915" s="5">
        <f>+$AC915*BF915</f>
        <v>0</v>
      </c>
      <c r="AH915" s="5">
        <f>+$AC915*BG915</f>
        <v>0</v>
      </c>
      <c r="AI915" s="5">
        <f>+$AC915*BH915</f>
        <v>0</v>
      </c>
      <c r="AJ915" s="5">
        <f>+$AC915*BI915</f>
        <v>0</v>
      </c>
      <c r="AK915" s="5">
        <f>+$AC915*BJ915</f>
        <v>0</v>
      </c>
      <c r="AL915" s="5">
        <f>+$AC915*BK915</f>
        <v>0</v>
      </c>
      <c r="AM915" s="5">
        <f>+$AC915*BL915</f>
        <v>0</v>
      </c>
      <c r="AN915" s="5">
        <f>+$AC915*BM915</f>
        <v>0</v>
      </c>
      <c r="AO915" s="5">
        <f>+$AC915*BN915</f>
        <v>0</v>
      </c>
      <c r="AP915" s="5">
        <f>+AC915+P915+C915</f>
        <v>0</v>
      </c>
      <c r="AQ915" s="1">
        <v>1.9816143953810528</v>
      </c>
      <c r="AR915" s="1">
        <v>2.3698247457015231</v>
      </c>
      <c r="AS915" s="1">
        <v>2.0973122666547286</v>
      </c>
      <c r="AT915" s="1">
        <v>1.5886333400791921</v>
      </c>
      <c r="AU915" s="1">
        <v>2.3038966563012688</v>
      </c>
      <c r="AV915" s="1">
        <v>1.8880407537655421</v>
      </c>
      <c r="AW915" s="1">
        <v>1.8796759886527774</v>
      </c>
      <c r="AX915" s="1">
        <v>1.276474683382971</v>
      </c>
      <c r="AY915" s="1">
        <v>1.8921185991182872</v>
      </c>
      <c r="AZ915" s="1">
        <v>1.6477920690476417</v>
      </c>
      <c r="BA915" s="1">
        <v>1.6824581638486216</v>
      </c>
      <c r="BB915" s="1">
        <v>1.6432925291053124</v>
      </c>
      <c r="BC915" s="2">
        <v>8.9181565948742242E-2</v>
      </c>
      <c r="BD915" s="2">
        <v>0.10665277883445198</v>
      </c>
      <c r="BE915" s="2">
        <v>9.438849084854764E-2</v>
      </c>
      <c r="BF915" s="2">
        <v>7.149564986855049E-2</v>
      </c>
      <c r="BG915" s="2">
        <v>0.10368571810536763</v>
      </c>
      <c r="BH915" s="2">
        <v>8.4970330952544637E-2</v>
      </c>
      <c r="BI915" s="2">
        <v>8.4593878877262704E-2</v>
      </c>
      <c r="BJ915" s="2">
        <v>5.7447105462779965E-2</v>
      </c>
      <c r="BK915" s="2">
        <v>8.5153852345557474E-2</v>
      </c>
      <c r="BL915" s="2">
        <v>7.4158058913035174E-2</v>
      </c>
      <c r="BM915" s="2">
        <v>7.5718189192107169E-2</v>
      </c>
      <c r="BN915" s="2">
        <v>7.3955559365675619E-2</v>
      </c>
    </row>
    <row r="916" spans="1:66" x14ac:dyDescent="0.25">
      <c r="A916" s="8">
        <v>13100</v>
      </c>
      <c r="B916" s="8" t="s">
        <v>80</v>
      </c>
      <c r="C916" s="5">
        <v>0</v>
      </c>
      <c r="D916" s="5">
        <f>+$C916*BC916</f>
        <v>0</v>
      </c>
      <c r="E916" s="5">
        <f>+$C916*BD916</f>
        <v>0</v>
      </c>
      <c r="F916" s="5">
        <f>+$C916*BE916</f>
        <v>0</v>
      </c>
      <c r="G916" s="5">
        <f>+$C916*BF916</f>
        <v>0</v>
      </c>
      <c r="H916" s="5">
        <f>+$C916*BG916</f>
        <v>0</v>
      </c>
      <c r="I916" s="5">
        <f>+$C916*BH916</f>
        <v>0</v>
      </c>
      <c r="J916" s="5">
        <f>+$C916*BI916</f>
        <v>0</v>
      </c>
      <c r="K916" s="5">
        <f>+$C916*BJ916</f>
        <v>0</v>
      </c>
      <c r="L916" s="5">
        <f>+$C916*BK916</f>
        <v>0</v>
      </c>
      <c r="M916" s="5">
        <f>+$C916*BL916</f>
        <v>0</v>
      </c>
      <c r="N916" s="5">
        <f>+$C916*BM916</f>
        <v>0</v>
      </c>
      <c r="O916" s="5">
        <f>+$C916*BN916</f>
        <v>0</v>
      </c>
      <c r="P916" s="5">
        <v>500</v>
      </c>
      <c r="Q916" s="5">
        <f>+$P916*BC916</f>
        <v>44.590782974371123</v>
      </c>
      <c r="R916" s="5">
        <f>+$P916*BD916</f>
        <v>53.32638941722599</v>
      </c>
      <c r="S916" s="5">
        <f>+$P916*BE916</f>
        <v>47.194245424273824</v>
      </c>
      <c r="T916" s="5">
        <f>+$P916*BF916</f>
        <v>35.747824934275243</v>
      </c>
      <c r="U916" s="5">
        <f>+$P916*BG916</f>
        <v>51.842859052683814</v>
      </c>
      <c r="V916" s="5">
        <f>+$P916*BH916</f>
        <v>42.485165476272321</v>
      </c>
      <c r="W916" s="5">
        <f>+$P916*BI916</f>
        <v>42.296939438631355</v>
      </c>
      <c r="X916" s="5">
        <f>+$P916*BJ916</f>
        <v>28.723552731389983</v>
      </c>
      <c r="Y916" s="5">
        <f>+$P916*BK916</f>
        <v>42.576926172778734</v>
      </c>
      <c r="Z916" s="5">
        <f>+$P916*BL916</f>
        <v>37.079029456517588</v>
      </c>
      <c r="AA916" s="5">
        <f>+$P916*BM916</f>
        <v>37.859094596053588</v>
      </c>
      <c r="AB916" s="5">
        <f>+$P916*BN916</f>
        <v>36.977779682837813</v>
      </c>
      <c r="AC916" s="5">
        <v>0</v>
      </c>
      <c r="AD916" s="5">
        <f>+$AC916*BC916</f>
        <v>0</v>
      </c>
      <c r="AE916" s="5">
        <f>+$AC916*BD916</f>
        <v>0</v>
      </c>
      <c r="AF916" s="5">
        <f>+$AC916*BE916</f>
        <v>0</v>
      </c>
      <c r="AG916" s="5">
        <f>+$AC916*BF916</f>
        <v>0</v>
      </c>
      <c r="AH916" s="5">
        <f>+$AC916*BG916</f>
        <v>0</v>
      </c>
      <c r="AI916" s="5">
        <f>+$AC916*BH916</f>
        <v>0</v>
      </c>
      <c r="AJ916" s="5">
        <f>+$AC916*BI916</f>
        <v>0</v>
      </c>
      <c r="AK916" s="5">
        <f>+$AC916*BJ916</f>
        <v>0</v>
      </c>
      <c r="AL916" s="5">
        <f>+$AC916*BK916</f>
        <v>0</v>
      </c>
      <c r="AM916" s="5">
        <f>+$AC916*BL916</f>
        <v>0</v>
      </c>
      <c r="AN916" s="5">
        <f>+$AC916*BM916</f>
        <v>0</v>
      </c>
      <c r="AO916" s="5">
        <f>+$AC916*BN916</f>
        <v>0</v>
      </c>
      <c r="AP916" s="5">
        <f>+AC916+P916+C916</f>
        <v>500</v>
      </c>
      <c r="AQ916" s="1">
        <v>51.208055167767796</v>
      </c>
      <c r="AR916" s="1">
        <v>61.240025606742336</v>
      </c>
      <c r="AS916" s="1">
        <v>54.197871445236061</v>
      </c>
      <c r="AT916" s="1">
        <v>41.052802154521693</v>
      </c>
      <c r="AU916" s="1">
        <v>59.536339336102095</v>
      </c>
      <c r="AV916" s="1">
        <v>48.789964032951133</v>
      </c>
      <c r="AW916" s="1">
        <v>48.573805251324245</v>
      </c>
      <c r="AX916" s="1">
        <v>32.986127956728261</v>
      </c>
      <c r="AY916" s="1">
        <v>48.895342016819107</v>
      </c>
      <c r="AZ916" s="1">
        <v>42.581557427864801</v>
      </c>
      <c r="BA916" s="1">
        <v>43.477384234107937</v>
      </c>
      <c r="BB916" s="1">
        <v>42.465282187770946</v>
      </c>
      <c r="BC916" s="2">
        <v>8.9181565948742242E-2</v>
      </c>
      <c r="BD916" s="2">
        <v>0.10665277883445198</v>
      </c>
      <c r="BE916" s="2">
        <v>9.438849084854764E-2</v>
      </c>
      <c r="BF916" s="2">
        <v>7.149564986855049E-2</v>
      </c>
      <c r="BG916" s="2">
        <v>0.10368571810536763</v>
      </c>
      <c r="BH916" s="2">
        <v>8.4970330952544637E-2</v>
      </c>
      <c r="BI916" s="2">
        <v>8.4593878877262704E-2</v>
      </c>
      <c r="BJ916" s="2">
        <v>5.7447105462779965E-2</v>
      </c>
      <c r="BK916" s="2">
        <v>8.5153852345557474E-2</v>
      </c>
      <c r="BL916" s="2">
        <v>7.4158058913035174E-2</v>
      </c>
      <c r="BM916" s="2">
        <v>7.5718189192107169E-2</v>
      </c>
      <c r="BN916" s="2">
        <v>7.3955559365675619E-2</v>
      </c>
    </row>
    <row r="917" spans="1:66" x14ac:dyDescent="0.25">
      <c r="A917" s="8">
        <v>14223</v>
      </c>
      <c r="B917" s="8" t="s">
        <v>79</v>
      </c>
      <c r="C917" s="5">
        <v>0</v>
      </c>
      <c r="D917" s="5">
        <f>+$C917*BC917</f>
        <v>0</v>
      </c>
      <c r="E917" s="5">
        <f>+$C917*BD917</f>
        <v>0</v>
      </c>
      <c r="F917" s="5">
        <f>+$C917*BE917</f>
        <v>0</v>
      </c>
      <c r="G917" s="5">
        <f>+$C917*BF917</f>
        <v>0</v>
      </c>
      <c r="H917" s="5">
        <f>+$C917*BG917</f>
        <v>0</v>
      </c>
      <c r="I917" s="5">
        <f>+$C917*BH917</f>
        <v>0</v>
      </c>
      <c r="J917" s="5">
        <f>+$C917*BI917</f>
        <v>0</v>
      </c>
      <c r="K917" s="5">
        <f>+$C917*BJ917</f>
        <v>0</v>
      </c>
      <c r="L917" s="5">
        <f>+$C917*BK917</f>
        <v>0</v>
      </c>
      <c r="M917" s="5">
        <f>+$C917*BL917</f>
        <v>0</v>
      </c>
      <c r="N917" s="5">
        <f>+$C917*BM917</f>
        <v>0</v>
      </c>
      <c r="O917" s="5">
        <f>+$C917*BN917</f>
        <v>0</v>
      </c>
      <c r="P917" s="5">
        <v>0</v>
      </c>
      <c r="Q917" s="5">
        <f>+$P917*BC917</f>
        <v>0</v>
      </c>
      <c r="R917" s="5">
        <f>+$P917*BD917</f>
        <v>0</v>
      </c>
      <c r="S917" s="5">
        <f>+$P917*BE917</f>
        <v>0</v>
      </c>
      <c r="T917" s="5">
        <f>+$P917*BF917</f>
        <v>0</v>
      </c>
      <c r="U917" s="5">
        <f>+$P917*BG917</f>
        <v>0</v>
      </c>
      <c r="V917" s="5">
        <f>+$P917*BH917</f>
        <v>0</v>
      </c>
      <c r="W917" s="5">
        <f>+$P917*BI917</f>
        <v>0</v>
      </c>
      <c r="X917" s="5">
        <f>+$P917*BJ917</f>
        <v>0</v>
      </c>
      <c r="Y917" s="5">
        <f>+$P917*BK917</f>
        <v>0</v>
      </c>
      <c r="Z917" s="5">
        <f>+$P917*BL917</f>
        <v>0</v>
      </c>
      <c r="AA917" s="5">
        <f>+$P917*BM917</f>
        <v>0</v>
      </c>
      <c r="AB917" s="5">
        <f>+$P917*BN917</f>
        <v>0</v>
      </c>
      <c r="AC917" s="5">
        <v>0</v>
      </c>
      <c r="AD917" s="5">
        <f>+$AC917*BC917</f>
        <v>0</v>
      </c>
      <c r="AE917" s="5">
        <f>+$AC917*BD917</f>
        <v>0</v>
      </c>
      <c r="AF917" s="5">
        <f>+$AC917*BE917</f>
        <v>0</v>
      </c>
      <c r="AG917" s="5">
        <f>+$AC917*BF917</f>
        <v>0</v>
      </c>
      <c r="AH917" s="5">
        <f>+$AC917*BG917</f>
        <v>0</v>
      </c>
      <c r="AI917" s="5">
        <f>+$AC917*BH917</f>
        <v>0</v>
      </c>
      <c r="AJ917" s="5">
        <f>+$AC917*BI917</f>
        <v>0</v>
      </c>
      <c r="AK917" s="5">
        <f>+$AC917*BJ917</f>
        <v>0</v>
      </c>
      <c r="AL917" s="5">
        <f>+$AC917*BK917</f>
        <v>0</v>
      </c>
      <c r="AM917" s="5">
        <f>+$AC917*BL917</f>
        <v>0</v>
      </c>
      <c r="AN917" s="5">
        <f>+$AC917*BM917</f>
        <v>0</v>
      </c>
      <c r="AO917" s="5">
        <f>+$AC917*BN917</f>
        <v>0</v>
      </c>
      <c r="AP917" s="5">
        <f>+AC917+P917+C917</f>
        <v>0</v>
      </c>
      <c r="AQ917" s="1">
        <v>3.6022218118015967</v>
      </c>
      <c r="AR917" s="1">
        <v>4.3079190426811849</v>
      </c>
      <c r="AS917" s="1">
        <v>3.8125399223545364</v>
      </c>
      <c r="AT917" s="1">
        <v>2.8878522894904917</v>
      </c>
      <c r="AU917" s="1">
        <v>4.1880735257120092</v>
      </c>
      <c r="AV917" s="1">
        <v>3.4321216078351831</v>
      </c>
      <c r="AW917" s="1">
        <v>3.4169159556103956</v>
      </c>
      <c r="AX917" s="1">
        <v>2.3204034838526084</v>
      </c>
      <c r="AY917" s="1">
        <v>3.4395344039417579</v>
      </c>
      <c r="AZ917" s="1">
        <v>2.9953923156153168</v>
      </c>
      <c r="BA917" s="1">
        <v>3.0584090978475929</v>
      </c>
      <c r="BB917" s="1">
        <v>2.9872129538983696</v>
      </c>
      <c r="BC917" s="2">
        <v>8.9181565948742242E-2</v>
      </c>
      <c r="BD917" s="2">
        <v>0.10665277883445198</v>
      </c>
      <c r="BE917" s="2">
        <v>9.438849084854764E-2</v>
      </c>
      <c r="BF917" s="2">
        <v>7.149564986855049E-2</v>
      </c>
      <c r="BG917" s="2">
        <v>0.10368571810536763</v>
      </c>
      <c r="BH917" s="2">
        <v>8.4970330952544637E-2</v>
      </c>
      <c r="BI917" s="2">
        <v>8.4593878877262704E-2</v>
      </c>
      <c r="BJ917" s="2">
        <v>5.7447105462779965E-2</v>
      </c>
      <c r="BK917" s="2">
        <v>8.5153852345557474E-2</v>
      </c>
      <c r="BL917" s="2">
        <v>7.4158058913035174E-2</v>
      </c>
      <c r="BM917" s="2">
        <v>7.5718189192107169E-2</v>
      </c>
      <c r="BN917" s="2">
        <v>7.3955559365675619E-2</v>
      </c>
    </row>
    <row r="918" spans="1:66" x14ac:dyDescent="0.25">
      <c r="A918" s="8">
        <v>15200</v>
      </c>
      <c r="B918" s="8" t="s">
        <v>78</v>
      </c>
      <c r="C918" s="5">
        <v>0</v>
      </c>
      <c r="D918" s="5">
        <f>+$C918*BC918</f>
        <v>0</v>
      </c>
      <c r="E918" s="5">
        <f>+$C918*BD918</f>
        <v>0</v>
      </c>
      <c r="F918" s="5">
        <f>+$C918*BE918</f>
        <v>0</v>
      </c>
      <c r="G918" s="5">
        <f>+$C918*BF918</f>
        <v>0</v>
      </c>
      <c r="H918" s="5">
        <f>+$C918*BG918</f>
        <v>0</v>
      </c>
      <c r="I918" s="5">
        <f>+$C918*BH918</f>
        <v>0</v>
      </c>
      <c r="J918" s="5">
        <f>+$C918*BI918</f>
        <v>0</v>
      </c>
      <c r="K918" s="5">
        <f>+$C918*BJ918</f>
        <v>0</v>
      </c>
      <c r="L918" s="5">
        <f>+$C918*BK918</f>
        <v>0</v>
      </c>
      <c r="M918" s="5">
        <f>+$C918*BL918</f>
        <v>0</v>
      </c>
      <c r="N918" s="5">
        <f>+$C918*BM918</f>
        <v>0</v>
      </c>
      <c r="O918" s="5">
        <f>+$C918*BN918</f>
        <v>0</v>
      </c>
      <c r="P918" s="5">
        <v>0</v>
      </c>
      <c r="Q918" s="5">
        <f>+$P918*BC918</f>
        <v>0</v>
      </c>
      <c r="R918" s="5">
        <f>+$P918*BD918</f>
        <v>0</v>
      </c>
      <c r="S918" s="5">
        <f>+$P918*BE918</f>
        <v>0</v>
      </c>
      <c r="T918" s="5">
        <f>+$P918*BF918</f>
        <v>0</v>
      </c>
      <c r="U918" s="5">
        <f>+$P918*BG918</f>
        <v>0</v>
      </c>
      <c r="V918" s="5">
        <f>+$P918*BH918</f>
        <v>0</v>
      </c>
      <c r="W918" s="5">
        <f>+$P918*BI918</f>
        <v>0</v>
      </c>
      <c r="X918" s="5">
        <f>+$P918*BJ918</f>
        <v>0</v>
      </c>
      <c r="Y918" s="5">
        <f>+$P918*BK918</f>
        <v>0</v>
      </c>
      <c r="Z918" s="5">
        <f>+$P918*BL918</f>
        <v>0</v>
      </c>
      <c r="AA918" s="5">
        <f>+$P918*BM918</f>
        <v>0</v>
      </c>
      <c r="AB918" s="5">
        <f>+$P918*BN918</f>
        <v>0</v>
      </c>
      <c r="AC918" s="5">
        <v>0</v>
      </c>
      <c r="AD918" s="5">
        <f>+$AC918*BC918</f>
        <v>0</v>
      </c>
      <c r="AE918" s="5">
        <f>+$AC918*BD918</f>
        <v>0</v>
      </c>
      <c r="AF918" s="5">
        <f>+$AC918*BE918</f>
        <v>0</v>
      </c>
      <c r="AG918" s="5">
        <f>+$AC918*BF918</f>
        <v>0</v>
      </c>
      <c r="AH918" s="5">
        <f>+$AC918*BG918</f>
        <v>0</v>
      </c>
      <c r="AI918" s="5">
        <f>+$AC918*BH918</f>
        <v>0</v>
      </c>
      <c r="AJ918" s="5">
        <f>+$AC918*BI918</f>
        <v>0</v>
      </c>
      <c r="AK918" s="5">
        <f>+$AC918*BJ918</f>
        <v>0</v>
      </c>
      <c r="AL918" s="5">
        <f>+$AC918*BK918</f>
        <v>0</v>
      </c>
      <c r="AM918" s="5">
        <f>+$AC918*BL918</f>
        <v>0</v>
      </c>
      <c r="AN918" s="5">
        <f>+$AC918*BM918</f>
        <v>0</v>
      </c>
      <c r="AO918" s="5">
        <f>+$AC918*BN918</f>
        <v>0</v>
      </c>
      <c r="AP918" s="5">
        <f>+AC918+P918+C918</f>
        <v>0</v>
      </c>
      <c r="AQ918" s="1">
        <v>47.087866820935901</v>
      </c>
      <c r="AR918" s="1">
        <v>56.312667224590648</v>
      </c>
      <c r="AS918" s="1">
        <v>49.837123168033152</v>
      </c>
      <c r="AT918" s="1">
        <v>37.749703130594661</v>
      </c>
      <c r="AU918" s="1">
        <v>54.746059159634108</v>
      </c>
      <c r="AV918" s="1">
        <v>44.864334742943569</v>
      </c>
      <c r="AW918" s="1">
        <v>44.665568047194711</v>
      </c>
      <c r="AX918" s="1">
        <v>30.33207168434782</v>
      </c>
      <c r="AY918" s="1">
        <v>44.961234038454343</v>
      </c>
      <c r="AZ918" s="1">
        <v>39.15545510608257</v>
      </c>
      <c r="BA918" s="1">
        <v>39.979203893432583</v>
      </c>
      <c r="BB918" s="1">
        <v>39.048535345076729</v>
      </c>
      <c r="BC918" s="2">
        <v>8.9181565948742242E-2</v>
      </c>
      <c r="BD918" s="2">
        <v>0.10665277883445198</v>
      </c>
      <c r="BE918" s="2">
        <v>9.438849084854764E-2</v>
      </c>
      <c r="BF918" s="2">
        <v>7.149564986855049E-2</v>
      </c>
      <c r="BG918" s="2">
        <v>0.10368571810536763</v>
      </c>
      <c r="BH918" s="2">
        <v>8.4970330952544637E-2</v>
      </c>
      <c r="BI918" s="2">
        <v>8.4593878877262704E-2</v>
      </c>
      <c r="BJ918" s="2">
        <v>5.7447105462779965E-2</v>
      </c>
      <c r="BK918" s="2">
        <v>8.5153852345557474E-2</v>
      </c>
      <c r="BL918" s="2">
        <v>7.4158058913035174E-2</v>
      </c>
      <c r="BM918" s="2">
        <v>7.5718189192107169E-2</v>
      </c>
      <c r="BN918" s="2">
        <v>7.3955559365675619E-2</v>
      </c>
    </row>
    <row r="919" spans="1:66" x14ac:dyDescent="0.25">
      <c r="A919" s="8">
        <v>15209</v>
      </c>
      <c r="B919" s="8" t="s">
        <v>77</v>
      </c>
      <c r="C919" s="5">
        <v>0</v>
      </c>
      <c r="D919" s="5">
        <f>+$C919*BC919</f>
        <v>0</v>
      </c>
      <c r="E919" s="5">
        <f>+$C919*BD919</f>
        <v>0</v>
      </c>
      <c r="F919" s="5">
        <f>+$C919*BE919</f>
        <v>0</v>
      </c>
      <c r="G919" s="5">
        <f>+$C919*BF919</f>
        <v>0</v>
      </c>
      <c r="H919" s="5">
        <f>+$C919*BG919</f>
        <v>0</v>
      </c>
      <c r="I919" s="5">
        <f>+$C919*BH919</f>
        <v>0</v>
      </c>
      <c r="J919" s="5">
        <f>+$C919*BI919</f>
        <v>0</v>
      </c>
      <c r="K919" s="5">
        <f>+$C919*BJ919</f>
        <v>0</v>
      </c>
      <c r="L919" s="5">
        <f>+$C919*BK919</f>
        <v>0</v>
      </c>
      <c r="M919" s="5">
        <f>+$C919*BL919</f>
        <v>0</v>
      </c>
      <c r="N919" s="5">
        <f>+$C919*BM919</f>
        <v>0</v>
      </c>
      <c r="O919" s="5">
        <f>+$C919*BN919</f>
        <v>0</v>
      </c>
      <c r="P919" s="5">
        <v>2000</v>
      </c>
      <c r="Q919" s="5">
        <f>+$P919*BC919</f>
        <v>178.36313189748449</v>
      </c>
      <c r="R919" s="5">
        <f>+$P919*BD919</f>
        <v>213.30555766890396</v>
      </c>
      <c r="S919" s="5">
        <f>+$P919*BE919</f>
        <v>188.77698169709529</v>
      </c>
      <c r="T919" s="5">
        <f>+$P919*BF919</f>
        <v>142.99129973710097</v>
      </c>
      <c r="U919" s="5">
        <f>+$P919*BG919</f>
        <v>207.37143621073525</v>
      </c>
      <c r="V919" s="5">
        <f>+$P919*BH919</f>
        <v>169.94066190508929</v>
      </c>
      <c r="W919" s="5">
        <f>+$P919*BI919</f>
        <v>169.18775775452542</v>
      </c>
      <c r="X919" s="5">
        <f>+$P919*BJ919</f>
        <v>114.89421092555993</v>
      </c>
      <c r="Y919" s="5">
        <f>+$P919*BK919</f>
        <v>170.30770469111494</v>
      </c>
      <c r="Z919" s="5">
        <f>+$P919*BL919</f>
        <v>148.31611782607035</v>
      </c>
      <c r="AA919" s="5">
        <f>+$P919*BM919</f>
        <v>151.43637838421435</v>
      </c>
      <c r="AB919" s="5">
        <f>+$P919*BN919</f>
        <v>147.91111873135125</v>
      </c>
      <c r="AC919" s="5">
        <v>0</v>
      </c>
      <c r="AD919" s="5">
        <f>+$AC919*BC919</f>
        <v>0</v>
      </c>
      <c r="AE919" s="5">
        <f>+$AC919*BD919</f>
        <v>0</v>
      </c>
      <c r="AF919" s="5">
        <f>+$AC919*BE919</f>
        <v>0</v>
      </c>
      <c r="AG919" s="5">
        <f>+$AC919*BF919</f>
        <v>0</v>
      </c>
      <c r="AH919" s="5">
        <f>+$AC919*BG919</f>
        <v>0</v>
      </c>
      <c r="AI919" s="5">
        <f>+$AC919*BH919</f>
        <v>0</v>
      </c>
      <c r="AJ919" s="5">
        <f>+$AC919*BI919</f>
        <v>0</v>
      </c>
      <c r="AK919" s="5">
        <f>+$AC919*BJ919</f>
        <v>0</v>
      </c>
      <c r="AL919" s="5">
        <f>+$AC919*BK919</f>
        <v>0</v>
      </c>
      <c r="AM919" s="5">
        <f>+$AC919*BL919</f>
        <v>0</v>
      </c>
      <c r="AN919" s="5">
        <f>+$AC919*BM919</f>
        <v>0</v>
      </c>
      <c r="AO919" s="5">
        <f>+$AC919*BN919</f>
        <v>0</v>
      </c>
      <c r="AP919" s="5">
        <f>+AC919+P919+C919</f>
        <v>2000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2">
        <v>8.9181565948742242E-2</v>
      </c>
      <c r="BD919" s="2">
        <v>0.10665277883445198</v>
      </c>
      <c r="BE919" s="2">
        <v>9.438849084854764E-2</v>
      </c>
      <c r="BF919" s="2">
        <v>7.149564986855049E-2</v>
      </c>
      <c r="BG919" s="2">
        <v>0.10368571810536763</v>
      </c>
      <c r="BH919" s="2">
        <v>8.4970330952544637E-2</v>
      </c>
      <c r="BI919" s="2">
        <v>8.4593878877262704E-2</v>
      </c>
      <c r="BJ919" s="2">
        <v>5.7447105462779965E-2</v>
      </c>
      <c r="BK919" s="2">
        <v>8.5153852345557474E-2</v>
      </c>
      <c r="BL919" s="2">
        <v>7.4158058913035174E-2</v>
      </c>
      <c r="BM919" s="2">
        <v>7.5718189192107169E-2</v>
      </c>
      <c r="BN919" s="2">
        <v>7.3955559365675619E-2</v>
      </c>
    </row>
    <row r="920" spans="1:66" x14ac:dyDescent="0.25">
      <c r="A920" s="8">
        <v>15211</v>
      </c>
      <c r="B920" s="8" t="s">
        <v>76</v>
      </c>
      <c r="C920" s="5">
        <v>0</v>
      </c>
      <c r="D920" s="5">
        <f>+$C920*BC920</f>
        <v>0</v>
      </c>
      <c r="E920" s="5">
        <f>+$C920*BD920</f>
        <v>0</v>
      </c>
      <c r="F920" s="5">
        <f>+$C920*BE920</f>
        <v>0</v>
      </c>
      <c r="G920" s="5">
        <f>+$C920*BF920</f>
        <v>0</v>
      </c>
      <c r="H920" s="5">
        <f>+$C920*BG920</f>
        <v>0</v>
      </c>
      <c r="I920" s="5">
        <f>+$C920*BH920</f>
        <v>0</v>
      </c>
      <c r="J920" s="5">
        <f>+$C920*BI920</f>
        <v>0</v>
      </c>
      <c r="K920" s="5">
        <f>+$C920*BJ920</f>
        <v>0</v>
      </c>
      <c r="L920" s="5">
        <f>+$C920*BK920</f>
        <v>0</v>
      </c>
      <c r="M920" s="5">
        <f>+$C920*BL920</f>
        <v>0</v>
      </c>
      <c r="N920" s="5">
        <f>+$C920*BM920</f>
        <v>0</v>
      </c>
      <c r="O920" s="5">
        <f>+$C920*BN920</f>
        <v>0</v>
      </c>
      <c r="P920" s="5">
        <v>1500</v>
      </c>
      <c r="Q920" s="5">
        <f>+$P920*BC920</f>
        <v>133.77234892311336</v>
      </c>
      <c r="R920" s="5">
        <f>+$P920*BD920</f>
        <v>159.97916825167798</v>
      </c>
      <c r="S920" s="5">
        <f>+$P920*BE920</f>
        <v>141.58273627282145</v>
      </c>
      <c r="T920" s="5">
        <f>+$P920*BF920</f>
        <v>107.24347480282573</v>
      </c>
      <c r="U920" s="5">
        <f>+$P920*BG920</f>
        <v>155.52857715805143</v>
      </c>
      <c r="V920" s="5">
        <f>+$P920*BH920</f>
        <v>127.45549642881696</v>
      </c>
      <c r="W920" s="5">
        <f>+$P920*BI920</f>
        <v>126.89081831589405</v>
      </c>
      <c r="X920" s="5">
        <f>+$P920*BJ920</f>
        <v>86.170658194169945</v>
      </c>
      <c r="Y920" s="5">
        <f>+$P920*BK920</f>
        <v>127.73077851833621</v>
      </c>
      <c r="Z920" s="5">
        <f>+$P920*BL920</f>
        <v>111.23708836955277</v>
      </c>
      <c r="AA920" s="5">
        <f>+$P920*BM920</f>
        <v>113.57728378816076</v>
      </c>
      <c r="AB920" s="5">
        <f>+$P920*BN920</f>
        <v>110.93333904851343</v>
      </c>
      <c r="AC920" s="5">
        <v>0</v>
      </c>
      <c r="AD920" s="5">
        <f>+$AC920*BC920</f>
        <v>0</v>
      </c>
      <c r="AE920" s="5">
        <f>+$AC920*BD920</f>
        <v>0</v>
      </c>
      <c r="AF920" s="5">
        <f>+$AC920*BE920</f>
        <v>0</v>
      </c>
      <c r="AG920" s="5">
        <f>+$AC920*BF920</f>
        <v>0</v>
      </c>
      <c r="AH920" s="5">
        <f>+$AC920*BG920</f>
        <v>0</v>
      </c>
      <c r="AI920" s="5">
        <f>+$AC920*BH920</f>
        <v>0</v>
      </c>
      <c r="AJ920" s="5">
        <f>+$AC920*BI920</f>
        <v>0</v>
      </c>
      <c r="AK920" s="5">
        <f>+$AC920*BJ920</f>
        <v>0</v>
      </c>
      <c r="AL920" s="5">
        <f>+$AC920*BK920</f>
        <v>0</v>
      </c>
      <c r="AM920" s="5">
        <f>+$AC920*BL920</f>
        <v>0</v>
      </c>
      <c r="AN920" s="5">
        <f>+$AC920*BM920</f>
        <v>0</v>
      </c>
      <c r="AO920" s="5">
        <f>+$AC920*BN920</f>
        <v>0</v>
      </c>
      <c r="AP920" s="5">
        <f>+AC920+P920+C920</f>
        <v>1500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2">
        <v>8.9181565948742242E-2</v>
      </c>
      <c r="BD920" s="2">
        <v>0.10665277883445198</v>
      </c>
      <c r="BE920" s="2">
        <v>9.438849084854764E-2</v>
      </c>
      <c r="BF920" s="2">
        <v>7.149564986855049E-2</v>
      </c>
      <c r="BG920" s="2">
        <v>0.10368571810536763</v>
      </c>
      <c r="BH920" s="2">
        <v>8.4970330952544637E-2</v>
      </c>
      <c r="BI920" s="2">
        <v>8.4593878877262704E-2</v>
      </c>
      <c r="BJ920" s="2">
        <v>5.7447105462779965E-2</v>
      </c>
      <c r="BK920" s="2">
        <v>8.5153852345557474E-2</v>
      </c>
      <c r="BL920" s="2">
        <v>7.4158058913035174E-2</v>
      </c>
      <c r="BM920" s="2">
        <v>7.5718189192107169E-2</v>
      </c>
      <c r="BN920" s="2">
        <v>7.3955559365675619E-2</v>
      </c>
    </row>
    <row r="921" spans="1:66" x14ac:dyDescent="0.25">
      <c r="A921" s="8">
        <v>15216</v>
      </c>
      <c r="B921" s="8" t="s">
        <v>75</v>
      </c>
      <c r="C921" s="5">
        <v>0</v>
      </c>
      <c r="D921" s="5">
        <f>+$C921*BC921</f>
        <v>0</v>
      </c>
      <c r="E921" s="5">
        <f>+$C921*BD921</f>
        <v>0</v>
      </c>
      <c r="F921" s="5">
        <f>+$C921*BE921</f>
        <v>0</v>
      </c>
      <c r="G921" s="5">
        <f>+$C921*BF921</f>
        <v>0</v>
      </c>
      <c r="H921" s="5">
        <f>+$C921*BG921</f>
        <v>0</v>
      </c>
      <c r="I921" s="5">
        <f>+$C921*BH921</f>
        <v>0</v>
      </c>
      <c r="J921" s="5">
        <f>+$C921*BI921</f>
        <v>0</v>
      </c>
      <c r="K921" s="5">
        <f>+$C921*BJ921</f>
        <v>0</v>
      </c>
      <c r="L921" s="5">
        <f>+$C921*BK921</f>
        <v>0</v>
      </c>
      <c r="M921" s="5">
        <f>+$C921*BL921</f>
        <v>0</v>
      </c>
      <c r="N921" s="5">
        <f>+$C921*BM921</f>
        <v>0</v>
      </c>
      <c r="O921" s="5">
        <f>+$C921*BN921</f>
        <v>0</v>
      </c>
      <c r="P921" s="5">
        <v>500</v>
      </c>
      <c r="Q921" s="5">
        <f>+$P921*BC921</f>
        <v>44.590782974371123</v>
      </c>
      <c r="R921" s="5">
        <f>+$P921*BD921</f>
        <v>53.32638941722599</v>
      </c>
      <c r="S921" s="5">
        <f>+$P921*BE921</f>
        <v>47.194245424273824</v>
      </c>
      <c r="T921" s="5">
        <f>+$P921*BF921</f>
        <v>35.747824934275243</v>
      </c>
      <c r="U921" s="5">
        <f>+$P921*BG921</f>
        <v>51.842859052683814</v>
      </c>
      <c r="V921" s="5">
        <f>+$P921*BH921</f>
        <v>42.485165476272321</v>
      </c>
      <c r="W921" s="5">
        <f>+$P921*BI921</f>
        <v>42.296939438631355</v>
      </c>
      <c r="X921" s="5">
        <f>+$P921*BJ921</f>
        <v>28.723552731389983</v>
      </c>
      <c r="Y921" s="5">
        <f>+$P921*BK921</f>
        <v>42.576926172778734</v>
      </c>
      <c r="Z921" s="5">
        <f>+$P921*BL921</f>
        <v>37.079029456517588</v>
      </c>
      <c r="AA921" s="5">
        <f>+$P921*BM921</f>
        <v>37.859094596053588</v>
      </c>
      <c r="AB921" s="5">
        <f>+$P921*BN921</f>
        <v>36.977779682837813</v>
      </c>
      <c r="AC921" s="5">
        <v>0</v>
      </c>
      <c r="AD921" s="5">
        <f>+$AC921*BC921</f>
        <v>0</v>
      </c>
      <c r="AE921" s="5">
        <f>+$AC921*BD921</f>
        <v>0</v>
      </c>
      <c r="AF921" s="5">
        <f>+$AC921*BE921</f>
        <v>0</v>
      </c>
      <c r="AG921" s="5">
        <f>+$AC921*BF921</f>
        <v>0</v>
      </c>
      <c r="AH921" s="5">
        <f>+$AC921*BG921</f>
        <v>0</v>
      </c>
      <c r="AI921" s="5">
        <f>+$AC921*BH921</f>
        <v>0</v>
      </c>
      <c r="AJ921" s="5">
        <f>+$AC921*BI921</f>
        <v>0</v>
      </c>
      <c r="AK921" s="5">
        <f>+$AC921*BJ921</f>
        <v>0</v>
      </c>
      <c r="AL921" s="5">
        <f>+$AC921*BK921</f>
        <v>0</v>
      </c>
      <c r="AM921" s="5">
        <f>+$AC921*BL921</f>
        <v>0</v>
      </c>
      <c r="AN921" s="5">
        <f>+$AC921*BM921</f>
        <v>0</v>
      </c>
      <c r="AO921" s="5">
        <f>+$AC921*BN921</f>
        <v>0</v>
      </c>
      <c r="AP921" s="5">
        <f>+AC921+P921+C921</f>
        <v>500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2">
        <v>8.9181565948742242E-2</v>
      </c>
      <c r="BD921" s="2">
        <v>0.10665277883445198</v>
      </c>
      <c r="BE921" s="2">
        <v>9.438849084854764E-2</v>
      </c>
      <c r="BF921" s="2">
        <v>7.149564986855049E-2</v>
      </c>
      <c r="BG921" s="2">
        <v>0.10368571810536763</v>
      </c>
      <c r="BH921" s="2">
        <v>8.4970330952544637E-2</v>
      </c>
      <c r="BI921" s="2">
        <v>8.4593878877262704E-2</v>
      </c>
      <c r="BJ921" s="2">
        <v>5.7447105462779965E-2</v>
      </c>
      <c r="BK921" s="2">
        <v>8.5153852345557474E-2</v>
      </c>
      <c r="BL921" s="2">
        <v>7.4158058913035174E-2</v>
      </c>
      <c r="BM921" s="2">
        <v>7.5718189192107169E-2</v>
      </c>
      <c r="BN921" s="2">
        <v>7.3955559365675619E-2</v>
      </c>
    </row>
    <row r="922" spans="1:66" x14ac:dyDescent="0.25">
      <c r="A922" s="8">
        <v>15242</v>
      </c>
      <c r="B922" s="8" t="s">
        <v>74</v>
      </c>
      <c r="C922" s="5">
        <v>0</v>
      </c>
      <c r="D922" s="5">
        <f>+$C922*BC922</f>
        <v>0</v>
      </c>
      <c r="E922" s="5">
        <f>+$C922*BD922</f>
        <v>0</v>
      </c>
      <c r="F922" s="5">
        <f>+$C922*BE922</f>
        <v>0</v>
      </c>
      <c r="G922" s="5">
        <f>+$C922*BF922</f>
        <v>0</v>
      </c>
      <c r="H922" s="5">
        <f>+$C922*BG922</f>
        <v>0</v>
      </c>
      <c r="I922" s="5">
        <f>+$C922*BH922</f>
        <v>0</v>
      </c>
      <c r="J922" s="5">
        <f>+$C922*BI922</f>
        <v>0</v>
      </c>
      <c r="K922" s="5">
        <f>+$C922*BJ922</f>
        <v>0</v>
      </c>
      <c r="L922" s="5">
        <f>+$C922*BK922</f>
        <v>0</v>
      </c>
      <c r="M922" s="5">
        <f>+$C922*BL922</f>
        <v>0</v>
      </c>
      <c r="N922" s="5">
        <f>+$C922*BM922</f>
        <v>0</v>
      </c>
      <c r="O922" s="5">
        <f>+$C922*BN922</f>
        <v>0</v>
      </c>
      <c r="P922" s="5">
        <v>0</v>
      </c>
      <c r="Q922" s="5">
        <f>+$P922*BC922</f>
        <v>0</v>
      </c>
      <c r="R922" s="5">
        <f>+$P922*BD922</f>
        <v>0</v>
      </c>
      <c r="S922" s="5">
        <f>+$P922*BE922</f>
        <v>0</v>
      </c>
      <c r="T922" s="5">
        <f>+$P922*BF922</f>
        <v>0</v>
      </c>
      <c r="U922" s="5">
        <f>+$P922*BG922</f>
        <v>0</v>
      </c>
      <c r="V922" s="5">
        <f>+$P922*BH922</f>
        <v>0</v>
      </c>
      <c r="W922" s="5">
        <f>+$P922*BI922</f>
        <v>0</v>
      </c>
      <c r="X922" s="5">
        <f>+$P922*BJ922</f>
        <v>0</v>
      </c>
      <c r="Y922" s="5">
        <f>+$P922*BK922</f>
        <v>0</v>
      </c>
      <c r="Z922" s="5">
        <f>+$P922*BL922</f>
        <v>0</v>
      </c>
      <c r="AA922" s="5">
        <f>+$P922*BM922</f>
        <v>0</v>
      </c>
      <c r="AB922" s="5">
        <f>+$P922*BN922</f>
        <v>0</v>
      </c>
      <c r="AC922" s="5">
        <v>0</v>
      </c>
      <c r="AD922" s="5">
        <f>+$AC922*BC922</f>
        <v>0</v>
      </c>
      <c r="AE922" s="5">
        <f>+$AC922*BD922</f>
        <v>0</v>
      </c>
      <c r="AF922" s="5">
        <f>+$AC922*BE922</f>
        <v>0</v>
      </c>
      <c r="AG922" s="5">
        <f>+$AC922*BF922</f>
        <v>0</v>
      </c>
      <c r="AH922" s="5">
        <f>+$AC922*BG922</f>
        <v>0</v>
      </c>
      <c r="AI922" s="5">
        <f>+$AC922*BH922</f>
        <v>0</v>
      </c>
      <c r="AJ922" s="5">
        <f>+$AC922*BI922</f>
        <v>0</v>
      </c>
      <c r="AK922" s="5">
        <f>+$AC922*BJ922</f>
        <v>0</v>
      </c>
      <c r="AL922" s="5">
        <f>+$AC922*BK922</f>
        <v>0</v>
      </c>
      <c r="AM922" s="5">
        <f>+$AC922*BL922</f>
        <v>0</v>
      </c>
      <c r="AN922" s="5">
        <f>+$AC922*BM922</f>
        <v>0</v>
      </c>
      <c r="AO922" s="5">
        <f>+$AC922*BN922</f>
        <v>0</v>
      </c>
      <c r="AP922" s="5">
        <f>+AC922+P922+C922</f>
        <v>0</v>
      </c>
      <c r="AQ922" s="1">
        <v>95.950357622685814</v>
      </c>
      <c r="AR922" s="1">
        <v>114.74761809520804</v>
      </c>
      <c r="AS922" s="1">
        <v>101.55248291546155</v>
      </c>
      <c r="AT922" s="1">
        <v>76.922098197923589</v>
      </c>
      <c r="AU922" s="1">
        <v>111.55536042384691</v>
      </c>
      <c r="AV922" s="1">
        <v>91.419494101511816</v>
      </c>
      <c r="AW922" s="1">
        <v>91.014469690168056</v>
      </c>
      <c r="AX922" s="1">
        <v>61.807283320299497</v>
      </c>
      <c r="AY922" s="1">
        <v>91.616944584732934</v>
      </c>
      <c r="AZ922" s="1">
        <v>79.786581426475621</v>
      </c>
      <c r="BA922" s="1">
        <v>81.465124033598897</v>
      </c>
      <c r="BB922" s="1">
        <v>79.568712365971024</v>
      </c>
      <c r="BC922" s="2">
        <v>8.9181565948742242E-2</v>
      </c>
      <c r="BD922" s="2">
        <v>0.10665277883445198</v>
      </c>
      <c r="BE922" s="2">
        <v>9.438849084854764E-2</v>
      </c>
      <c r="BF922" s="2">
        <v>7.149564986855049E-2</v>
      </c>
      <c r="BG922" s="2">
        <v>0.10368571810536763</v>
      </c>
      <c r="BH922" s="2">
        <v>8.4970330952544637E-2</v>
      </c>
      <c r="BI922" s="2">
        <v>8.4593878877262704E-2</v>
      </c>
      <c r="BJ922" s="2">
        <v>5.7447105462779965E-2</v>
      </c>
      <c r="BK922" s="2">
        <v>8.5153852345557474E-2</v>
      </c>
      <c r="BL922" s="2">
        <v>7.4158058913035174E-2</v>
      </c>
      <c r="BM922" s="2">
        <v>7.5718189192107169E-2</v>
      </c>
      <c r="BN922" s="2">
        <v>7.3955559365675619E-2</v>
      </c>
    </row>
    <row r="923" spans="1:66" x14ac:dyDescent="0.25">
      <c r="A923" s="8">
        <v>15401</v>
      </c>
      <c r="B923" s="8" t="s">
        <v>73</v>
      </c>
      <c r="C923" s="5">
        <v>0</v>
      </c>
      <c r="D923" s="5">
        <f>+$C923*BC923</f>
        <v>0</v>
      </c>
      <c r="E923" s="5">
        <f>+$C923*BD923</f>
        <v>0</v>
      </c>
      <c r="F923" s="5">
        <f>+$C923*BE923</f>
        <v>0</v>
      </c>
      <c r="G923" s="5">
        <f>+$C923*BF923</f>
        <v>0</v>
      </c>
      <c r="H923" s="5">
        <f>+$C923*BG923</f>
        <v>0</v>
      </c>
      <c r="I923" s="5">
        <f>+$C923*BH923</f>
        <v>0</v>
      </c>
      <c r="J923" s="5">
        <f>+$C923*BI923</f>
        <v>0</v>
      </c>
      <c r="K923" s="5">
        <f>+$C923*BJ923</f>
        <v>0</v>
      </c>
      <c r="L923" s="5">
        <f>+$C923*BK923</f>
        <v>0</v>
      </c>
      <c r="M923" s="5">
        <f>+$C923*BL923</f>
        <v>0</v>
      </c>
      <c r="N923" s="5">
        <f>+$C923*BM923</f>
        <v>0</v>
      </c>
      <c r="O923" s="5">
        <f>+$C923*BN923</f>
        <v>0</v>
      </c>
      <c r="P923" s="5">
        <v>0</v>
      </c>
      <c r="Q923" s="5">
        <f>+$P923*BC923</f>
        <v>0</v>
      </c>
      <c r="R923" s="5">
        <f>+$P923*BD923</f>
        <v>0</v>
      </c>
      <c r="S923" s="5">
        <f>+$P923*BE923</f>
        <v>0</v>
      </c>
      <c r="T923" s="5">
        <f>+$P923*BF923</f>
        <v>0</v>
      </c>
      <c r="U923" s="5">
        <f>+$P923*BG923</f>
        <v>0</v>
      </c>
      <c r="V923" s="5">
        <f>+$P923*BH923</f>
        <v>0</v>
      </c>
      <c r="W923" s="5">
        <f>+$P923*BI923</f>
        <v>0</v>
      </c>
      <c r="X923" s="5">
        <f>+$P923*BJ923</f>
        <v>0</v>
      </c>
      <c r="Y923" s="5">
        <f>+$P923*BK923</f>
        <v>0</v>
      </c>
      <c r="Z923" s="5">
        <f>+$P923*BL923</f>
        <v>0</v>
      </c>
      <c r="AA923" s="5">
        <f>+$P923*BM923</f>
        <v>0</v>
      </c>
      <c r="AB923" s="5">
        <f>+$P923*BN923</f>
        <v>0</v>
      </c>
      <c r="AC923" s="5">
        <v>0</v>
      </c>
      <c r="AD923" s="5">
        <f>+$AC923*BC923</f>
        <v>0</v>
      </c>
      <c r="AE923" s="5">
        <f>+$AC923*BD923</f>
        <v>0</v>
      </c>
      <c r="AF923" s="5">
        <f>+$AC923*BE923</f>
        <v>0</v>
      </c>
      <c r="AG923" s="5">
        <f>+$AC923*BF923</f>
        <v>0</v>
      </c>
      <c r="AH923" s="5">
        <f>+$AC923*BG923</f>
        <v>0</v>
      </c>
      <c r="AI923" s="5">
        <f>+$AC923*BH923</f>
        <v>0</v>
      </c>
      <c r="AJ923" s="5">
        <f>+$AC923*BI923</f>
        <v>0</v>
      </c>
      <c r="AK923" s="5">
        <f>+$AC923*BJ923</f>
        <v>0</v>
      </c>
      <c r="AL923" s="5">
        <f>+$AC923*BK923</f>
        <v>0</v>
      </c>
      <c r="AM923" s="5">
        <f>+$AC923*BL923</f>
        <v>0</v>
      </c>
      <c r="AN923" s="5">
        <f>+$AC923*BM923</f>
        <v>0</v>
      </c>
      <c r="AO923" s="5">
        <f>+$AC923*BN923</f>
        <v>0</v>
      </c>
      <c r="AP923" s="5">
        <f>+AC923+P923+C923</f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2">
        <v>8.9181565948742242E-2</v>
      </c>
      <c r="BD923" s="2">
        <v>0.10665277883445198</v>
      </c>
      <c r="BE923" s="2">
        <v>9.438849084854764E-2</v>
      </c>
      <c r="BF923" s="2">
        <v>7.149564986855049E-2</v>
      </c>
      <c r="BG923" s="2">
        <v>0.10368571810536763</v>
      </c>
      <c r="BH923" s="2">
        <v>8.4970330952544637E-2</v>
      </c>
      <c r="BI923" s="2">
        <v>8.4593878877262704E-2</v>
      </c>
      <c r="BJ923" s="2">
        <v>5.7447105462779965E-2</v>
      </c>
      <c r="BK923" s="2">
        <v>8.5153852345557474E-2</v>
      </c>
      <c r="BL923" s="2">
        <v>7.4158058913035174E-2</v>
      </c>
      <c r="BM923" s="2">
        <v>7.5718189192107169E-2</v>
      </c>
      <c r="BN923" s="2">
        <v>7.3955559365675619E-2</v>
      </c>
    </row>
    <row r="924" spans="1:66" x14ac:dyDescent="0.25">
      <c r="A924" s="8">
        <v>15412</v>
      </c>
      <c r="B924" s="8" t="s">
        <v>72</v>
      </c>
      <c r="C924" s="5">
        <v>0</v>
      </c>
      <c r="D924" s="5">
        <f>+$C924*BC924</f>
        <v>0</v>
      </c>
      <c r="E924" s="5">
        <f>+$C924*BD924</f>
        <v>0</v>
      </c>
      <c r="F924" s="5">
        <f>+$C924*BE924</f>
        <v>0</v>
      </c>
      <c r="G924" s="5">
        <f>+$C924*BF924</f>
        <v>0</v>
      </c>
      <c r="H924" s="5">
        <f>+$C924*BG924</f>
        <v>0</v>
      </c>
      <c r="I924" s="5">
        <f>+$C924*BH924</f>
        <v>0</v>
      </c>
      <c r="J924" s="5">
        <f>+$C924*BI924</f>
        <v>0</v>
      </c>
      <c r="K924" s="5">
        <f>+$C924*BJ924</f>
        <v>0</v>
      </c>
      <c r="L924" s="5">
        <f>+$C924*BK924</f>
        <v>0</v>
      </c>
      <c r="M924" s="5">
        <f>+$C924*BL924</f>
        <v>0</v>
      </c>
      <c r="N924" s="5">
        <f>+$C924*BM924</f>
        <v>0</v>
      </c>
      <c r="O924" s="5">
        <f>+$C924*BN924</f>
        <v>0</v>
      </c>
      <c r="P924" s="5">
        <v>0</v>
      </c>
      <c r="Q924" s="5">
        <f>+$P924*BC924</f>
        <v>0</v>
      </c>
      <c r="R924" s="5">
        <f>+$P924*BD924</f>
        <v>0</v>
      </c>
      <c r="S924" s="5">
        <f>+$P924*BE924</f>
        <v>0</v>
      </c>
      <c r="T924" s="5">
        <f>+$P924*BF924</f>
        <v>0</v>
      </c>
      <c r="U924" s="5">
        <f>+$P924*BG924</f>
        <v>0</v>
      </c>
      <c r="V924" s="5">
        <f>+$P924*BH924</f>
        <v>0</v>
      </c>
      <c r="W924" s="5">
        <f>+$P924*BI924</f>
        <v>0</v>
      </c>
      <c r="X924" s="5">
        <f>+$P924*BJ924</f>
        <v>0</v>
      </c>
      <c r="Y924" s="5">
        <f>+$P924*BK924</f>
        <v>0</v>
      </c>
      <c r="Z924" s="5">
        <f>+$P924*BL924</f>
        <v>0</v>
      </c>
      <c r="AA924" s="5">
        <f>+$P924*BM924</f>
        <v>0</v>
      </c>
      <c r="AB924" s="5">
        <f>+$P924*BN924</f>
        <v>0</v>
      </c>
      <c r="AC924" s="5">
        <v>0</v>
      </c>
      <c r="AD924" s="5">
        <f>+$AC924*BC924</f>
        <v>0</v>
      </c>
      <c r="AE924" s="5">
        <f>+$AC924*BD924</f>
        <v>0</v>
      </c>
      <c r="AF924" s="5">
        <f>+$AC924*BE924</f>
        <v>0</v>
      </c>
      <c r="AG924" s="5">
        <f>+$AC924*BF924</f>
        <v>0</v>
      </c>
      <c r="AH924" s="5">
        <f>+$AC924*BG924</f>
        <v>0</v>
      </c>
      <c r="AI924" s="5">
        <f>+$AC924*BH924</f>
        <v>0</v>
      </c>
      <c r="AJ924" s="5">
        <f>+$AC924*BI924</f>
        <v>0</v>
      </c>
      <c r="AK924" s="5">
        <f>+$AC924*BJ924</f>
        <v>0</v>
      </c>
      <c r="AL924" s="5">
        <f>+$AC924*BK924</f>
        <v>0</v>
      </c>
      <c r="AM924" s="5">
        <f>+$AC924*BL924</f>
        <v>0</v>
      </c>
      <c r="AN924" s="5">
        <f>+$AC924*BM924</f>
        <v>0</v>
      </c>
      <c r="AO924" s="5">
        <f>+$AC924*BN924</f>
        <v>0</v>
      </c>
      <c r="AP924" s="5">
        <f>+AC924+P924+C924</f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2">
        <v>8.9181565948742242E-2</v>
      </c>
      <c r="BD924" s="2">
        <v>0.10665277883445198</v>
      </c>
      <c r="BE924" s="2">
        <v>9.438849084854764E-2</v>
      </c>
      <c r="BF924" s="2">
        <v>7.149564986855049E-2</v>
      </c>
      <c r="BG924" s="2">
        <v>0.10368571810536763</v>
      </c>
      <c r="BH924" s="2">
        <v>8.4970330952544637E-2</v>
      </c>
      <c r="BI924" s="2">
        <v>8.4593878877262704E-2</v>
      </c>
      <c r="BJ924" s="2">
        <v>5.7447105462779965E-2</v>
      </c>
      <c r="BK924" s="2">
        <v>8.5153852345557474E-2</v>
      </c>
      <c r="BL924" s="2">
        <v>7.4158058913035174E-2</v>
      </c>
      <c r="BM924" s="2">
        <v>7.5718189192107169E-2</v>
      </c>
      <c r="BN924" s="2">
        <v>7.3955559365675619E-2</v>
      </c>
    </row>
    <row r="925" spans="1:66" x14ac:dyDescent="0.25">
      <c r="A925" s="8">
        <v>15424</v>
      </c>
      <c r="B925" s="8" t="s">
        <v>71</v>
      </c>
      <c r="C925" s="5">
        <v>0</v>
      </c>
      <c r="D925" s="5">
        <f>+$C925*BC925</f>
        <v>0</v>
      </c>
      <c r="E925" s="5">
        <f>+$C925*BD925</f>
        <v>0</v>
      </c>
      <c r="F925" s="5">
        <f>+$C925*BE925</f>
        <v>0</v>
      </c>
      <c r="G925" s="5">
        <f>+$C925*BF925</f>
        <v>0</v>
      </c>
      <c r="H925" s="5">
        <f>+$C925*BG925</f>
        <v>0</v>
      </c>
      <c r="I925" s="5">
        <f>+$C925*BH925</f>
        <v>0</v>
      </c>
      <c r="J925" s="5">
        <f>+$C925*BI925</f>
        <v>0</v>
      </c>
      <c r="K925" s="5">
        <f>+$C925*BJ925</f>
        <v>0</v>
      </c>
      <c r="L925" s="5">
        <f>+$C925*BK925</f>
        <v>0</v>
      </c>
      <c r="M925" s="5">
        <f>+$C925*BL925</f>
        <v>0</v>
      </c>
      <c r="N925" s="5">
        <f>+$C925*BM925</f>
        <v>0</v>
      </c>
      <c r="O925" s="5">
        <f>+$C925*BN925</f>
        <v>0</v>
      </c>
      <c r="P925" s="5">
        <v>1500</v>
      </c>
      <c r="Q925" s="5">
        <f>+$P925*BC925</f>
        <v>133.77234892311336</v>
      </c>
      <c r="R925" s="5">
        <f>+$P925*BD925</f>
        <v>159.97916825167798</v>
      </c>
      <c r="S925" s="5">
        <f>+$P925*BE925</f>
        <v>141.58273627282145</v>
      </c>
      <c r="T925" s="5">
        <f>+$P925*BF925</f>
        <v>107.24347480282573</v>
      </c>
      <c r="U925" s="5">
        <f>+$P925*BG925</f>
        <v>155.52857715805143</v>
      </c>
      <c r="V925" s="5">
        <f>+$P925*BH925</f>
        <v>127.45549642881696</v>
      </c>
      <c r="W925" s="5">
        <f>+$P925*BI925</f>
        <v>126.89081831589405</v>
      </c>
      <c r="X925" s="5">
        <f>+$P925*BJ925</f>
        <v>86.170658194169945</v>
      </c>
      <c r="Y925" s="5">
        <f>+$P925*BK925</f>
        <v>127.73077851833621</v>
      </c>
      <c r="Z925" s="5">
        <f>+$P925*BL925</f>
        <v>111.23708836955277</v>
      </c>
      <c r="AA925" s="5">
        <f>+$P925*BM925</f>
        <v>113.57728378816076</v>
      </c>
      <c r="AB925" s="5">
        <f>+$P925*BN925</f>
        <v>110.93333904851343</v>
      </c>
      <c r="AC925" s="5">
        <v>0</v>
      </c>
      <c r="AD925" s="5">
        <f>+$AC925*BC925</f>
        <v>0</v>
      </c>
      <c r="AE925" s="5">
        <f>+$AC925*BD925</f>
        <v>0</v>
      </c>
      <c r="AF925" s="5">
        <f>+$AC925*BE925</f>
        <v>0</v>
      </c>
      <c r="AG925" s="5">
        <f>+$AC925*BF925</f>
        <v>0</v>
      </c>
      <c r="AH925" s="5">
        <f>+$AC925*BG925</f>
        <v>0</v>
      </c>
      <c r="AI925" s="5">
        <f>+$AC925*BH925</f>
        <v>0</v>
      </c>
      <c r="AJ925" s="5">
        <f>+$AC925*BI925</f>
        <v>0</v>
      </c>
      <c r="AK925" s="5">
        <f>+$AC925*BJ925</f>
        <v>0</v>
      </c>
      <c r="AL925" s="5">
        <f>+$AC925*BK925</f>
        <v>0</v>
      </c>
      <c r="AM925" s="5">
        <f>+$AC925*BL925</f>
        <v>0</v>
      </c>
      <c r="AN925" s="5">
        <f>+$AC925*BM925</f>
        <v>0</v>
      </c>
      <c r="AO925" s="5">
        <f>+$AC925*BN925</f>
        <v>0</v>
      </c>
      <c r="AP925" s="5">
        <f>+AC925+P925+C925</f>
        <v>1500</v>
      </c>
      <c r="AQ925" s="1">
        <v>97.126573295983789</v>
      </c>
      <c r="AR925" s="1">
        <v>116.15426159525563</v>
      </c>
      <c r="AS925" s="1">
        <v>102.79737272126305</v>
      </c>
      <c r="AT925" s="1">
        <v>77.865054324039917</v>
      </c>
      <c r="AU925" s="1">
        <v>112.92287135993861</v>
      </c>
      <c r="AV925" s="1">
        <v>92.540167796444933</v>
      </c>
      <c r="AW925" s="1">
        <v>92.130178358680283</v>
      </c>
      <c r="AX925" s="1">
        <v>62.564953194248105</v>
      </c>
      <c r="AY925" s="1">
        <v>92.740038743318493</v>
      </c>
      <c r="AZ925" s="1">
        <v>80.764652065479652</v>
      </c>
      <c r="BA925" s="1">
        <v>82.463771230853609</v>
      </c>
      <c r="BB925" s="1">
        <v>80.544112238444924</v>
      </c>
      <c r="BC925" s="2">
        <v>8.9181565948742242E-2</v>
      </c>
      <c r="BD925" s="2">
        <v>0.10665277883445198</v>
      </c>
      <c r="BE925" s="2">
        <v>9.438849084854764E-2</v>
      </c>
      <c r="BF925" s="2">
        <v>7.149564986855049E-2</v>
      </c>
      <c r="BG925" s="2">
        <v>0.10368571810536763</v>
      </c>
      <c r="BH925" s="2">
        <v>8.4970330952544637E-2</v>
      </c>
      <c r="BI925" s="2">
        <v>8.4593878877262704E-2</v>
      </c>
      <c r="BJ925" s="2">
        <v>5.7447105462779965E-2</v>
      </c>
      <c r="BK925" s="2">
        <v>8.5153852345557474E-2</v>
      </c>
      <c r="BL925" s="2">
        <v>7.4158058913035174E-2</v>
      </c>
      <c r="BM925" s="2">
        <v>7.5718189192107169E-2</v>
      </c>
      <c r="BN925" s="2">
        <v>7.3955559365675619E-2</v>
      </c>
    </row>
    <row r="926" spans="1:66" x14ac:dyDescent="0.25">
      <c r="A926" s="8">
        <v>15507</v>
      </c>
      <c r="B926" s="8" t="s">
        <v>70</v>
      </c>
      <c r="C926" s="5">
        <v>0</v>
      </c>
      <c r="D926" s="5">
        <f>+$C926*BC926</f>
        <v>0</v>
      </c>
      <c r="E926" s="5">
        <f>+$C926*BD926</f>
        <v>0</v>
      </c>
      <c r="F926" s="5">
        <f>+$C926*BE926</f>
        <v>0</v>
      </c>
      <c r="G926" s="5">
        <f>+$C926*BF926</f>
        <v>0</v>
      </c>
      <c r="H926" s="5">
        <f>+$C926*BG926</f>
        <v>0</v>
      </c>
      <c r="I926" s="5">
        <f>+$C926*BH926</f>
        <v>0</v>
      </c>
      <c r="J926" s="5">
        <f>+$C926*BI926</f>
        <v>0</v>
      </c>
      <c r="K926" s="5">
        <f>+$C926*BJ926</f>
        <v>0</v>
      </c>
      <c r="L926" s="5">
        <f>+$C926*BK926</f>
        <v>0</v>
      </c>
      <c r="M926" s="5">
        <f>+$C926*BL926</f>
        <v>0</v>
      </c>
      <c r="N926" s="5">
        <f>+$C926*BM926</f>
        <v>0</v>
      </c>
      <c r="O926" s="5">
        <f>+$C926*BN926</f>
        <v>0</v>
      </c>
      <c r="P926" s="5">
        <v>0</v>
      </c>
      <c r="Q926" s="5">
        <f>+$P926*BC926</f>
        <v>0</v>
      </c>
      <c r="R926" s="5">
        <f>+$P926*BD926</f>
        <v>0</v>
      </c>
      <c r="S926" s="5">
        <f>+$P926*BE926</f>
        <v>0</v>
      </c>
      <c r="T926" s="5">
        <f>+$P926*BF926</f>
        <v>0</v>
      </c>
      <c r="U926" s="5">
        <f>+$P926*BG926</f>
        <v>0</v>
      </c>
      <c r="V926" s="5">
        <f>+$P926*BH926</f>
        <v>0</v>
      </c>
      <c r="W926" s="5">
        <f>+$P926*BI926</f>
        <v>0</v>
      </c>
      <c r="X926" s="5">
        <f>+$P926*BJ926</f>
        <v>0</v>
      </c>
      <c r="Y926" s="5">
        <f>+$P926*BK926</f>
        <v>0</v>
      </c>
      <c r="Z926" s="5">
        <f>+$P926*BL926</f>
        <v>0</v>
      </c>
      <c r="AA926" s="5">
        <f>+$P926*BM926</f>
        <v>0</v>
      </c>
      <c r="AB926" s="5">
        <f>+$P926*BN926</f>
        <v>0</v>
      </c>
      <c r="AC926" s="5">
        <v>0</v>
      </c>
      <c r="AD926" s="5">
        <f>+$AC926*BC926</f>
        <v>0</v>
      </c>
      <c r="AE926" s="5">
        <f>+$AC926*BD926</f>
        <v>0</v>
      </c>
      <c r="AF926" s="5">
        <f>+$AC926*BE926</f>
        <v>0</v>
      </c>
      <c r="AG926" s="5">
        <f>+$AC926*BF926</f>
        <v>0</v>
      </c>
      <c r="AH926" s="5">
        <f>+$AC926*BG926</f>
        <v>0</v>
      </c>
      <c r="AI926" s="5">
        <f>+$AC926*BH926</f>
        <v>0</v>
      </c>
      <c r="AJ926" s="5">
        <f>+$AC926*BI926</f>
        <v>0</v>
      </c>
      <c r="AK926" s="5">
        <f>+$AC926*BJ926</f>
        <v>0</v>
      </c>
      <c r="AL926" s="5">
        <f>+$AC926*BK926</f>
        <v>0</v>
      </c>
      <c r="AM926" s="5">
        <f>+$AC926*BL926</f>
        <v>0</v>
      </c>
      <c r="AN926" s="5">
        <f>+$AC926*BM926</f>
        <v>0</v>
      </c>
      <c r="AO926" s="5">
        <f>+$AC926*BN926</f>
        <v>0</v>
      </c>
      <c r="AP926" s="5">
        <f>+AC926+P926+C926</f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2">
        <v>8.9181565948742242E-2</v>
      </c>
      <c r="BD926" s="2">
        <v>0.10665277883445198</v>
      </c>
      <c r="BE926" s="2">
        <v>9.438849084854764E-2</v>
      </c>
      <c r="BF926" s="2">
        <v>7.149564986855049E-2</v>
      </c>
      <c r="BG926" s="2">
        <v>0.10368571810536763</v>
      </c>
      <c r="BH926" s="2">
        <v>8.4970330952544637E-2</v>
      </c>
      <c r="BI926" s="2">
        <v>8.4593878877262704E-2</v>
      </c>
      <c r="BJ926" s="2">
        <v>5.7447105462779965E-2</v>
      </c>
      <c r="BK926" s="2">
        <v>8.5153852345557474E-2</v>
      </c>
      <c r="BL926" s="2">
        <v>7.4158058913035174E-2</v>
      </c>
      <c r="BM926" s="2">
        <v>7.5718189192107169E-2</v>
      </c>
      <c r="BN926" s="2">
        <v>7.3955559365675619E-2</v>
      </c>
    </row>
    <row r="927" spans="1:66" x14ac:dyDescent="0.25">
      <c r="A927" s="8">
        <v>16053</v>
      </c>
      <c r="B927" s="8" t="s">
        <v>69</v>
      </c>
      <c r="C927" s="5">
        <v>0</v>
      </c>
      <c r="D927" s="5">
        <f>+$C927*BC927</f>
        <v>0</v>
      </c>
      <c r="E927" s="5">
        <f>+$C927*BD927</f>
        <v>0</v>
      </c>
      <c r="F927" s="5">
        <f>+$C927*BE927</f>
        <v>0</v>
      </c>
      <c r="G927" s="5">
        <f>+$C927*BF927</f>
        <v>0</v>
      </c>
      <c r="H927" s="5">
        <f>+$C927*BG927</f>
        <v>0</v>
      </c>
      <c r="I927" s="5">
        <f>+$C927*BH927</f>
        <v>0</v>
      </c>
      <c r="J927" s="5">
        <f>+$C927*BI927</f>
        <v>0</v>
      </c>
      <c r="K927" s="5">
        <f>+$C927*BJ927</f>
        <v>0</v>
      </c>
      <c r="L927" s="5">
        <f>+$C927*BK927</f>
        <v>0</v>
      </c>
      <c r="M927" s="5">
        <f>+$C927*BL927</f>
        <v>0</v>
      </c>
      <c r="N927" s="5">
        <f>+$C927*BM927</f>
        <v>0</v>
      </c>
      <c r="O927" s="5">
        <f>+$C927*BN927</f>
        <v>0</v>
      </c>
      <c r="P927" s="5">
        <v>0</v>
      </c>
      <c r="Q927" s="5">
        <f>+$P927*BC927</f>
        <v>0</v>
      </c>
      <c r="R927" s="5">
        <f>+$P927*BD927</f>
        <v>0</v>
      </c>
      <c r="S927" s="5">
        <f>+$P927*BE927</f>
        <v>0</v>
      </c>
      <c r="T927" s="5">
        <f>+$P927*BF927</f>
        <v>0</v>
      </c>
      <c r="U927" s="5">
        <f>+$P927*BG927</f>
        <v>0</v>
      </c>
      <c r="V927" s="5">
        <f>+$P927*BH927</f>
        <v>0</v>
      </c>
      <c r="W927" s="5">
        <f>+$P927*BI927</f>
        <v>0</v>
      </c>
      <c r="X927" s="5">
        <f>+$P927*BJ927</f>
        <v>0</v>
      </c>
      <c r="Y927" s="5">
        <f>+$P927*BK927</f>
        <v>0</v>
      </c>
      <c r="Z927" s="5">
        <f>+$P927*BL927</f>
        <v>0</v>
      </c>
      <c r="AA927" s="5">
        <f>+$P927*BM927</f>
        <v>0</v>
      </c>
      <c r="AB927" s="5">
        <f>+$P927*BN927</f>
        <v>0</v>
      </c>
      <c r="AC927" s="5">
        <v>0</v>
      </c>
      <c r="AD927" s="5">
        <f>+$AC927*BC927</f>
        <v>0</v>
      </c>
      <c r="AE927" s="5">
        <f>+$AC927*BD927</f>
        <v>0</v>
      </c>
      <c r="AF927" s="5">
        <f>+$AC927*BE927</f>
        <v>0</v>
      </c>
      <c r="AG927" s="5">
        <f>+$AC927*BF927</f>
        <v>0</v>
      </c>
      <c r="AH927" s="5">
        <f>+$AC927*BG927</f>
        <v>0</v>
      </c>
      <c r="AI927" s="5">
        <f>+$AC927*BH927</f>
        <v>0</v>
      </c>
      <c r="AJ927" s="5">
        <f>+$AC927*BI927</f>
        <v>0</v>
      </c>
      <c r="AK927" s="5">
        <f>+$AC927*BJ927</f>
        <v>0</v>
      </c>
      <c r="AL927" s="5">
        <f>+$AC927*BK927</f>
        <v>0</v>
      </c>
      <c r="AM927" s="5">
        <f>+$AC927*BL927</f>
        <v>0</v>
      </c>
      <c r="AN927" s="5">
        <f>+$AC927*BM927</f>
        <v>0</v>
      </c>
      <c r="AO927" s="5">
        <f>+$AC927*BN927</f>
        <v>0</v>
      </c>
      <c r="AP927" s="5">
        <f>+AC927+P927+C927</f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2">
        <v>8.9181565948742242E-2</v>
      </c>
      <c r="BD927" s="2">
        <v>0.10665277883445198</v>
      </c>
      <c r="BE927" s="2">
        <v>9.438849084854764E-2</v>
      </c>
      <c r="BF927" s="2">
        <v>7.149564986855049E-2</v>
      </c>
      <c r="BG927" s="2">
        <v>0.10368571810536763</v>
      </c>
      <c r="BH927" s="2">
        <v>8.4970330952544637E-2</v>
      </c>
      <c r="BI927" s="2">
        <v>8.4593878877262704E-2</v>
      </c>
      <c r="BJ927" s="2">
        <v>5.7447105462779965E-2</v>
      </c>
      <c r="BK927" s="2">
        <v>8.5153852345557474E-2</v>
      </c>
      <c r="BL927" s="2">
        <v>7.4158058913035174E-2</v>
      </c>
      <c r="BM927" s="2">
        <v>7.5718189192107169E-2</v>
      </c>
      <c r="BN927" s="2">
        <v>7.3955559365675619E-2</v>
      </c>
    </row>
    <row r="928" spans="1:66" x14ac:dyDescent="0.25">
      <c r="A928" s="8">
        <v>16059</v>
      </c>
      <c r="B928" s="8" t="s">
        <v>68</v>
      </c>
      <c r="C928" s="5">
        <v>0</v>
      </c>
      <c r="D928" s="5">
        <f>+$C928*BC928</f>
        <v>0</v>
      </c>
      <c r="E928" s="5">
        <f>+$C928*BD928</f>
        <v>0</v>
      </c>
      <c r="F928" s="5">
        <f>+$C928*BE928</f>
        <v>0</v>
      </c>
      <c r="G928" s="5">
        <f>+$C928*BF928</f>
        <v>0</v>
      </c>
      <c r="H928" s="5">
        <f>+$C928*BG928</f>
        <v>0</v>
      </c>
      <c r="I928" s="5">
        <f>+$C928*BH928</f>
        <v>0</v>
      </c>
      <c r="J928" s="5">
        <f>+$C928*BI928</f>
        <v>0</v>
      </c>
      <c r="K928" s="5">
        <f>+$C928*BJ928</f>
        <v>0</v>
      </c>
      <c r="L928" s="5">
        <f>+$C928*BK928</f>
        <v>0</v>
      </c>
      <c r="M928" s="5">
        <f>+$C928*BL928</f>
        <v>0</v>
      </c>
      <c r="N928" s="5">
        <f>+$C928*BM928</f>
        <v>0</v>
      </c>
      <c r="O928" s="5">
        <f>+$C928*BN928</f>
        <v>0</v>
      </c>
      <c r="P928" s="5">
        <v>500</v>
      </c>
      <c r="Q928" s="5">
        <f>+$P928*BC928</f>
        <v>44.590782974371123</v>
      </c>
      <c r="R928" s="5">
        <f>+$P928*BD928</f>
        <v>53.32638941722599</v>
      </c>
      <c r="S928" s="5">
        <f>+$P928*BE928</f>
        <v>47.194245424273824</v>
      </c>
      <c r="T928" s="5">
        <f>+$P928*BF928</f>
        <v>35.747824934275243</v>
      </c>
      <c r="U928" s="5">
        <f>+$P928*BG928</f>
        <v>51.842859052683814</v>
      </c>
      <c r="V928" s="5">
        <f>+$P928*BH928</f>
        <v>42.485165476272321</v>
      </c>
      <c r="W928" s="5">
        <f>+$P928*BI928</f>
        <v>42.296939438631355</v>
      </c>
      <c r="X928" s="5">
        <f>+$P928*BJ928</f>
        <v>28.723552731389983</v>
      </c>
      <c r="Y928" s="5">
        <f>+$P928*BK928</f>
        <v>42.576926172778734</v>
      </c>
      <c r="Z928" s="5">
        <f>+$P928*BL928</f>
        <v>37.079029456517588</v>
      </c>
      <c r="AA928" s="5">
        <f>+$P928*BM928</f>
        <v>37.859094596053588</v>
      </c>
      <c r="AB928" s="5">
        <f>+$P928*BN928</f>
        <v>36.977779682837813</v>
      </c>
      <c r="AC928" s="5">
        <v>0</v>
      </c>
      <c r="AD928" s="5">
        <f>+$AC928*BC928</f>
        <v>0</v>
      </c>
      <c r="AE928" s="5">
        <f>+$AC928*BD928</f>
        <v>0</v>
      </c>
      <c r="AF928" s="5">
        <f>+$AC928*BE928</f>
        <v>0</v>
      </c>
      <c r="AG928" s="5">
        <f>+$AC928*BF928</f>
        <v>0</v>
      </c>
      <c r="AH928" s="5">
        <f>+$AC928*BG928</f>
        <v>0</v>
      </c>
      <c r="AI928" s="5">
        <f>+$AC928*BH928</f>
        <v>0</v>
      </c>
      <c r="AJ928" s="5">
        <f>+$AC928*BI928</f>
        <v>0</v>
      </c>
      <c r="AK928" s="5">
        <f>+$AC928*BJ928</f>
        <v>0</v>
      </c>
      <c r="AL928" s="5">
        <f>+$AC928*BK928</f>
        <v>0</v>
      </c>
      <c r="AM928" s="5">
        <f>+$AC928*BL928</f>
        <v>0</v>
      </c>
      <c r="AN928" s="5">
        <f>+$AC928*BM928</f>
        <v>0</v>
      </c>
      <c r="AO928" s="5">
        <f>+$AC928*BN928</f>
        <v>0</v>
      </c>
      <c r="AP928" s="5">
        <f>+AC928+P928+C928</f>
        <v>500</v>
      </c>
      <c r="AQ928" s="1">
        <v>22.680655852084129</v>
      </c>
      <c r="AR928" s="1">
        <v>27.123934713177832</v>
      </c>
      <c r="AS928" s="1">
        <v>24.004880992602637</v>
      </c>
      <c r="AT928" s="1">
        <v>18.182773674569763</v>
      </c>
      <c r="AU928" s="1">
        <v>26.369351828557097</v>
      </c>
      <c r="AV928" s="1">
        <v>21.609654567851155</v>
      </c>
      <c r="AW928" s="1">
        <v>21.513915276065454</v>
      </c>
      <c r="AX928" s="1">
        <v>14.609947861294202</v>
      </c>
      <c r="AY928" s="1">
        <v>21.656327728522179</v>
      </c>
      <c r="AZ928" s="1">
        <v>18.859877542763108</v>
      </c>
      <c r="BA928" s="1">
        <v>19.256649875336695</v>
      </c>
      <c r="BB928" s="1">
        <v>18.808377857878625</v>
      </c>
      <c r="BC928" s="2">
        <v>8.9181565948742242E-2</v>
      </c>
      <c r="BD928" s="2">
        <v>0.10665277883445198</v>
      </c>
      <c r="BE928" s="2">
        <v>9.438849084854764E-2</v>
      </c>
      <c r="BF928" s="2">
        <v>7.149564986855049E-2</v>
      </c>
      <c r="BG928" s="2">
        <v>0.10368571810536763</v>
      </c>
      <c r="BH928" s="2">
        <v>8.4970330952544637E-2</v>
      </c>
      <c r="BI928" s="2">
        <v>8.4593878877262704E-2</v>
      </c>
      <c r="BJ928" s="2">
        <v>5.7447105462779965E-2</v>
      </c>
      <c r="BK928" s="2">
        <v>8.5153852345557474E-2</v>
      </c>
      <c r="BL928" s="2">
        <v>7.4158058913035174E-2</v>
      </c>
      <c r="BM928" s="2">
        <v>7.5718189192107169E-2</v>
      </c>
      <c r="BN928" s="2">
        <v>7.3955559365675619E-2</v>
      </c>
    </row>
    <row r="929" spans="1:66" x14ac:dyDescent="0.25">
      <c r="A929" s="8">
        <v>16061</v>
      </c>
      <c r="B929" s="8" t="s">
        <v>67</v>
      </c>
      <c r="C929" s="5">
        <v>0</v>
      </c>
      <c r="D929" s="5">
        <f>+$C929*BC929</f>
        <v>0</v>
      </c>
      <c r="E929" s="5">
        <f>+$C929*BD929</f>
        <v>0</v>
      </c>
      <c r="F929" s="5">
        <f>+$C929*BE929</f>
        <v>0</v>
      </c>
      <c r="G929" s="5">
        <f>+$C929*BF929</f>
        <v>0</v>
      </c>
      <c r="H929" s="5">
        <f>+$C929*BG929</f>
        <v>0</v>
      </c>
      <c r="I929" s="5">
        <f>+$C929*BH929</f>
        <v>0</v>
      </c>
      <c r="J929" s="5">
        <f>+$C929*BI929</f>
        <v>0</v>
      </c>
      <c r="K929" s="5">
        <f>+$C929*BJ929</f>
        <v>0</v>
      </c>
      <c r="L929" s="5">
        <f>+$C929*BK929</f>
        <v>0</v>
      </c>
      <c r="M929" s="5">
        <f>+$C929*BL929</f>
        <v>0</v>
      </c>
      <c r="N929" s="5">
        <f>+$C929*BM929</f>
        <v>0</v>
      </c>
      <c r="O929" s="5">
        <f>+$C929*BN929</f>
        <v>0</v>
      </c>
      <c r="P929" s="5">
        <v>0</v>
      </c>
      <c r="Q929" s="5">
        <f>+$P929*BC929</f>
        <v>0</v>
      </c>
      <c r="R929" s="5">
        <f>+$P929*BD929</f>
        <v>0</v>
      </c>
      <c r="S929" s="5">
        <f>+$P929*BE929</f>
        <v>0</v>
      </c>
      <c r="T929" s="5">
        <f>+$P929*BF929</f>
        <v>0</v>
      </c>
      <c r="U929" s="5">
        <f>+$P929*BG929</f>
        <v>0</v>
      </c>
      <c r="V929" s="5">
        <f>+$P929*BH929</f>
        <v>0</v>
      </c>
      <c r="W929" s="5">
        <f>+$P929*BI929</f>
        <v>0</v>
      </c>
      <c r="X929" s="5">
        <f>+$P929*BJ929</f>
        <v>0</v>
      </c>
      <c r="Y929" s="5">
        <f>+$P929*BK929</f>
        <v>0</v>
      </c>
      <c r="Z929" s="5">
        <f>+$P929*BL929</f>
        <v>0</v>
      </c>
      <c r="AA929" s="5">
        <f>+$P929*BM929</f>
        <v>0</v>
      </c>
      <c r="AB929" s="5">
        <f>+$P929*BN929</f>
        <v>0</v>
      </c>
      <c r="AC929" s="5">
        <v>0</v>
      </c>
      <c r="AD929" s="5">
        <f>+$AC929*BC929</f>
        <v>0</v>
      </c>
      <c r="AE929" s="5">
        <f>+$AC929*BD929</f>
        <v>0</v>
      </c>
      <c r="AF929" s="5">
        <f>+$AC929*BE929</f>
        <v>0</v>
      </c>
      <c r="AG929" s="5">
        <f>+$AC929*BF929</f>
        <v>0</v>
      </c>
      <c r="AH929" s="5">
        <f>+$AC929*BG929</f>
        <v>0</v>
      </c>
      <c r="AI929" s="5">
        <f>+$AC929*BH929</f>
        <v>0</v>
      </c>
      <c r="AJ929" s="5">
        <f>+$AC929*BI929</f>
        <v>0</v>
      </c>
      <c r="AK929" s="5">
        <f>+$AC929*BJ929</f>
        <v>0</v>
      </c>
      <c r="AL929" s="5">
        <f>+$AC929*BK929</f>
        <v>0</v>
      </c>
      <c r="AM929" s="5">
        <f>+$AC929*BL929</f>
        <v>0</v>
      </c>
      <c r="AN929" s="5">
        <f>+$AC929*BM929</f>
        <v>0</v>
      </c>
      <c r="AO929" s="5">
        <f>+$AC929*BN929</f>
        <v>0</v>
      </c>
      <c r="AP929" s="5">
        <f>+AC929+P929+C929</f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2">
        <v>8.9181565948742242E-2</v>
      </c>
      <c r="BD929" s="2">
        <v>0.10665277883445198</v>
      </c>
      <c r="BE929" s="2">
        <v>9.438849084854764E-2</v>
      </c>
      <c r="BF929" s="2">
        <v>7.149564986855049E-2</v>
      </c>
      <c r="BG929" s="2">
        <v>0.10368571810536763</v>
      </c>
      <c r="BH929" s="2">
        <v>8.4970330952544637E-2</v>
      </c>
      <c r="BI929" s="2">
        <v>8.4593878877262704E-2</v>
      </c>
      <c r="BJ929" s="2">
        <v>5.7447105462779965E-2</v>
      </c>
      <c r="BK929" s="2">
        <v>8.5153852345557474E-2</v>
      </c>
      <c r="BL929" s="2">
        <v>7.4158058913035174E-2</v>
      </c>
      <c r="BM929" s="2">
        <v>7.5718189192107169E-2</v>
      </c>
      <c r="BN929" s="2">
        <v>7.3955559365675619E-2</v>
      </c>
    </row>
    <row r="930" spans="1:66" x14ac:dyDescent="0.25">
      <c r="A930" s="8">
        <v>16086</v>
      </c>
      <c r="B930" s="8" t="s">
        <v>66</v>
      </c>
      <c r="C930" s="5">
        <v>0</v>
      </c>
      <c r="D930" s="5">
        <f>+$C930*BC930</f>
        <v>0</v>
      </c>
      <c r="E930" s="5">
        <f>+$C930*BD930</f>
        <v>0</v>
      </c>
      <c r="F930" s="5">
        <f>+$C930*BE930</f>
        <v>0</v>
      </c>
      <c r="G930" s="5">
        <f>+$C930*BF930</f>
        <v>0</v>
      </c>
      <c r="H930" s="5">
        <f>+$C930*BG930</f>
        <v>0</v>
      </c>
      <c r="I930" s="5">
        <f>+$C930*BH930</f>
        <v>0</v>
      </c>
      <c r="J930" s="5">
        <f>+$C930*BI930</f>
        <v>0</v>
      </c>
      <c r="K930" s="5">
        <f>+$C930*BJ930</f>
        <v>0</v>
      </c>
      <c r="L930" s="5">
        <f>+$C930*BK930</f>
        <v>0</v>
      </c>
      <c r="M930" s="5">
        <f>+$C930*BL930</f>
        <v>0</v>
      </c>
      <c r="N930" s="5">
        <f>+$C930*BM930</f>
        <v>0</v>
      </c>
      <c r="O930" s="5">
        <f>+$C930*BN930</f>
        <v>0</v>
      </c>
      <c r="P930" s="5">
        <v>0</v>
      </c>
      <c r="Q930" s="5">
        <f>+$P930*BC930</f>
        <v>0</v>
      </c>
      <c r="R930" s="5">
        <f>+$P930*BD930</f>
        <v>0</v>
      </c>
      <c r="S930" s="5">
        <f>+$P930*BE930</f>
        <v>0</v>
      </c>
      <c r="T930" s="5">
        <f>+$P930*BF930</f>
        <v>0</v>
      </c>
      <c r="U930" s="5">
        <f>+$P930*BG930</f>
        <v>0</v>
      </c>
      <c r="V930" s="5">
        <f>+$P930*BH930</f>
        <v>0</v>
      </c>
      <c r="W930" s="5">
        <f>+$P930*BI930</f>
        <v>0</v>
      </c>
      <c r="X930" s="5">
        <f>+$P930*BJ930</f>
        <v>0</v>
      </c>
      <c r="Y930" s="5">
        <f>+$P930*BK930</f>
        <v>0</v>
      </c>
      <c r="Z930" s="5">
        <f>+$P930*BL930</f>
        <v>0</v>
      </c>
      <c r="AA930" s="5">
        <f>+$P930*BM930</f>
        <v>0</v>
      </c>
      <c r="AB930" s="5">
        <f>+$P930*BN930</f>
        <v>0</v>
      </c>
      <c r="AC930" s="5">
        <v>0</v>
      </c>
      <c r="AD930" s="5">
        <f>+$AC930*BC930</f>
        <v>0</v>
      </c>
      <c r="AE930" s="5">
        <f>+$AC930*BD930</f>
        <v>0</v>
      </c>
      <c r="AF930" s="5">
        <f>+$AC930*BE930</f>
        <v>0</v>
      </c>
      <c r="AG930" s="5">
        <f>+$AC930*BF930</f>
        <v>0</v>
      </c>
      <c r="AH930" s="5">
        <f>+$AC930*BG930</f>
        <v>0</v>
      </c>
      <c r="AI930" s="5">
        <f>+$AC930*BH930</f>
        <v>0</v>
      </c>
      <c r="AJ930" s="5">
        <f>+$AC930*BI930</f>
        <v>0</v>
      </c>
      <c r="AK930" s="5">
        <f>+$AC930*BJ930</f>
        <v>0</v>
      </c>
      <c r="AL930" s="5">
        <f>+$AC930*BK930</f>
        <v>0</v>
      </c>
      <c r="AM930" s="5">
        <f>+$AC930*BL930</f>
        <v>0</v>
      </c>
      <c r="AN930" s="5">
        <f>+$AC930*BM930</f>
        <v>0</v>
      </c>
      <c r="AO930" s="5">
        <f>+$AC930*BN930</f>
        <v>0</v>
      </c>
      <c r="AP930" s="5">
        <f>+AC930+P930+C930</f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2">
        <v>8.9181565948742242E-2</v>
      </c>
      <c r="BD930" s="2">
        <v>0.10665277883445198</v>
      </c>
      <c r="BE930" s="2">
        <v>9.438849084854764E-2</v>
      </c>
      <c r="BF930" s="2">
        <v>7.149564986855049E-2</v>
      </c>
      <c r="BG930" s="2">
        <v>0.10368571810536763</v>
      </c>
      <c r="BH930" s="2">
        <v>8.4970330952544637E-2</v>
      </c>
      <c r="BI930" s="2">
        <v>8.4593878877262704E-2</v>
      </c>
      <c r="BJ930" s="2">
        <v>5.7447105462779965E-2</v>
      </c>
      <c r="BK930" s="2">
        <v>8.5153852345557474E-2</v>
      </c>
      <c r="BL930" s="2">
        <v>7.4158058913035174E-2</v>
      </c>
      <c r="BM930" s="2">
        <v>7.5718189192107169E-2</v>
      </c>
      <c r="BN930" s="2">
        <v>7.3955559365675619E-2</v>
      </c>
    </row>
    <row r="931" spans="1:66" x14ac:dyDescent="0.25">
      <c r="A931" s="8">
        <v>16111</v>
      </c>
      <c r="B931" s="8" t="s">
        <v>65</v>
      </c>
      <c r="C931" s="5">
        <v>0</v>
      </c>
      <c r="D931" s="5">
        <f>+$C931*BC931</f>
        <v>0</v>
      </c>
      <c r="E931" s="5">
        <f>+$C931*BD931</f>
        <v>0</v>
      </c>
      <c r="F931" s="5">
        <f>+$C931*BE931</f>
        <v>0</v>
      </c>
      <c r="G931" s="5">
        <f>+$C931*BF931</f>
        <v>0</v>
      </c>
      <c r="H931" s="5">
        <f>+$C931*BG931</f>
        <v>0</v>
      </c>
      <c r="I931" s="5">
        <f>+$C931*BH931</f>
        <v>0</v>
      </c>
      <c r="J931" s="5">
        <f>+$C931*BI931</f>
        <v>0</v>
      </c>
      <c r="K931" s="5">
        <f>+$C931*BJ931</f>
        <v>0</v>
      </c>
      <c r="L931" s="5">
        <f>+$C931*BK931</f>
        <v>0</v>
      </c>
      <c r="M931" s="5">
        <f>+$C931*BL931</f>
        <v>0</v>
      </c>
      <c r="N931" s="5">
        <f>+$C931*BM931</f>
        <v>0</v>
      </c>
      <c r="O931" s="5">
        <f>+$C931*BN931</f>
        <v>0</v>
      </c>
      <c r="P931" s="5">
        <v>0</v>
      </c>
      <c r="Q931" s="5">
        <f>+$P931*BC931</f>
        <v>0</v>
      </c>
      <c r="R931" s="5">
        <f>+$P931*BD931</f>
        <v>0</v>
      </c>
      <c r="S931" s="5">
        <f>+$P931*BE931</f>
        <v>0</v>
      </c>
      <c r="T931" s="5">
        <f>+$P931*BF931</f>
        <v>0</v>
      </c>
      <c r="U931" s="5">
        <f>+$P931*BG931</f>
        <v>0</v>
      </c>
      <c r="V931" s="5">
        <f>+$P931*BH931</f>
        <v>0</v>
      </c>
      <c r="W931" s="5">
        <f>+$P931*BI931</f>
        <v>0</v>
      </c>
      <c r="X931" s="5">
        <f>+$P931*BJ931</f>
        <v>0</v>
      </c>
      <c r="Y931" s="5">
        <f>+$P931*BK931</f>
        <v>0</v>
      </c>
      <c r="Z931" s="5">
        <f>+$P931*BL931</f>
        <v>0</v>
      </c>
      <c r="AA931" s="5">
        <f>+$P931*BM931</f>
        <v>0</v>
      </c>
      <c r="AB931" s="5">
        <f>+$P931*BN931</f>
        <v>0</v>
      </c>
      <c r="AC931" s="5">
        <v>0</v>
      </c>
      <c r="AD931" s="5">
        <f>+$AC931*BC931</f>
        <v>0</v>
      </c>
      <c r="AE931" s="5">
        <f>+$AC931*BD931</f>
        <v>0</v>
      </c>
      <c r="AF931" s="5">
        <f>+$AC931*BE931</f>
        <v>0</v>
      </c>
      <c r="AG931" s="5">
        <f>+$AC931*BF931</f>
        <v>0</v>
      </c>
      <c r="AH931" s="5">
        <f>+$AC931*BG931</f>
        <v>0</v>
      </c>
      <c r="AI931" s="5">
        <f>+$AC931*BH931</f>
        <v>0</v>
      </c>
      <c r="AJ931" s="5">
        <f>+$AC931*BI931</f>
        <v>0</v>
      </c>
      <c r="AK931" s="5">
        <f>+$AC931*BJ931</f>
        <v>0</v>
      </c>
      <c r="AL931" s="5">
        <f>+$AC931*BK931</f>
        <v>0</v>
      </c>
      <c r="AM931" s="5">
        <f>+$AC931*BL931</f>
        <v>0</v>
      </c>
      <c r="AN931" s="5">
        <f>+$AC931*BM931</f>
        <v>0</v>
      </c>
      <c r="AO931" s="5">
        <f>+$AC931*BN931</f>
        <v>0</v>
      </c>
      <c r="AP931" s="5">
        <f>+AC931+P931+C931</f>
        <v>0</v>
      </c>
      <c r="AQ931" s="1">
        <v>6.6707811329659208</v>
      </c>
      <c r="AR931" s="1">
        <v>7.9776278568170094</v>
      </c>
      <c r="AS931" s="1">
        <v>7.0602591154713643</v>
      </c>
      <c r="AT931" s="1">
        <v>5.3478746101675778</v>
      </c>
      <c r="AU931" s="1">
        <v>7.7556917142814994</v>
      </c>
      <c r="AV931" s="1">
        <v>6.3557807552503398</v>
      </c>
      <c r="AW931" s="1">
        <v>6.3276221400192512</v>
      </c>
      <c r="AX931" s="1">
        <v>4.2970434886159419</v>
      </c>
      <c r="AY931" s="1">
        <v>6.3695081554476998</v>
      </c>
      <c r="AZ931" s="1">
        <v>5.5470228066950318</v>
      </c>
      <c r="BA931" s="1">
        <v>5.6637205515696172</v>
      </c>
      <c r="BB931" s="1">
        <v>5.5318758405525372</v>
      </c>
      <c r="BC931" s="2">
        <v>8.9181565948742242E-2</v>
      </c>
      <c r="BD931" s="2">
        <v>0.10665277883445198</v>
      </c>
      <c r="BE931" s="2">
        <v>9.438849084854764E-2</v>
      </c>
      <c r="BF931" s="2">
        <v>7.149564986855049E-2</v>
      </c>
      <c r="BG931" s="2">
        <v>0.10368571810536763</v>
      </c>
      <c r="BH931" s="2">
        <v>8.4970330952544637E-2</v>
      </c>
      <c r="BI931" s="2">
        <v>8.4593878877262704E-2</v>
      </c>
      <c r="BJ931" s="2">
        <v>5.7447105462779965E-2</v>
      </c>
      <c r="BK931" s="2">
        <v>8.5153852345557474E-2</v>
      </c>
      <c r="BL931" s="2">
        <v>7.4158058913035174E-2</v>
      </c>
      <c r="BM931" s="2">
        <v>7.5718189192107169E-2</v>
      </c>
      <c r="BN931" s="2">
        <v>7.3955559365675619E-2</v>
      </c>
    </row>
    <row r="932" spans="1:66" x14ac:dyDescent="0.25">
      <c r="A932" s="8">
        <v>16301</v>
      </c>
      <c r="B932" s="8" t="s">
        <v>64</v>
      </c>
      <c r="C932" s="5">
        <v>0</v>
      </c>
      <c r="D932" s="5">
        <f>+$C932*BC932</f>
        <v>0</v>
      </c>
      <c r="E932" s="5">
        <f>+$C932*BD932</f>
        <v>0</v>
      </c>
      <c r="F932" s="5">
        <f>+$C932*BE932</f>
        <v>0</v>
      </c>
      <c r="G932" s="5">
        <f>+$C932*BF932</f>
        <v>0</v>
      </c>
      <c r="H932" s="5">
        <f>+$C932*BG932</f>
        <v>0</v>
      </c>
      <c r="I932" s="5">
        <f>+$C932*BH932</f>
        <v>0</v>
      </c>
      <c r="J932" s="5">
        <f>+$C932*BI932</f>
        <v>0</v>
      </c>
      <c r="K932" s="5">
        <f>+$C932*BJ932</f>
        <v>0</v>
      </c>
      <c r="L932" s="5">
        <f>+$C932*BK932</f>
        <v>0</v>
      </c>
      <c r="M932" s="5">
        <f>+$C932*BL932</f>
        <v>0</v>
      </c>
      <c r="N932" s="5">
        <f>+$C932*BM932</f>
        <v>0</v>
      </c>
      <c r="O932" s="5">
        <f>+$C932*BN932</f>
        <v>0</v>
      </c>
      <c r="P932" s="5">
        <v>6000</v>
      </c>
      <c r="Q932" s="5">
        <f>+$P932*BC932</f>
        <v>535.08939569245342</v>
      </c>
      <c r="R932" s="5">
        <f>+$P932*BD932</f>
        <v>639.9166730067119</v>
      </c>
      <c r="S932" s="5">
        <f>+$P932*BE932</f>
        <v>566.3309450912858</v>
      </c>
      <c r="T932" s="5">
        <f>+$P932*BF932</f>
        <v>428.97389921130292</v>
      </c>
      <c r="U932" s="5">
        <f>+$P932*BG932</f>
        <v>622.11430863220573</v>
      </c>
      <c r="V932" s="5">
        <f>+$P932*BH932</f>
        <v>509.82198571526783</v>
      </c>
      <c r="W932" s="5">
        <f>+$P932*BI932</f>
        <v>507.56327326357621</v>
      </c>
      <c r="X932" s="5">
        <f>+$P932*BJ932</f>
        <v>344.68263277667978</v>
      </c>
      <c r="Y932" s="5">
        <f>+$P932*BK932</f>
        <v>510.92311407334483</v>
      </c>
      <c r="Z932" s="5">
        <f>+$P932*BL932</f>
        <v>444.94835347821106</v>
      </c>
      <c r="AA932" s="5">
        <f>+$P932*BM932</f>
        <v>454.30913515264302</v>
      </c>
      <c r="AB932" s="5">
        <f>+$P932*BN932</f>
        <v>443.73335619405373</v>
      </c>
      <c r="AC932" s="5">
        <v>0</v>
      </c>
      <c r="AD932" s="5">
        <f>+$AC932*BC932</f>
        <v>0</v>
      </c>
      <c r="AE932" s="5">
        <f>+$AC932*BD932</f>
        <v>0</v>
      </c>
      <c r="AF932" s="5">
        <f>+$AC932*BE932</f>
        <v>0</v>
      </c>
      <c r="AG932" s="5">
        <f>+$AC932*BF932</f>
        <v>0</v>
      </c>
      <c r="AH932" s="5">
        <f>+$AC932*BG932</f>
        <v>0</v>
      </c>
      <c r="AI932" s="5">
        <f>+$AC932*BH932</f>
        <v>0</v>
      </c>
      <c r="AJ932" s="5">
        <f>+$AC932*BI932</f>
        <v>0</v>
      </c>
      <c r="AK932" s="5">
        <f>+$AC932*BJ932</f>
        <v>0</v>
      </c>
      <c r="AL932" s="5">
        <f>+$AC932*BK932</f>
        <v>0</v>
      </c>
      <c r="AM932" s="5">
        <f>+$AC932*BL932</f>
        <v>0</v>
      </c>
      <c r="AN932" s="5">
        <f>+$AC932*BM932</f>
        <v>0</v>
      </c>
      <c r="AO932" s="5">
        <f>+$AC932*BN932</f>
        <v>0</v>
      </c>
      <c r="AP932" s="5">
        <f>+AC932+P932+C932</f>
        <v>6000</v>
      </c>
      <c r="AQ932" s="1">
        <v>74.212440104245871</v>
      </c>
      <c r="AR932" s="1">
        <v>88.75110990708923</v>
      </c>
      <c r="AS932" s="1">
        <v>78.545382659618923</v>
      </c>
      <c r="AT932" s="1">
        <v>59.495105038114296</v>
      </c>
      <c r="AU932" s="1">
        <v>86.282070321381681</v>
      </c>
      <c r="AV932" s="1">
        <v>70.708060902160028</v>
      </c>
      <c r="AW932" s="1">
        <v>70.394796307714174</v>
      </c>
      <c r="AX932" s="1">
        <v>47.804608810852351</v>
      </c>
      <c r="AY932" s="1">
        <v>70.86077822935566</v>
      </c>
      <c r="AZ932" s="1">
        <v>61.710628724482227</v>
      </c>
      <c r="BA932" s="1">
        <v>63.008891136211986</v>
      </c>
      <c r="BB932" s="1">
        <v>61.542118726146974</v>
      </c>
      <c r="BC932" s="2">
        <v>8.9181565948742242E-2</v>
      </c>
      <c r="BD932" s="2">
        <v>0.10665277883445198</v>
      </c>
      <c r="BE932" s="2">
        <v>9.438849084854764E-2</v>
      </c>
      <c r="BF932" s="2">
        <v>7.149564986855049E-2</v>
      </c>
      <c r="BG932" s="2">
        <v>0.10368571810536763</v>
      </c>
      <c r="BH932" s="2">
        <v>8.4970330952544637E-2</v>
      </c>
      <c r="BI932" s="2">
        <v>8.4593878877262704E-2</v>
      </c>
      <c r="BJ932" s="2">
        <v>5.7447105462779965E-2</v>
      </c>
      <c r="BK932" s="2">
        <v>8.5153852345557474E-2</v>
      </c>
      <c r="BL932" s="2">
        <v>7.4158058913035174E-2</v>
      </c>
      <c r="BM932" s="2">
        <v>7.5718189192107169E-2</v>
      </c>
      <c r="BN932" s="2">
        <v>7.3955559365675619E-2</v>
      </c>
    </row>
    <row r="933" spans="1:66" x14ac:dyDescent="0.25">
      <c r="A933" s="8">
        <v>16308</v>
      </c>
      <c r="B933" s="8" t="s">
        <v>63</v>
      </c>
      <c r="C933" s="5">
        <v>0</v>
      </c>
      <c r="D933" s="5">
        <f>+$C933*BC933</f>
        <v>0</v>
      </c>
      <c r="E933" s="5">
        <f>+$C933*BD933</f>
        <v>0</v>
      </c>
      <c r="F933" s="5">
        <f>+$C933*BE933</f>
        <v>0</v>
      </c>
      <c r="G933" s="5">
        <f>+$C933*BF933</f>
        <v>0</v>
      </c>
      <c r="H933" s="5">
        <f>+$C933*BG933</f>
        <v>0</v>
      </c>
      <c r="I933" s="5">
        <f>+$C933*BH933</f>
        <v>0</v>
      </c>
      <c r="J933" s="5">
        <f>+$C933*BI933</f>
        <v>0</v>
      </c>
      <c r="K933" s="5">
        <f>+$C933*BJ933</f>
        <v>0</v>
      </c>
      <c r="L933" s="5">
        <f>+$C933*BK933</f>
        <v>0</v>
      </c>
      <c r="M933" s="5">
        <f>+$C933*BL933</f>
        <v>0</v>
      </c>
      <c r="N933" s="5">
        <f>+$C933*BM933</f>
        <v>0</v>
      </c>
      <c r="O933" s="5">
        <f>+$C933*BN933</f>
        <v>0</v>
      </c>
      <c r="P933" s="5">
        <v>3000</v>
      </c>
      <c r="Q933" s="5">
        <f>+$P933*BC933</f>
        <v>267.54469784622671</v>
      </c>
      <c r="R933" s="5">
        <f>+$P933*BD933</f>
        <v>319.95833650335595</v>
      </c>
      <c r="S933" s="5">
        <f>+$P933*BE933</f>
        <v>283.1654725456429</v>
      </c>
      <c r="T933" s="5">
        <f>+$P933*BF933</f>
        <v>214.48694960565146</v>
      </c>
      <c r="U933" s="5">
        <f>+$P933*BG933</f>
        <v>311.05715431610287</v>
      </c>
      <c r="V933" s="5">
        <f>+$P933*BH933</f>
        <v>254.91099285763391</v>
      </c>
      <c r="W933" s="5">
        <f>+$P933*BI933</f>
        <v>253.7816366317881</v>
      </c>
      <c r="X933" s="5">
        <f>+$P933*BJ933</f>
        <v>172.34131638833989</v>
      </c>
      <c r="Y933" s="5">
        <f>+$P933*BK933</f>
        <v>255.46155703667242</v>
      </c>
      <c r="Z933" s="5">
        <f>+$P933*BL933</f>
        <v>222.47417673910553</v>
      </c>
      <c r="AA933" s="5">
        <f>+$P933*BM933</f>
        <v>227.15456757632151</v>
      </c>
      <c r="AB933" s="5">
        <f>+$P933*BN933</f>
        <v>221.86667809702686</v>
      </c>
      <c r="AC933" s="5">
        <v>0</v>
      </c>
      <c r="AD933" s="5">
        <f>+$AC933*BC933</f>
        <v>0</v>
      </c>
      <c r="AE933" s="5">
        <f>+$AC933*BD933</f>
        <v>0</v>
      </c>
      <c r="AF933" s="5">
        <f>+$AC933*BE933</f>
        <v>0</v>
      </c>
      <c r="AG933" s="5">
        <f>+$AC933*BF933</f>
        <v>0</v>
      </c>
      <c r="AH933" s="5">
        <f>+$AC933*BG933</f>
        <v>0</v>
      </c>
      <c r="AI933" s="5">
        <f>+$AC933*BH933</f>
        <v>0</v>
      </c>
      <c r="AJ933" s="5">
        <f>+$AC933*BI933</f>
        <v>0</v>
      </c>
      <c r="AK933" s="5">
        <f>+$AC933*BJ933</f>
        <v>0</v>
      </c>
      <c r="AL933" s="5">
        <f>+$AC933*BK933</f>
        <v>0</v>
      </c>
      <c r="AM933" s="5">
        <f>+$AC933*BL933</f>
        <v>0</v>
      </c>
      <c r="AN933" s="5">
        <f>+$AC933*BM933</f>
        <v>0</v>
      </c>
      <c r="AO933" s="5">
        <f>+$AC933*BN933</f>
        <v>0</v>
      </c>
      <c r="AP933" s="5">
        <f>+AC933+P933+C933</f>
        <v>3000</v>
      </c>
      <c r="AQ933" s="1">
        <v>93.940294307767132</v>
      </c>
      <c r="AR933" s="1">
        <v>112.34377111305835</v>
      </c>
      <c r="AS933" s="1">
        <v>99.425060720226156</v>
      </c>
      <c r="AT933" s="1">
        <v>75.310657745536346</v>
      </c>
      <c r="AU933" s="1">
        <v>109.21838802347006</v>
      </c>
      <c r="AV933" s="1">
        <v>89.504347812172426</v>
      </c>
      <c r="AW933" s="1">
        <v>89.107808254153454</v>
      </c>
      <c r="AX933" s="1">
        <v>60.512483010273911</v>
      </c>
      <c r="AY933" s="1">
        <v>89.697661906716434</v>
      </c>
      <c r="AZ933" s="1">
        <v>78.115132936634737</v>
      </c>
      <c r="BA933" s="1">
        <v>79.758511767398019</v>
      </c>
      <c r="BB933" s="1">
        <v>77.901828013428073</v>
      </c>
      <c r="BC933" s="2">
        <v>8.9181565948742242E-2</v>
      </c>
      <c r="BD933" s="2">
        <v>0.10665277883445198</v>
      </c>
      <c r="BE933" s="2">
        <v>9.438849084854764E-2</v>
      </c>
      <c r="BF933" s="2">
        <v>7.149564986855049E-2</v>
      </c>
      <c r="BG933" s="2">
        <v>0.10368571810536763</v>
      </c>
      <c r="BH933" s="2">
        <v>8.4970330952544637E-2</v>
      </c>
      <c r="BI933" s="2">
        <v>8.4593878877262704E-2</v>
      </c>
      <c r="BJ933" s="2">
        <v>5.7447105462779965E-2</v>
      </c>
      <c r="BK933" s="2">
        <v>8.5153852345557474E-2</v>
      </c>
      <c r="BL933" s="2">
        <v>7.4158058913035174E-2</v>
      </c>
      <c r="BM933" s="2">
        <v>7.5718189192107169E-2</v>
      </c>
      <c r="BN933" s="2">
        <v>7.3955559365675619E-2</v>
      </c>
    </row>
    <row r="934" spans="1:66" x14ac:dyDescent="0.25">
      <c r="A934" s="8">
        <v>16312</v>
      </c>
      <c r="B934" s="8" t="s">
        <v>62</v>
      </c>
      <c r="C934" s="5">
        <v>0</v>
      </c>
      <c r="D934" s="5">
        <f>+$C934*BC934</f>
        <v>0</v>
      </c>
      <c r="E934" s="5">
        <f>+$C934*BD934</f>
        <v>0</v>
      </c>
      <c r="F934" s="5">
        <f>+$C934*BE934</f>
        <v>0</v>
      </c>
      <c r="G934" s="5">
        <f>+$C934*BF934</f>
        <v>0</v>
      </c>
      <c r="H934" s="5">
        <f>+$C934*BG934</f>
        <v>0</v>
      </c>
      <c r="I934" s="5">
        <f>+$C934*BH934</f>
        <v>0</v>
      </c>
      <c r="J934" s="5">
        <f>+$C934*BI934</f>
        <v>0</v>
      </c>
      <c r="K934" s="5">
        <f>+$C934*BJ934</f>
        <v>0</v>
      </c>
      <c r="L934" s="5">
        <f>+$C934*BK934</f>
        <v>0</v>
      </c>
      <c r="M934" s="5">
        <f>+$C934*BL934</f>
        <v>0</v>
      </c>
      <c r="N934" s="5">
        <f>+$C934*BM934</f>
        <v>0</v>
      </c>
      <c r="O934" s="5">
        <f>+$C934*BN934</f>
        <v>0</v>
      </c>
      <c r="P934" s="5">
        <v>0</v>
      </c>
      <c r="Q934" s="5">
        <f>+$P934*BC934</f>
        <v>0</v>
      </c>
      <c r="R934" s="5">
        <f>+$P934*BD934</f>
        <v>0</v>
      </c>
      <c r="S934" s="5">
        <f>+$P934*BE934</f>
        <v>0</v>
      </c>
      <c r="T934" s="5">
        <f>+$P934*BF934</f>
        <v>0</v>
      </c>
      <c r="U934" s="5">
        <f>+$P934*BG934</f>
        <v>0</v>
      </c>
      <c r="V934" s="5">
        <f>+$P934*BH934</f>
        <v>0</v>
      </c>
      <c r="W934" s="5">
        <f>+$P934*BI934</f>
        <v>0</v>
      </c>
      <c r="X934" s="5">
        <f>+$P934*BJ934</f>
        <v>0</v>
      </c>
      <c r="Y934" s="5">
        <f>+$P934*BK934</f>
        <v>0</v>
      </c>
      <c r="Z934" s="5">
        <f>+$P934*BL934</f>
        <v>0</v>
      </c>
      <c r="AA934" s="5">
        <f>+$P934*BM934</f>
        <v>0</v>
      </c>
      <c r="AB934" s="5">
        <f>+$P934*BN934</f>
        <v>0</v>
      </c>
      <c r="AC934" s="5">
        <v>0</v>
      </c>
      <c r="AD934" s="5">
        <f>+$AC934*BC934</f>
        <v>0</v>
      </c>
      <c r="AE934" s="5">
        <f>+$AC934*BD934</f>
        <v>0</v>
      </c>
      <c r="AF934" s="5">
        <f>+$AC934*BE934</f>
        <v>0</v>
      </c>
      <c r="AG934" s="5">
        <f>+$AC934*BF934</f>
        <v>0</v>
      </c>
      <c r="AH934" s="5">
        <f>+$AC934*BG934</f>
        <v>0</v>
      </c>
      <c r="AI934" s="5">
        <f>+$AC934*BH934</f>
        <v>0</v>
      </c>
      <c r="AJ934" s="5">
        <f>+$AC934*BI934</f>
        <v>0</v>
      </c>
      <c r="AK934" s="5">
        <f>+$AC934*BJ934</f>
        <v>0</v>
      </c>
      <c r="AL934" s="5">
        <f>+$AC934*BK934</f>
        <v>0</v>
      </c>
      <c r="AM934" s="5">
        <f>+$AC934*BL934</f>
        <v>0</v>
      </c>
      <c r="AN934" s="5">
        <f>+$AC934*BM934</f>
        <v>0</v>
      </c>
      <c r="AO934" s="5">
        <f>+$AC934*BN934</f>
        <v>0</v>
      </c>
      <c r="AP934" s="5">
        <f>+AC934+P934+C934</f>
        <v>0</v>
      </c>
      <c r="AQ934" s="1">
        <v>173.8817582085602</v>
      </c>
      <c r="AR934" s="1">
        <v>207.94625553247278</v>
      </c>
      <c r="AS934" s="1">
        <v>184.03396003195579</v>
      </c>
      <c r="AT934" s="1">
        <v>139.39864333120633</v>
      </c>
      <c r="AU934" s="1">
        <v>202.16122887594057</v>
      </c>
      <c r="AV934" s="1">
        <v>165.67090277472391</v>
      </c>
      <c r="AW934" s="1">
        <v>164.93691534094299</v>
      </c>
      <c r="AX934" s="1">
        <v>112.00749387605525</v>
      </c>
      <c r="AY934" s="1">
        <v>166.02872361075072</v>
      </c>
      <c r="AZ934" s="1">
        <v>144.58967536569034</v>
      </c>
      <c r="BA934" s="1">
        <v>147.63153937731096</v>
      </c>
      <c r="BB934" s="1">
        <v>144.19485187322604</v>
      </c>
      <c r="BC934" s="2">
        <v>8.9181565948742242E-2</v>
      </c>
      <c r="BD934" s="2">
        <v>0.10665277883445198</v>
      </c>
      <c r="BE934" s="2">
        <v>9.438849084854764E-2</v>
      </c>
      <c r="BF934" s="2">
        <v>7.149564986855049E-2</v>
      </c>
      <c r="BG934" s="2">
        <v>0.10368571810536763</v>
      </c>
      <c r="BH934" s="2">
        <v>8.4970330952544637E-2</v>
      </c>
      <c r="BI934" s="2">
        <v>8.4593878877262704E-2</v>
      </c>
      <c r="BJ934" s="2">
        <v>5.7447105462779965E-2</v>
      </c>
      <c r="BK934" s="2">
        <v>8.5153852345557474E-2</v>
      </c>
      <c r="BL934" s="2">
        <v>7.4158058913035174E-2</v>
      </c>
      <c r="BM934" s="2">
        <v>7.5718189192107169E-2</v>
      </c>
      <c r="BN934" s="2">
        <v>7.3955559365675619E-2</v>
      </c>
    </row>
    <row r="935" spans="1:66" x14ac:dyDescent="0.25">
      <c r="A935" s="8">
        <v>16429</v>
      </c>
      <c r="B935" s="8" t="s">
        <v>61</v>
      </c>
      <c r="C935" s="5">
        <v>0</v>
      </c>
      <c r="D935" s="5">
        <f>+$C935*BC935</f>
        <v>0</v>
      </c>
      <c r="E935" s="5">
        <f>+$C935*BD935</f>
        <v>0</v>
      </c>
      <c r="F935" s="5">
        <f>+$C935*BE935</f>
        <v>0</v>
      </c>
      <c r="G935" s="5">
        <f>+$C935*BF935</f>
        <v>0</v>
      </c>
      <c r="H935" s="5">
        <f>+$C935*BG935</f>
        <v>0</v>
      </c>
      <c r="I935" s="5">
        <f>+$C935*BH935</f>
        <v>0</v>
      </c>
      <c r="J935" s="5">
        <f>+$C935*BI935</f>
        <v>0</v>
      </c>
      <c r="K935" s="5">
        <f>+$C935*BJ935</f>
        <v>0</v>
      </c>
      <c r="L935" s="5">
        <f>+$C935*BK935</f>
        <v>0</v>
      </c>
      <c r="M935" s="5">
        <f>+$C935*BL935</f>
        <v>0</v>
      </c>
      <c r="N935" s="5">
        <f>+$C935*BM935</f>
        <v>0</v>
      </c>
      <c r="O935" s="5">
        <f>+$C935*BN935</f>
        <v>0</v>
      </c>
      <c r="P935" s="5">
        <v>0</v>
      </c>
      <c r="Q935" s="5">
        <f>+$P935*BC935</f>
        <v>0</v>
      </c>
      <c r="R935" s="5">
        <f>+$P935*BD935</f>
        <v>0</v>
      </c>
      <c r="S935" s="5">
        <f>+$P935*BE935</f>
        <v>0</v>
      </c>
      <c r="T935" s="5">
        <f>+$P935*BF935</f>
        <v>0</v>
      </c>
      <c r="U935" s="5">
        <f>+$P935*BG935</f>
        <v>0</v>
      </c>
      <c r="V935" s="5">
        <f>+$P935*BH935</f>
        <v>0</v>
      </c>
      <c r="W935" s="5">
        <f>+$P935*BI935</f>
        <v>0</v>
      </c>
      <c r="X935" s="5">
        <f>+$P935*BJ935</f>
        <v>0</v>
      </c>
      <c r="Y935" s="5">
        <f>+$P935*BK935</f>
        <v>0</v>
      </c>
      <c r="Z935" s="5">
        <f>+$P935*BL935</f>
        <v>0</v>
      </c>
      <c r="AA935" s="5">
        <f>+$P935*BM935</f>
        <v>0</v>
      </c>
      <c r="AB935" s="5">
        <f>+$P935*BN935</f>
        <v>0</v>
      </c>
      <c r="AC935" s="5">
        <v>0</v>
      </c>
      <c r="AD935" s="5">
        <f>+$AC935*BC935</f>
        <v>0</v>
      </c>
      <c r="AE935" s="5">
        <f>+$AC935*BD935</f>
        <v>0</v>
      </c>
      <c r="AF935" s="5">
        <f>+$AC935*BE935</f>
        <v>0</v>
      </c>
      <c r="AG935" s="5">
        <f>+$AC935*BF935</f>
        <v>0</v>
      </c>
      <c r="AH935" s="5">
        <f>+$AC935*BG935</f>
        <v>0</v>
      </c>
      <c r="AI935" s="5">
        <f>+$AC935*BH935</f>
        <v>0</v>
      </c>
      <c r="AJ935" s="5">
        <f>+$AC935*BI935</f>
        <v>0</v>
      </c>
      <c r="AK935" s="5">
        <f>+$AC935*BJ935</f>
        <v>0</v>
      </c>
      <c r="AL935" s="5">
        <f>+$AC935*BK935</f>
        <v>0</v>
      </c>
      <c r="AM935" s="5">
        <f>+$AC935*BL935</f>
        <v>0</v>
      </c>
      <c r="AN935" s="5">
        <f>+$AC935*BM935</f>
        <v>0</v>
      </c>
      <c r="AO935" s="5">
        <f>+$AC935*BN935</f>
        <v>0</v>
      </c>
      <c r="AP935" s="5">
        <f>+AC935+P935+C935</f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2">
        <v>8.9181565948742242E-2</v>
      </c>
      <c r="BD935" s="2">
        <v>0.10665277883445198</v>
      </c>
      <c r="BE935" s="2">
        <v>9.438849084854764E-2</v>
      </c>
      <c r="BF935" s="2">
        <v>7.149564986855049E-2</v>
      </c>
      <c r="BG935" s="2">
        <v>0.10368571810536763</v>
      </c>
      <c r="BH935" s="2">
        <v>8.4970330952544637E-2</v>
      </c>
      <c r="BI935" s="2">
        <v>8.4593878877262704E-2</v>
      </c>
      <c r="BJ935" s="2">
        <v>5.7447105462779965E-2</v>
      </c>
      <c r="BK935" s="2">
        <v>8.5153852345557474E-2</v>
      </c>
      <c r="BL935" s="2">
        <v>7.4158058913035174E-2</v>
      </c>
      <c r="BM935" s="2">
        <v>7.5718189192107169E-2</v>
      </c>
      <c r="BN935" s="2">
        <v>7.3955559365675619E-2</v>
      </c>
    </row>
    <row r="936" spans="1:66" x14ac:dyDescent="0.25">
      <c r="A936" s="8">
        <v>16439</v>
      </c>
      <c r="B936" s="8" t="s">
        <v>60</v>
      </c>
      <c r="C936" s="5">
        <v>0</v>
      </c>
      <c r="D936" s="5">
        <f>+$C936*BC936</f>
        <v>0</v>
      </c>
      <c r="E936" s="5">
        <f>+$C936*BD936</f>
        <v>0</v>
      </c>
      <c r="F936" s="5">
        <f>+$C936*BE936</f>
        <v>0</v>
      </c>
      <c r="G936" s="5">
        <f>+$C936*BF936</f>
        <v>0</v>
      </c>
      <c r="H936" s="5">
        <f>+$C936*BG936</f>
        <v>0</v>
      </c>
      <c r="I936" s="5">
        <f>+$C936*BH936</f>
        <v>0</v>
      </c>
      <c r="J936" s="5">
        <f>+$C936*BI936</f>
        <v>0</v>
      </c>
      <c r="K936" s="5">
        <f>+$C936*BJ936</f>
        <v>0</v>
      </c>
      <c r="L936" s="5">
        <f>+$C936*BK936</f>
        <v>0</v>
      </c>
      <c r="M936" s="5">
        <f>+$C936*BL936</f>
        <v>0</v>
      </c>
      <c r="N936" s="5">
        <f>+$C936*BM936</f>
        <v>0</v>
      </c>
      <c r="O936" s="5">
        <f>+$C936*BN936</f>
        <v>0</v>
      </c>
      <c r="P936" s="5">
        <v>1000</v>
      </c>
      <c r="Q936" s="5">
        <f>+$P936*BC936</f>
        <v>89.181565948742247</v>
      </c>
      <c r="R936" s="5">
        <f>+$P936*BD936</f>
        <v>106.65277883445198</v>
      </c>
      <c r="S936" s="5">
        <f>+$P936*BE936</f>
        <v>94.388490848547647</v>
      </c>
      <c r="T936" s="5">
        <f>+$P936*BF936</f>
        <v>71.495649868550487</v>
      </c>
      <c r="U936" s="5">
        <f>+$P936*BG936</f>
        <v>103.68571810536763</v>
      </c>
      <c r="V936" s="5">
        <f>+$P936*BH936</f>
        <v>84.970330952544643</v>
      </c>
      <c r="W936" s="5">
        <f>+$P936*BI936</f>
        <v>84.593878877262711</v>
      </c>
      <c r="X936" s="5">
        <f>+$P936*BJ936</f>
        <v>57.447105462779966</v>
      </c>
      <c r="Y936" s="5">
        <f>+$P936*BK936</f>
        <v>85.153852345557468</v>
      </c>
      <c r="Z936" s="5">
        <f>+$P936*BL936</f>
        <v>74.158058913035177</v>
      </c>
      <c r="AA936" s="5">
        <f>+$P936*BM936</f>
        <v>75.718189192107175</v>
      </c>
      <c r="AB936" s="5">
        <f>+$P936*BN936</f>
        <v>73.955559365675626</v>
      </c>
      <c r="AC936" s="5">
        <v>0</v>
      </c>
      <c r="AD936" s="5">
        <f>+$AC936*BC936</f>
        <v>0</v>
      </c>
      <c r="AE936" s="5">
        <f>+$AC936*BD936</f>
        <v>0</v>
      </c>
      <c r="AF936" s="5">
        <f>+$AC936*BE936</f>
        <v>0</v>
      </c>
      <c r="AG936" s="5">
        <f>+$AC936*BF936</f>
        <v>0</v>
      </c>
      <c r="AH936" s="5">
        <f>+$AC936*BG936</f>
        <v>0</v>
      </c>
      <c r="AI936" s="5">
        <f>+$AC936*BH936</f>
        <v>0</v>
      </c>
      <c r="AJ936" s="5">
        <f>+$AC936*BI936</f>
        <v>0</v>
      </c>
      <c r="AK936" s="5">
        <f>+$AC936*BJ936</f>
        <v>0</v>
      </c>
      <c r="AL936" s="5">
        <f>+$AC936*BK936</f>
        <v>0</v>
      </c>
      <c r="AM936" s="5">
        <f>+$AC936*BL936</f>
        <v>0</v>
      </c>
      <c r="AN936" s="5">
        <f>+$AC936*BM936</f>
        <v>0</v>
      </c>
      <c r="AO936" s="5">
        <f>+$AC936*BN936</f>
        <v>0</v>
      </c>
      <c r="AP936" s="5">
        <f>+AC936+P936+C936</f>
        <v>1000</v>
      </c>
      <c r="AQ936" s="1">
        <v>10.900841169046663</v>
      </c>
      <c r="AR936" s="1">
        <v>13.036382462492737</v>
      </c>
      <c r="AS936" s="1">
        <v>11.537294013399677</v>
      </c>
      <c r="AT936" s="1">
        <v>8.7390562747326648</v>
      </c>
      <c r="AU936" s="1">
        <v>12.673712695455297</v>
      </c>
      <c r="AV936" s="1">
        <v>10.386093492991437</v>
      </c>
      <c r="AW936" s="1">
        <v>10.340079002925576</v>
      </c>
      <c r="AX936" s="1">
        <v>7.0218745949265218</v>
      </c>
      <c r="AY936" s="1">
        <v>10.408525679902182</v>
      </c>
      <c r="AZ936" s="1">
        <v>9.0644878570581167</v>
      </c>
      <c r="BA936" s="1">
        <v>9.2551857013296441</v>
      </c>
      <c r="BB936" s="1">
        <v>9.0397359323852626</v>
      </c>
      <c r="BC936" s="2">
        <v>8.9181565948742242E-2</v>
      </c>
      <c r="BD936" s="2">
        <v>0.10665277883445198</v>
      </c>
      <c r="BE936" s="2">
        <v>9.438849084854764E-2</v>
      </c>
      <c r="BF936" s="2">
        <v>7.149564986855049E-2</v>
      </c>
      <c r="BG936" s="2">
        <v>0.10368571810536763</v>
      </c>
      <c r="BH936" s="2">
        <v>8.4970330952544637E-2</v>
      </c>
      <c r="BI936" s="2">
        <v>8.4593878877262704E-2</v>
      </c>
      <c r="BJ936" s="2">
        <v>5.7447105462779965E-2</v>
      </c>
      <c r="BK936" s="2">
        <v>8.5153852345557474E-2</v>
      </c>
      <c r="BL936" s="2">
        <v>7.4158058913035174E-2</v>
      </c>
      <c r="BM936" s="2">
        <v>7.5718189192107169E-2</v>
      </c>
      <c r="BN936" s="2">
        <v>7.3955559365675619E-2</v>
      </c>
    </row>
    <row r="937" spans="1:66" x14ac:dyDescent="0.25">
      <c r="A937" s="8">
        <v>16507</v>
      </c>
      <c r="B937" s="8" t="s">
        <v>59</v>
      </c>
      <c r="C937" s="5">
        <v>0</v>
      </c>
      <c r="D937" s="5">
        <f>+$C937*BC937</f>
        <v>0</v>
      </c>
      <c r="E937" s="5">
        <f>+$C937*BD937</f>
        <v>0</v>
      </c>
      <c r="F937" s="5">
        <f>+$C937*BE937</f>
        <v>0</v>
      </c>
      <c r="G937" s="5">
        <f>+$C937*BF937</f>
        <v>0</v>
      </c>
      <c r="H937" s="5">
        <f>+$C937*BG937</f>
        <v>0</v>
      </c>
      <c r="I937" s="5">
        <f>+$C937*BH937</f>
        <v>0</v>
      </c>
      <c r="J937" s="5">
        <f>+$C937*BI937</f>
        <v>0</v>
      </c>
      <c r="K937" s="5">
        <f>+$C937*BJ937</f>
        <v>0</v>
      </c>
      <c r="L937" s="5">
        <f>+$C937*BK937</f>
        <v>0</v>
      </c>
      <c r="M937" s="5">
        <f>+$C937*BL937</f>
        <v>0</v>
      </c>
      <c r="N937" s="5">
        <f>+$C937*BM937</f>
        <v>0</v>
      </c>
      <c r="O937" s="5">
        <f>+$C937*BN937</f>
        <v>0</v>
      </c>
      <c r="P937" s="5">
        <v>0</v>
      </c>
      <c r="Q937" s="5">
        <f>+$P937*BC937</f>
        <v>0</v>
      </c>
      <c r="R937" s="5">
        <f>+$P937*BD937</f>
        <v>0</v>
      </c>
      <c r="S937" s="5">
        <f>+$P937*BE937</f>
        <v>0</v>
      </c>
      <c r="T937" s="5">
        <f>+$P937*BF937</f>
        <v>0</v>
      </c>
      <c r="U937" s="5">
        <f>+$P937*BG937</f>
        <v>0</v>
      </c>
      <c r="V937" s="5">
        <f>+$P937*BH937</f>
        <v>0</v>
      </c>
      <c r="W937" s="5">
        <f>+$P937*BI937</f>
        <v>0</v>
      </c>
      <c r="X937" s="5">
        <f>+$P937*BJ937</f>
        <v>0</v>
      </c>
      <c r="Y937" s="5">
        <f>+$P937*BK937</f>
        <v>0</v>
      </c>
      <c r="Z937" s="5">
        <f>+$P937*BL937</f>
        <v>0</v>
      </c>
      <c r="AA937" s="5">
        <f>+$P937*BM937</f>
        <v>0</v>
      </c>
      <c r="AB937" s="5">
        <f>+$P937*BN937</f>
        <v>0</v>
      </c>
      <c r="AC937" s="5">
        <v>0</v>
      </c>
      <c r="AD937" s="5">
        <f>+$AC937*BC937</f>
        <v>0</v>
      </c>
      <c r="AE937" s="5">
        <f>+$AC937*BD937</f>
        <v>0</v>
      </c>
      <c r="AF937" s="5">
        <f>+$AC937*BE937</f>
        <v>0</v>
      </c>
      <c r="AG937" s="5">
        <f>+$AC937*BF937</f>
        <v>0</v>
      </c>
      <c r="AH937" s="5">
        <f>+$AC937*BG937</f>
        <v>0</v>
      </c>
      <c r="AI937" s="5">
        <f>+$AC937*BH937</f>
        <v>0</v>
      </c>
      <c r="AJ937" s="5">
        <f>+$AC937*BI937</f>
        <v>0</v>
      </c>
      <c r="AK937" s="5">
        <f>+$AC937*BJ937</f>
        <v>0</v>
      </c>
      <c r="AL937" s="5">
        <f>+$AC937*BK937</f>
        <v>0</v>
      </c>
      <c r="AM937" s="5">
        <f>+$AC937*BL937</f>
        <v>0</v>
      </c>
      <c r="AN937" s="5">
        <f>+$AC937*BM937</f>
        <v>0</v>
      </c>
      <c r="AO937" s="5">
        <f>+$AC937*BN937</f>
        <v>0</v>
      </c>
      <c r="AP937" s="5">
        <f>+AC937+P937+C937</f>
        <v>0</v>
      </c>
      <c r="AQ937" s="1">
        <v>46.101964609372565</v>
      </c>
      <c r="AR937" s="1">
        <v>55.133620754575787</v>
      </c>
      <c r="AS937" s="1">
        <v>48.793658401702466</v>
      </c>
      <c r="AT937" s="1">
        <v>36.959318721297834</v>
      </c>
      <c r="AU937" s="1">
        <v>53.599813545979273</v>
      </c>
      <c r="AV937" s="1">
        <v>43.92498773426319</v>
      </c>
      <c r="AW937" s="1">
        <v>43.73038271620657</v>
      </c>
      <c r="AX937" s="1">
        <v>29.696993933456792</v>
      </c>
      <c r="AY937" s="1">
        <v>44.019858200774209</v>
      </c>
      <c r="AZ937" s="1">
        <v>38.335637764798975</v>
      </c>
      <c r="BA937" s="1">
        <v>39.142139311913844</v>
      </c>
      <c r="BB937" s="1">
        <v>38.230956636289186</v>
      </c>
      <c r="BC937" s="2">
        <v>8.9181565948742242E-2</v>
      </c>
      <c r="BD937" s="2">
        <v>0.10665277883445198</v>
      </c>
      <c r="BE937" s="2">
        <v>9.438849084854764E-2</v>
      </c>
      <c r="BF937" s="2">
        <v>7.149564986855049E-2</v>
      </c>
      <c r="BG937" s="2">
        <v>0.10368571810536763</v>
      </c>
      <c r="BH937" s="2">
        <v>8.4970330952544637E-2</v>
      </c>
      <c r="BI937" s="2">
        <v>8.4593878877262704E-2</v>
      </c>
      <c r="BJ937" s="2">
        <v>5.7447105462779965E-2</v>
      </c>
      <c r="BK937" s="2">
        <v>8.5153852345557474E-2</v>
      </c>
      <c r="BL937" s="2">
        <v>7.4158058913035174E-2</v>
      </c>
      <c r="BM937" s="2">
        <v>7.5718189192107169E-2</v>
      </c>
      <c r="BN937" s="2">
        <v>7.3955559365675619E-2</v>
      </c>
    </row>
    <row r="938" spans="1:66" x14ac:dyDescent="0.25">
      <c r="A938" s="8">
        <v>16520</v>
      </c>
      <c r="B938" s="8" t="s">
        <v>58</v>
      </c>
      <c r="C938" s="5">
        <v>0</v>
      </c>
      <c r="D938" s="5">
        <f>+$C938*BC938</f>
        <v>0</v>
      </c>
      <c r="E938" s="5">
        <f>+$C938*BD938</f>
        <v>0</v>
      </c>
      <c r="F938" s="5">
        <f>+$C938*BE938</f>
        <v>0</v>
      </c>
      <c r="G938" s="5">
        <f>+$C938*BF938</f>
        <v>0</v>
      </c>
      <c r="H938" s="5">
        <f>+$C938*BG938</f>
        <v>0</v>
      </c>
      <c r="I938" s="5">
        <f>+$C938*BH938</f>
        <v>0</v>
      </c>
      <c r="J938" s="5">
        <f>+$C938*BI938</f>
        <v>0</v>
      </c>
      <c r="K938" s="5">
        <f>+$C938*BJ938</f>
        <v>0</v>
      </c>
      <c r="L938" s="5">
        <f>+$C938*BK938</f>
        <v>0</v>
      </c>
      <c r="M938" s="5">
        <f>+$C938*BL938</f>
        <v>0</v>
      </c>
      <c r="N938" s="5">
        <f>+$C938*BM938</f>
        <v>0</v>
      </c>
      <c r="O938" s="5">
        <f>+$C938*BN938</f>
        <v>0</v>
      </c>
      <c r="P938" s="5">
        <v>0</v>
      </c>
      <c r="Q938" s="5">
        <f>+$P938*BC938</f>
        <v>0</v>
      </c>
      <c r="R938" s="5">
        <f>+$P938*BD938</f>
        <v>0</v>
      </c>
      <c r="S938" s="5">
        <f>+$P938*BE938</f>
        <v>0</v>
      </c>
      <c r="T938" s="5">
        <f>+$P938*BF938</f>
        <v>0</v>
      </c>
      <c r="U938" s="5">
        <f>+$P938*BG938</f>
        <v>0</v>
      </c>
      <c r="V938" s="5">
        <f>+$P938*BH938</f>
        <v>0</v>
      </c>
      <c r="W938" s="5">
        <f>+$P938*BI938</f>
        <v>0</v>
      </c>
      <c r="X938" s="5">
        <f>+$P938*BJ938</f>
        <v>0</v>
      </c>
      <c r="Y938" s="5">
        <f>+$P938*BK938</f>
        <v>0</v>
      </c>
      <c r="Z938" s="5">
        <f>+$P938*BL938</f>
        <v>0</v>
      </c>
      <c r="AA938" s="5">
        <f>+$P938*BM938</f>
        <v>0</v>
      </c>
      <c r="AB938" s="5">
        <f>+$P938*BN938</f>
        <v>0</v>
      </c>
      <c r="AC938" s="5">
        <v>0</v>
      </c>
      <c r="AD938" s="5">
        <f>+$AC938*BC938</f>
        <v>0</v>
      </c>
      <c r="AE938" s="5">
        <f>+$AC938*BD938</f>
        <v>0</v>
      </c>
      <c r="AF938" s="5">
        <f>+$AC938*BE938</f>
        <v>0</v>
      </c>
      <c r="AG938" s="5">
        <f>+$AC938*BF938</f>
        <v>0</v>
      </c>
      <c r="AH938" s="5">
        <f>+$AC938*BG938</f>
        <v>0</v>
      </c>
      <c r="AI938" s="5">
        <f>+$AC938*BH938</f>
        <v>0</v>
      </c>
      <c r="AJ938" s="5">
        <f>+$AC938*BI938</f>
        <v>0</v>
      </c>
      <c r="AK938" s="5">
        <f>+$AC938*BJ938</f>
        <v>0</v>
      </c>
      <c r="AL938" s="5">
        <f>+$AC938*BK938</f>
        <v>0</v>
      </c>
      <c r="AM938" s="5">
        <f>+$AC938*BL938</f>
        <v>0</v>
      </c>
      <c r="AN938" s="5">
        <f>+$AC938*BM938</f>
        <v>0</v>
      </c>
      <c r="AO938" s="5">
        <f>+$AC938*BN938</f>
        <v>0</v>
      </c>
      <c r="AP938" s="5">
        <f>+AC938+P938+C938</f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2">
        <v>8.9181565948742242E-2</v>
      </c>
      <c r="BD938" s="2">
        <v>0.10665277883445198</v>
      </c>
      <c r="BE938" s="2">
        <v>9.438849084854764E-2</v>
      </c>
      <c r="BF938" s="2">
        <v>7.149564986855049E-2</v>
      </c>
      <c r="BG938" s="2">
        <v>0.10368571810536763</v>
      </c>
      <c r="BH938" s="2">
        <v>8.4970330952544637E-2</v>
      </c>
      <c r="BI938" s="2">
        <v>8.4593878877262704E-2</v>
      </c>
      <c r="BJ938" s="2">
        <v>5.7447105462779965E-2</v>
      </c>
      <c r="BK938" s="2">
        <v>8.5153852345557474E-2</v>
      </c>
      <c r="BL938" s="2">
        <v>7.4158058913035174E-2</v>
      </c>
      <c r="BM938" s="2">
        <v>7.5718189192107169E-2</v>
      </c>
      <c r="BN938" s="2">
        <v>7.3955559365675619E-2</v>
      </c>
    </row>
    <row r="939" spans="1:66" x14ac:dyDescent="0.25">
      <c r="A939" s="8">
        <v>16521</v>
      </c>
      <c r="B939" s="8" t="s">
        <v>57</v>
      </c>
      <c r="C939" s="5">
        <v>0</v>
      </c>
      <c r="D939" s="5">
        <f>+$C939*BC939</f>
        <v>0</v>
      </c>
      <c r="E939" s="5">
        <f>+$C939*BD939</f>
        <v>0</v>
      </c>
      <c r="F939" s="5">
        <f>+$C939*BE939</f>
        <v>0</v>
      </c>
      <c r="G939" s="5">
        <f>+$C939*BF939</f>
        <v>0</v>
      </c>
      <c r="H939" s="5">
        <f>+$C939*BG939</f>
        <v>0</v>
      </c>
      <c r="I939" s="5">
        <f>+$C939*BH939</f>
        <v>0</v>
      </c>
      <c r="J939" s="5">
        <f>+$C939*BI939</f>
        <v>0</v>
      </c>
      <c r="K939" s="5">
        <f>+$C939*BJ939</f>
        <v>0</v>
      </c>
      <c r="L939" s="5">
        <f>+$C939*BK939</f>
        <v>0</v>
      </c>
      <c r="M939" s="5">
        <f>+$C939*BL939</f>
        <v>0</v>
      </c>
      <c r="N939" s="5">
        <f>+$C939*BM939</f>
        <v>0</v>
      </c>
      <c r="O939" s="5">
        <f>+$C939*BN939</f>
        <v>0</v>
      </c>
      <c r="P939" s="5">
        <v>5000</v>
      </c>
      <c r="Q939" s="5">
        <f>+$P939*BC939</f>
        <v>445.9078297437112</v>
      </c>
      <c r="R939" s="5">
        <f>+$P939*BD939</f>
        <v>533.26389417225994</v>
      </c>
      <c r="S939" s="5">
        <f>+$P939*BE939</f>
        <v>471.94245424273822</v>
      </c>
      <c r="T939" s="5">
        <f>+$P939*BF939</f>
        <v>357.47824934275246</v>
      </c>
      <c r="U939" s="5">
        <f>+$P939*BG939</f>
        <v>518.42859052683809</v>
      </c>
      <c r="V939" s="5">
        <f>+$P939*BH939</f>
        <v>424.85165476272317</v>
      </c>
      <c r="W939" s="5">
        <f>+$P939*BI939</f>
        <v>422.96939438631352</v>
      </c>
      <c r="X939" s="5">
        <f>+$P939*BJ939</f>
        <v>287.23552731389981</v>
      </c>
      <c r="Y939" s="5">
        <f>+$P939*BK939</f>
        <v>425.76926172778735</v>
      </c>
      <c r="Z939" s="5">
        <f>+$P939*BL939</f>
        <v>370.79029456517588</v>
      </c>
      <c r="AA939" s="5">
        <f>+$P939*BM939</f>
        <v>378.59094596053586</v>
      </c>
      <c r="AB939" s="5">
        <f>+$P939*BN939</f>
        <v>369.77779682837809</v>
      </c>
      <c r="AC939" s="5">
        <v>0</v>
      </c>
      <c r="AD939" s="5">
        <f>+$AC939*BC939</f>
        <v>0</v>
      </c>
      <c r="AE939" s="5">
        <f>+$AC939*BD939</f>
        <v>0</v>
      </c>
      <c r="AF939" s="5">
        <f>+$AC939*BE939</f>
        <v>0</v>
      </c>
      <c r="AG939" s="5">
        <f>+$AC939*BF939</f>
        <v>0</v>
      </c>
      <c r="AH939" s="5">
        <f>+$AC939*BG939</f>
        <v>0</v>
      </c>
      <c r="AI939" s="5">
        <f>+$AC939*BH939</f>
        <v>0</v>
      </c>
      <c r="AJ939" s="5">
        <f>+$AC939*BI939</f>
        <v>0</v>
      </c>
      <c r="AK939" s="5">
        <f>+$AC939*BJ939</f>
        <v>0</v>
      </c>
      <c r="AL939" s="5">
        <f>+$AC939*BK939</f>
        <v>0</v>
      </c>
      <c r="AM939" s="5">
        <f>+$AC939*BL939</f>
        <v>0</v>
      </c>
      <c r="AN939" s="5">
        <f>+$AC939*BM939</f>
        <v>0</v>
      </c>
      <c r="AO939" s="5">
        <f>+$AC939*BN939</f>
        <v>0</v>
      </c>
      <c r="AP939" s="5">
        <f>+AC939+P939+C939</f>
        <v>5000</v>
      </c>
      <c r="AQ939" s="1">
        <v>29.528016485628559</v>
      </c>
      <c r="AR939" s="1">
        <v>35.312735072087051</v>
      </c>
      <c r="AS939" s="1">
        <v>31.252029319954126</v>
      </c>
      <c r="AT939" s="1">
        <v>23.67220967147707</v>
      </c>
      <c r="AU939" s="1">
        <v>34.33034126468722</v>
      </c>
      <c r="AV939" s="1">
        <v>28.133676578387533</v>
      </c>
      <c r="AW939" s="1">
        <v>28.009033296261684</v>
      </c>
      <c r="AX939" s="1">
        <v>19.020736618726449</v>
      </c>
      <c r="AY939" s="1">
        <v>28.194440511614083</v>
      </c>
      <c r="AZ939" s="1">
        <v>24.553733306105947</v>
      </c>
      <c r="BA939" s="1">
        <v>25.070292441506684</v>
      </c>
      <c r="BB939" s="1">
        <v>24.486685705975198</v>
      </c>
      <c r="BC939" s="2">
        <v>8.9181565948742242E-2</v>
      </c>
      <c r="BD939" s="2">
        <v>0.10665277883445198</v>
      </c>
      <c r="BE939" s="2">
        <v>9.438849084854764E-2</v>
      </c>
      <c r="BF939" s="2">
        <v>7.149564986855049E-2</v>
      </c>
      <c r="BG939" s="2">
        <v>0.10368571810536763</v>
      </c>
      <c r="BH939" s="2">
        <v>8.4970330952544637E-2</v>
      </c>
      <c r="BI939" s="2">
        <v>8.4593878877262704E-2</v>
      </c>
      <c r="BJ939" s="2">
        <v>5.7447105462779965E-2</v>
      </c>
      <c r="BK939" s="2">
        <v>8.5153852345557474E-2</v>
      </c>
      <c r="BL939" s="2">
        <v>7.4158058913035174E-2</v>
      </c>
      <c r="BM939" s="2">
        <v>7.5718189192107169E-2</v>
      </c>
      <c r="BN939" s="2">
        <v>7.3955559365675619E-2</v>
      </c>
    </row>
    <row r="940" spans="1:66" x14ac:dyDescent="0.25">
      <c r="A940" s="8">
        <v>16522</v>
      </c>
      <c r="B940" s="8" t="s">
        <v>56</v>
      </c>
      <c r="C940" s="5">
        <v>0</v>
      </c>
      <c r="D940" s="5">
        <f>+$C940*BC940</f>
        <v>0</v>
      </c>
      <c r="E940" s="5">
        <f>+$C940*BD940</f>
        <v>0</v>
      </c>
      <c r="F940" s="5">
        <f>+$C940*BE940</f>
        <v>0</v>
      </c>
      <c r="G940" s="5">
        <f>+$C940*BF940</f>
        <v>0</v>
      </c>
      <c r="H940" s="5">
        <f>+$C940*BG940</f>
        <v>0</v>
      </c>
      <c r="I940" s="5">
        <f>+$C940*BH940</f>
        <v>0</v>
      </c>
      <c r="J940" s="5">
        <f>+$C940*BI940</f>
        <v>0</v>
      </c>
      <c r="K940" s="5">
        <f>+$C940*BJ940</f>
        <v>0</v>
      </c>
      <c r="L940" s="5">
        <f>+$C940*BK940</f>
        <v>0</v>
      </c>
      <c r="M940" s="5">
        <f>+$C940*BL940</f>
        <v>0</v>
      </c>
      <c r="N940" s="5">
        <f>+$C940*BM940</f>
        <v>0</v>
      </c>
      <c r="O940" s="5">
        <f>+$C940*BN940</f>
        <v>0</v>
      </c>
      <c r="P940" s="5">
        <v>2000</v>
      </c>
      <c r="Q940" s="5">
        <f>+$P940*BC940</f>
        <v>178.36313189748449</v>
      </c>
      <c r="R940" s="5">
        <f>+$P940*BD940</f>
        <v>213.30555766890396</v>
      </c>
      <c r="S940" s="5">
        <f>+$P940*BE940</f>
        <v>188.77698169709529</v>
      </c>
      <c r="T940" s="5">
        <f>+$P940*BF940</f>
        <v>142.99129973710097</v>
      </c>
      <c r="U940" s="5">
        <f>+$P940*BG940</f>
        <v>207.37143621073525</v>
      </c>
      <c r="V940" s="5">
        <f>+$P940*BH940</f>
        <v>169.94066190508929</v>
      </c>
      <c r="W940" s="5">
        <f>+$P940*BI940</f>
        <v>169.18775775452542</v>
      </c>
      <c r="X940" s="5">
        <f>+$P940*BJ940</f>
        <v>114.89421092555993</v>
      </c>
      <c r="Y940" s="5">
        <f>+$P940*BK940</f>
        <v>170.30770469111494</v>
      </c>
      <c r="Z940" s="5">
        <f>+$P940*BL940</f>
        <v>148.31611782607035</v>
      </c>
      <c r="AA940" s="5">
        <f>+$P940*BM940</f>
        <v>151.43637838421435</v>
      </c>
      <c r="AB940" s="5">
        <f>+$P940*BN940</f>
        <v>147.91111873135125</v>
      </c>
      <c r="AC940" s="5">
        <v>0</v>
      </c>
      <c r="AD940" s="5">
        <f>+$AC940*BC940</f>
        <v>0</v>
      </c>
      <c r="AE940" s="5">
        <f>+$AC940*BD940</f>
        <v>0</v>
      </c>
      <c r="AF940" s="5">
        <f>+$AC940*BE940</f>
        <v>0</v>
      </c>
      <c r="AG940" s="5">
        <f>+$AC940*BF940</f>
        <v>0</v>
      </c>
      <c r="AH940" s="5">
        <f>+$AC940*BG940</f>
        <v>0</v>
      </c>
      <c r="AI940" s="5">
        <f>+$AC940*BH940</f>
        <v>0</v>
      </c>
      <c r="AJ940" s="5">
        <f>+$AC940*BI940</f>
        <v>0</v>
      </c>
      <c r="AK940" s="5">
        <f>+$AC940*BJ940</f>
        <v>0</v>
      </c>
      <c r="AL940" s="5">
        <f>+$AC940*BK940</f>
        <v>0</v>
      </c>
      <c r="AM940" s="5">
        <f>+$AC940*BL940</f>
        <v>0</v>
      </c>
      <c r="AN940" s="5">
        <f>+$AC940*BM940</f>
        <v>0</v>
      </c>
      <c r="AO940" s="5">
        <f>+$AC940*BN940</f>
        <v>0</v>
      </c>
      <c r="AP940" s="5">
        <f>+AC940+P940+C940</f>
        <v>2000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2">
        <v>8.9181565948742242E-2</v>
      </c>
      <c r="BD940" s="2">
        <v>0.10665277883445198</v>
      </c>
      <c r="BE940" s="2">
        <v>9.438849084854764E-2</v>
      </c>
      <c r="BF940" s="2">
        <v>7.149564986855049E-2</v>
      </c>
      <c r="BG940" s="2">
        <v>0.10368571810536763</v>
      </c>
      <c r="BH940" s="2">
        <v>8.4970330952544637E-2</v>
      </c>
      <c r="BI940" s="2">
        <v>8.4593878877262704E-2</v>
      </c>
      <c r="BJ940" s="2">
        <v>5.7447105462779965E-2</v>
      </c>
      <c r="BK940" s="2">
        <v>8.5153852345557474E-2</v>
      </c>
      <c r="BL940" s="2">
        <v>7.4158058913035174E-2</v>
      </c>
      <c r="BM940" s="2">
        <v>7.5718189192107169E-2</v>
      </c>
      <c r="BN940" s="2">
        <v>7.3955559365675619E-2</v>
      </c>
    </row>
    <row r="941" spans="1:66" x14ac:dyDescent="0.25">
      <c r="A941" s="8">
        <v>16616</v>
      </c>
      <c r="B941" s="8" t="s">
        <v>55</v>
      </c>
      <c r="C941" s="5">
        <v>0</v>
      </c>
      <c r="D941" s="5">
        <f>+$C941*BC941</f>
        <v>0</v>
      </c>
      <c r="E941" s="5">
        <f>+$C941*BD941</f>
        <v>0</v>
      </c>
      <c r="F941" s="5">
        <f>+$C941*BE941</f>
        <v>0</v>
      </c>
      <c r="G941" s="5">
        <f>+$C941*BF941</f>
        <v>0</v>
      </c>
      <c r="H941" s="5">
        <f>+$C941*BG941</f>
        <v>0</v>
      </c>
      <c r="I941" s="5">
        <f>+$C941*BH941</f>
        <v>0</v>
      </c>
      <c r="J941" s="5">
        <f>+$C941*BI941</f>
        <v>0</v>
      </c>
      <c r="K941" s="5">
        <f>+$C941*BJ941</f>
        <v>0</v>
      </c>
      <c r="L941" s="5">
        <f>+$C941*BK941</f>
        <v>0</v>
      </c>
      <c r="M941" s="5">
        <f>+$C941*BL941</f>
        <v>0</v>
      </c>
      <c r="N941" s="5">
        <f>+$C941*BM941</f>
        <v>0</v>
      </c>
      <c r="O941" s="5">
        <f>+$C941*BN941</f>
        <v>0</v>
      </c>
      <c r="P941" s="5">
        <v>1000</v>
      </c>
      <c r="Q941" s="5">
        <f>+$P941*BC941</f>
        <v>89.181565948742247</v>
      </c>
      <c r="R941" s="5">
        <f>+$P941*BD941</f>
        <v>106.65277883445198</v>
      </c>
      <c r="S941" s="5">
        <f>+$P941*BE941</f>
        <v>94.388490848547647</v>
      </c>
      <c r="T941" s="5">
        <f>+$P941*BF941</f>
        <v>71.495649868550487</v>
      </c>
      <c r="U941" s="5">
        <f>+$P941*BG941</f>
        <v>103.68571810536763</v>
      </c>
      <c r="V941" s="5">
        <f>+$P941*BH941</f>
        <v>84.970330952544643</v>
      </c>
      <c r="W941" s="5">
        <f>+$P941*BI941</f>
        <v>84.593878877262711</v>
      </c>
      <c r="X941" s="5">
        <f>+$P941*BJ941</f>
        <v>57.447105462779966</v>
      </c>
      <c r="Y941" s="5">
        <f>+$P941*BK941</f>
        <v>85.153852345557468</v>
      </c>
      <c r="Z941" s="5">
        <f>+$P941*BL941</f>
        <v>74.158058913035177</v>
      </c>
      <c r="AA941" s="5">
        <f>+$P941*BM941</f>
        <v>75.718189192107175</v>
      </c>
      <c r="AB941" s="5">
        <f>+$P941*BN941</f>
        <v>73.955559365675626</v>
      </c>
      <c r="AC941" s="5">
        <v>0</v>
      </c>
      <c r="AD941" s="5">
        <f>+$AC941*BC941</f>
        <v>0</v>
      </c>
      <c r="AE941" s="5">
        <f>+$AC941*BD941</f>
        <v>0</v>
      </c>
      <c r="AF941" s="5">
        <f>+$AC941*BE941</f>
        <v>0</v>
      </c>
      <c r="AG941" s="5">
        <f>+$AC941*BF941</f>
        <v>0</v>
      </c>
      <c r="AH941" s="5">
        <f>+$AC941*BG941</f>
        <v>0</v>
      </c>
      <c r="AI941" s="5">
        <f>+$AC941*BH941</f>
        <v>0</v>
      </c>
      <c r="AJ941" s="5">
        <f>+$AC941*BI941</f>
        <v>0</v>
      </c>
      <c r="AK941" s="5">
        <f>+$AC941*BJ941</f>
        <v>0</v>
      </c>
      <c r="AL941" s="5">
        <f>+$AC941*BK941</f>
        <v>0</v>
      </c>
      <c r="AM941" s="5">
        <f>+$AC941*BL941</f>
        <v>0</v>
      </c>
      <c r="AN941" s="5">
        <f>+$AC941*BM941</f>
        <v>0</v>
      </c>
      <c r="AO941" s="5">
        <f>+$AC941*BN941</f>
        <v>0</v>
      </c>
      <c r="AP941" s="5">
        <f>+AC941+P941+C941</f>
        <v>1000</v>
      </c>
      <c r="AQ941" s="1">
        <v>66.321298422837359</v>
      </c>
      <c r="AR941" s="1">
        <v>79.314045424701575</v>
      </c>
      <c r="AS941" s="1">
        <v>70.193511435376038</v>
      </c>
      <c r="AT941" s="1">
        <v>53.168883955145475</v>
      </c>
      <c r="AU941" s="1">
        <v>77.107543240546335</v>
      </c>
      <c r="AV941" s="1">
        <v>63.189546138155066</v>
      </c>
      <c r="AW941" s="1">
        <v>62.909591529138453</v>
      </c>
      <c r="AX941" s="1">
        <v>42.721459131083726</v>
      </c>
      <c r="AY941" s="1">
        <v>63.32602475841135</v>
      </c>
      <c r="AZ941" s="1">
        <v>55.148827039621217</v>
      </c>
      <c r="BA941" s="1">
        <v>56.309042883737575</v>
      </c>
      <c r="BB941" s="1">
        <v>54.998235011234527</v>
      </c>
      <c r="BC941" s="2">
        <v>8.9181565948742242E-2</v>
      </c>
      <c r="BD941" s="2">
        <v>0.10665277883445198</v>
      </c>
      <c r="BE941" s="2">
        <v>9.438849084854764E-2</v>
      </c>
      <c r="BF941" s="2">
        <v>7.149564986855049E-2</v>
      </c>
      <c r="BG941" s="2">
        <v>0.10368571810536763</v>
      </c>
      <c r="BH941" s="2">
        <v>8.4970330952544637E-2</v>
      </c>
      <c r="BI941" s="2">
        <v>8.4593878877262704E-2</v>
      </c>
      <c r="BJ941" s="2">
        <v>5.7447105462779965E-2</v>
      </c>
      <c r="BK941" s="2">
        <v>8.5153852345557474E-2</v>
      </c>
      <c r="BL941" s="2">
        <v>7.4158058913035174E-2</v>
      </c>
      <c r="BM941" s="2">
        <v>7.5718189192107169E-2</v>
      </c>
      <c r="BN941" s="2">
        <v>7.3955559365675619E-2</v>
      </c>
    </row>
    <row r="942" spans="1:66" x14ac:dyDescent="0.25">
      <c r="A942" s="8">
        <v>16995</v>
      </c>
      <c r="B942" s="8" t="s">
        <v>54</v>
      </c>
      <c r="C942" s="5">
        <v>0</v>
      </c>
      <c r="D942" s="5">
        <f>+$C942*BC942</f>
        <v>0</v>
      </c>
      <c r="E942" s="5">
        <f>+$C942*BD942</f>
        <v>0</v>
      </c>
      <c r="F942" s="5">
        <f>+$C942*BE942</f>
        <v>0</v>
      </c>
      <c r="G942" s="5">
        <f>+$C942*BF942</f>
        <v>0</v>
      </c>
      <c r="H942" s="5">
        <f>+$C942*BG942</f>
        <v>0</v>
      </c>
      <c r="I942" s="5">
        <f>+$C942*BH942</f>
        <v>0</v>
      </c>
      <c r="J942" s="5">
        <f>+$C942*BI942</f>
        <v>0</v>
      </c>
      <c r="K942" s="5">
        <f>+$C942*BJ942</f>
        <v>0</v>
      </c>
      <c r="L942" s="5">
        <f>+$C942*BK942</f>
        <v>0</v>
      </c>
      <c r="M942" s="5">
        <f>+$C942*BL942</f>
        <v>0</v>
      </c>
      <c r="N942" s="5">
        <f>+$C942*BM942</f>
        <v>0</v>
      </c>
      <c r="O942" s="5">
        <f>+$C942*BN942</f>
        <v>0</v>
      </c>
      <c r="P942" s="5">
        <v>0</v>
      </c>
      <c r="Q942" s="5">
        <f>+$P942*BC942</f>
        <v>0</v>
      </c>
      <c r="R942" s="5">
        <f>+$P942*BD942</f>
        <v>0</v>
      </c>
      <c r="S942" s="5">
        <f>+$P942*BE942</f>
        <v>0</v>
      </c>
      <c r="T942" s="5">
        <f>+$P942*BF942</f>
        <v>0</v>
      </c>
      <c r="U942" s="5">
        <f>+$P942*BG942</f>
        <v>0</v>
      </c>
      <c r="V942" s="5">
        <f>+$P942*BH942</f>
        <v>0</v>
      </c>
      <c r="W942" s="5">
        <f>+$P942*BI942</f>
        <v>0</v>
      </c>
      <c r="X942" s="5">
        <f>+$P942*BJ942</f>
        <v>0</v>
      </c>
      <c r="Y942" s="5">
        <f>+$P942*BK942</f>
        <v>0</v>
      </c>
      <c r="Z942" s="5">
        <f>+$P942*BL942</f>
        <v>0</v>
      </c>
      <c r="AA942" s="5">
        <f>+$P942*BM942</f>
        <v>0</v>
      </c>
      <c r="AB942" s="5">
        <f>+$P942*BN942</f>
        <v>0</v>
      </c>
      <c r="AC942" s="5">
        <v>0</v>
      </c>
      <c r="AD942" s="5">
        <f>+$AC942*BC942</f>
        <v>0</v>
      </c>
      <c r="AE942" s="5">
        <f>+$AC942*BD942</f>
        <v>0</v>
      </c>
      <c r="AF942" s="5">
        <f>+$AC942*BE942</f>
        <v>0</v>
      </c>
      <c r="AG942" s="5">
        <f>+$AC942*BF942</f>
        <v>0</v>
      </c>
      <c r="AH942" s="5">
        <f>+$AC942*BG942</f>
        <v>0</v>
      </c>
      <c r="AI942" s="5">
        <f>+$AC942*BH942</f>
        <v>0</v>
      </c>
      <c r="AJ942" s="5">
        <f>+$AC942*BI942</f>
        <v>0</v>
      </c>
      <c r="AK942" s="5">
        <f>+$AC942*BJ942</f>
        <v>0</v>
      </c>
      <c r="AL942" s="5">
        <f>+$AC942*BK942</f>
        <v>0</v>
      </c>
      <c r="AM942" s="5">
        <f>+$AC942*BL942</f>
        <v>0</v>
      </c>
      <c r="AN942" s="5">
        <f>+$AC942*BM942</f>
        <v>0</v>
      </c>
      <c r="AO942" s="5">
        <f>+$AC942*BN942</f>
        <v>0</v>
      </c>
      <c r="AP942" s="5">
        <f>+AC942+P942+C942</f>
        <v>0</v>
      </c>
      <c r="AQ942" s="1">
        <v>117.5882134241313</v>
      </c>
      <c r="AR942" s="1">
        <v>140.62446186547461</v>
      </c>
      <c r="AS942" s="1">
        <v>124.45367928457212</v>
      </c>
      <c r="AT942" s="1">
        <v>94.268873238580397</v>
      </c>
      <c r="AU942" s="1">
        <v>136.71231515059793</v>
      </c>
      <c r="AV942" s="1">
        <v>112.03559058953486</v>
      </c>
      <c r="AW942" s="1">
        <v>111.53922874052166</v>
      </c>
      <c r="AX942" s="1">
        <v>75.745502177417407</v>
      </c>
      <c r="AY942" s="1">
        <v>112.2775683177785</v>
      </c>
      <c r="AZ942" s="1">
        <v>97.779328786368609</v>
      </c>
      <c r="BA942" s="1">
        <v>99.836401122712289</v>
      </c>
      <c r="BB942" s="1">
        <v>97.512327868186802</v>
      </c>
      <c r="BC942" s="2">
        <v>8.9181565948742242E-2</v>
      </c>
      <c r="BD942" s="2">
        <v>0.10665277883445198</v>
      </c>
      <c r="BE942" s="2">
        <v>9.438849084854764E-2</v>
      </c>
      <c r="BF942" s="2">
        <v>7.149564986855049E-2</v>
      </c>
      <c r="BG942" s="2">
        <v>0.10368571810536763</v>
      </c>
      <c r="BH942" s="2">
        <v>8.4970330952544637E-2</v>
      </c>
      <c r="BI942" s="2">
        <v>8.4593878877262704E-2</v>
      </c>
      <c r="BJ942" s="2">
        <v>5.7447105462779965E-2</v>
      </c>
      <c r="BK942" s="2">
        <v>8.5153852345557474E-2</v>
      </c>
      <c r="BL942" s="2">
        <v>7.4158058913035174E-2</v>
      </c>
      <c r="BM942" s="2">
        <v>7.5718189192107169E-2</v>
      </c>
      <c r="BN942" s="2">
        <v>7.3955559365675619E-2</v>
      </c>
    </row>
    <row r="943" spans="1:66" x14ac:dyDescent="0.25">
      <c r="A943" s="8">
        <v>17068</v>
      </c>
      <c r="B943" s="8" t="s">
        <v>53</v>
      </c>
      <c r="C943" s="5">
        <v>0</v>
      </c>
      <c r="D943" s="5">
        <f>+$C943*BC943</f>
        <v>0</v>
      </c>
      <c r="E943" s="5">
        <f>+$C943*BD943</f>
        <v>0</v>
      </c>
      <c r="F943" s="5">
        <f>+$C943*BE943</f>
        <v>0</v>
      </c>
      <c r="G943" s="5">
        <f>+$C943*BF943</f>
        <v>0</v>
      </c>
      <c r="H943" s="5">
        <f>+$C943*BG943</f>
        <v>0</v>
      </c>
      <c r="I943" s="5">
        <f>+$C943*BH943</f>
        <v>0</v>
      </c>
      <c r="J943" s="5">
        <f>+$C943*BI943</f>
        <v>0</v>
      </c>
      <c r="K943" s="5">
        <f>+$C943*BJ943</f>
        <v>0</v>
      </c>
      <c r="L943" s="5">
        <f>+$C943*BK943</f>
        <v>0</v>
      </c>
      <c r="M943" s="5">
        <f>+$C943*BL943</f>
        <v>0</v>
      </c>
      <c r="N943" s="5">
        <f>+$C943*BM943</f>
        <v>0</v>
      </c>
      <c r="O943" s="5">
        <f>+$C943*BN943</f>
        <v>0</v>
      </c>
      <c r="P943" s="5">
        <v>0</v>
      </c>
      <c r="Q943" s="5">
        <f>+$P943*BC943</f>
        <v>0</v>
      </c>
      <c r="R943" s="5">
        <f>+$P943*BD943</f>
        <v>0</v>
      </c>
      <c r="S943" s="5">
        <f>+$P943*BE943</f>
        <v>0</v>
      </c>
      <c r="T943" s="5">
        <f>+$P943*BF943</f>
        <v>0</v>
      </c>
      <c r="U943" s="5">
        <f>+$P943*BG943</f>
        <v>0</v>
      </c>
      <c r="V943" s="5">
        <f>+$P943*BH943</f>
        <v>0</v>
      </c>
      <c r="W943" s="5">
        <f>+$P943*BI943</f>
        <v>0</v>
      </c>
      <c r="X943" s="5">
        <f>+$P943*BJ943</f>
        <v>0</v>
      </c>
      <c r="Y943" s="5">
        <f>+$P943*BK943</f>
        <v>0</v>
      </c>
      <c r="Z943" s="5">
        <f>+$P943*BL943</f>
        <v>0</v>
      </c>
      <c r="AA943" s="5">
        <f>+$P943*BM943</f>
        <v>0</v>
      </c>
      <c r="AB943" s="5">
        <f>+$P943*BN943</f>
        <v>0</v>
      </c>
      <c r="AC943" s="5">
        <v>0</v>
      </c>
      <c r="AD943" s="5">
        <f>+$AC943*BC943</f>
        <v>0</v>
      </c>
      <c r="AE943" s="5">
        <f>+$AC943*BD943</f>
        <v>0</v>
      </c>
      <c r="AF943" s="5">
        <f>+$AC943*BE943</f>
        <v>0</v>
      </c>
      <c r="AG943" s="5">
        <f>+$AC943*BF943</f>
        <v>0</v>
      </c>
      <c r="AH943" s="5">
        <f>+$AC943*BG943</f>
        <v>0</v>
      </c>
      <c r="AI943" s="5">
        <f>+$AC943*BH943</f>
        <v>0</v>
      </c>
      <c r="AJ943" s="5">
        <f>+$AC943*BI943</f>
        <v>0</v>
      </c>
      <c r="AK943" s="5">
        <f>+$AC943*BJ943</f>
        <v>0</v>
      </c>
      <c r="AL943" s="5">
        <f>+$AC943*BK943</f>
        <v>0</v>
      </c>
      <c r="AM943" s="5">
        <f>+$AC943*BL943</f>
        <v>0</v>
      </c>
      <c r="AN943" s="5">
        <f>+$AC943*BM943</f>
        <v>0</v>
      </c>
      <c r="AO943" s="5">
        <f>+$AC943*BN943</f>
        <v>0</v>
      </c>
      <c r="AP943" s="5">
        <f>+AC943+P943+C943</f>
        <v>0</v>
      </c>
      <c r="AQ943" s="1">
        <v>25.505927861340282</v>
      </c>
      <c r="AR943" s="1">
        <v>30.502694746653269</v>
      </c>
      <c r="AS943" s="1">
        <v>26.995108382684624</v>
      </c>
      <c r="AT943" s="1">
        <v>20.44775586240544</v>
      </c>
      <c r="AU943" s="1">
        <v>29.654115378135142</v>
      </c>
      <c r="AV943" s="1">
        <v>24.301514652427766</v>
      </c>
      <c r="AW943" s="1">
        <v>24.193849358897133</v>
      </c>
      <c r="AX943" s="1">
        <v>16.429872162355071</v>
      </c>
      <c r="AY943" s="1">
        <v>24.354001770829438</v>
      </c>
      <c r="AZ943" s="1">
        <v>21.20920484912806</v>
      </c>
      <c r="BA943" s="1">
        <v>21.655402108942649</v>
      </c>
      <c r="BB943" s="1">
        <v>21.151289978583225</v>
      </c>
      <c r="BC943" s="2">
        <v>8.9181565948742242E-2</v>
      </c>
      <c r="BD943" s="2">
        <v>0.10665277883445198</v>
      </c>
      <c r="BE943" s="2">
        <v>9.438849084854764E-2</v>
      </c>
      <c r="BF943" s="2">
        <v>7.149564986855049E-2</v>
      </c>
      <c r="BG943" s="2">
        <v>0.10368571810536763</v>
      </c>
      <c r="BH943" s="2">
        <v>8.4970330952544637E-2</v>
      </c>
      <c r="BI943" s="2">
        <v>8.4593878877262704E-2</v>
      </c>
      <c r="BJ943" s="2">
        <v>5.7447105462779965E-2</v>
      </c>
      <c r="BK943" s="2">
        <v>8.5153852345557474E-2</v>
      </c>
      <c r="BL943" s="2">
        <v>7.4158058913035174E-2</v>
      </c>
      <c r="BM943" s="2">
        <v>7.5718189192107169E-2</v>
      </c>
      <c r="BN943" s="2">
        <v>7.3955559365675619E-2</v>
      </c>
    </row>
    <row r="944" spans="1:66" x14ac:dyDescent="0.25">
      <c r="A944" s="8">
        <v>17084</v>
      </c>
      <c r="B944" s="8" t="s">
        <v>52</v>
      </c>
      <c r="C944" s="5">
        <v>0</v>
      </c>
      <c r="D944" s="5">
        <f>+$C944*BC944</f>
        <v>0</v>
      </c>
      <c r="E944" s="5">
        <f>+$C944*BD944</f>
        <v>0</v>
      </c>
      <c r="F944" s="5">
        <f>+$C944*BE944</f>
        <v>0</v>
      </c>
      <c r="G944" s="5">
        <f>+$C944*BF944</f>
        <v>0</v>
      </c>
      <c r="H944" s="5">
        <f>+$C944*BG944</f>
        <v>0</v>
      </c>
      <c r="I944" s="5">
        <f>+$C944*BH944</f>
        <v>0</v>
      </c>
      <c r="J944" s="5">
        <f>+$C944*BI944</f>
        <v>0</v>
      </c>
      <c r="K944" s="5">
        <f>+$C944*BJ944</f>
        <v>0</v>
      </c>
      <c r="L944" s="5">
        <f>+$C944*BK944</f>
        <v>0</v>
      </c>
      <c r="M944" s="5">
        <f>+$C944*BL944</f>
        <v>0</v>
      </c>
      <c r="N944" s="5">
        <f>+$C944*BM944</f>
        <v>0</v>
      </c>
      <c r="O944" s="5">
        <f>+$C944*BN944</f>
        <v>0</v>
      </c>
      <c r="P944" s="5">
        <v>0</v>
      </c>
      <c r="Q944" s="5">
        <f>+$P944*BC944</f>
        <v>0</v>
      </c>
      <c r="R944" s="5">
        <f>+$P944*BD944</f>
        <v>0</v>
      </c>
      <c r="S944" s="5">
        <f>+$P944*BE944</f>
        <v>0</v>
      </c>
      <c r="T944" s="5">
        <f>+$P944*BF944</f>
        <v>0</v>
      </c>
      <c r="U944" s="5">
        <f>+$P944*BG944</f>
        <v>0</v>
      </c>
      <c r="V944" s="5">
        <f>+$P944*BH944</f>
        <v>0</v>
      </c>
      <c r="W944" s="5">
        <f>+$P944*BI944</f>
        <v>0</v>
      </c>
      <c r="X944" s="5">
        <f>+$P944*BJ944</f>
        <v>0</v>
      </c>
      <c r="Y944" s="5">
        <f>+$P944*BK944</f>
        <v>0</v>
      </c>
      <c r="Z944" s="5">
        <f>+$P944*BL944</f>
        <v>0</v>
      </c>
      <c r="AA944" s="5">
        <f>+$P944*BM944</f>
        <v>0</v>
      </c>
      <c r="AB944" s="5">
        <f>+$P944*BN944</f>
        <v>0</v>
      </c>
      <c r="AC944" s="5">
        <v>0</v>
      </c>
      <c r="AD944" s="5">
        <f>+$AC944*BC944</f>
        <v>0</v>
      </c>
      <c r="AE944" s="5">
        <f>+$AC944*BD944</f>
        <v>0</v>
      </c>
      <c r="AF944" s="5">
        <f>+$AC944*BE944</f>
        <v>0</v>
      </c>
      <c r="AG944" s="5">
        <f>+$AC944*BF944</f>
        <v>0</v>
      </c>
      <c r="AH944" s="5">
        <f>+$AC944*BG944</f>
        <v>0</v>
      </c>
      <c r="AI944" s="5">
        <f>+$AC944*BH944</f>
        <v>0</v>
      </c>
      <c r="AJ944" s="5">
        <f>+$AC944*BI944</f>
        <v>0</v>
      </c>
      <c r="AK944" s="5">
        <f>+$AC944*BJ944</f>
        <v>0</v>
      </c>
      <c r="AL944" s="5">
        <f>+$AC944*BK944</f>
        <v>0</v>
      </c>
      <c r="AM944" s="5">
        <f>+$AC944*BL944</f>
        <v>0</v>
      </c>
      <c r="AN944" s="5">
        <f>+$AC944*BM944</f>
        <v>0</v>
      </c>
      <c r="AO944" s="5">
        <f>+$AC944*BN944</f>
        <v>0</v>
      </c>
      <c r="AP944" s="5">
        <f>+AC944+P944+C944</f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2">
        <v>8.9181565948742242E-2</v>
      </c>
      <c r="BD944" s="2">
        <v>0.10665277883445198</v>
      </c>
      <c r="BE944" s="2">
        <v>9.438849084854764E-2</v>
      </c>
      <c r="BF944" s="2">
        <v>7.149564986855049E-2</v>
      </c>
      <c r="BG944" s="2">
        <v>0.10368571810536763</v>
      </c>
      <c r="BH944" s="2">
        <v>8.4970330952544637E-2</v>
      </c>
      <c r="BI944" s="2">
        <v>8.4593878877262704E-2</v>
      </c>
      <c r="BJ944" s="2">
        <v>5.7447105462779965E-2</v>
      </c>
      <c r="BK944" s="2">
        <v>8.5153852345557474E-2</v>
      </c>
      <c r="BL944" s="2">
        <v>7.4158058913035174E-2</v>
      </c>
      <c r="BM944" s="2">
        <v>7.5718189192107169E-2</v>
      </c>
      <c r="BN944" s="2">
        <v>7.3955559365675619E-2</v>
      </c>
    </row>
    <row r="945" spans="1:66" x14ac:dyDescent="0.25">
      <c r="A945" s="8">
        <v>17094</v>
      </c>
      <c r="B945" s="8" t="s">
        <v>51</v>
      </c>
      <c r="C945" s="5">
        <v>0</v>
      </c>
      <c r="D945" s="5">
        <f>+$C945*BC945</f>
        <v>0</v>
      </c>
      <c r="E945" s="5">
        <f>+$C945*BD945</f>
        <v>0</v>
      </c>
      <c r="F945" s="5">
        <f>+$C945*BE945</f>
        <v>0</v>
      </c>
      <c r="G945" s="5">
        <f>+$C945*BF945</f>
        <v>0</v>
      </c>
      <c r="H945" s="5">
        <f>+$C945*BG945</f>
        <v>0</v>
      </c>
      <c r="I945" s="5">
        <f>+$C945*BH945</f>
        <v>0</v>
      </c>
      <c r="J945" s="5">
        <f>+$C945*BI945</f>
        <v>0</v>
      </c>
      <c r="K945" s="5">
        <f>+$C945*BJ945</f>
        <v>0</v>
      </c>
      <c r="L945" s="5">
        <f>+$C945*BK945</f>
        <v>0</v>
      </c>
      <c r="M945" s="5">
        <f>+$C945*BL945</f>
        <v>0</v>
      </c>
      <c r="N945" s="5">
        <f>+$C945*BM945</f>
        <v>0</v>
      </c>
      <c r="O945" s="5">
        <f>+$C945*BN945</f>
        <v>0</v>
      </c>
      <c r="P945" s="5">
        <v>0</v>
      </c>
      <c r="Q945" s="5">
        <f>+$P945*BC945</f>
        <v>0</v>
      </c>
      <c r="R945" s="5">
        <f>+$P945*BD945</f>
        <v>0</v>
      </c>
      <c r="S945" s="5">
        <f>+$P945*BE945</f>
        <v>0</v>
      </c>
      <c r="T945" s="5">
        <f>+$P945*BF945</f>
        <v>0</v>
      </c>
      <c r="U945" s="5">
        <f>+$P945*BG945</f>
        <v>0</v>
      </c>
      <c r="V945" s="5">
        <f>+$P945*BH945</f>
        <v>0</v>
      </c>
      <c r="W945" s="5">
        <f>+$P945*BI945</f>
        <v>0</v>
      </c>
      <c r="X945" s="5">
        <f>+$P945*BJ945</f>
        <v>0</v>
      </c>
      <c r="Y945" s="5">
        <f>+$P945*BK945</f>
        <v>0</v>
      </c>
      <c r="Z945" s="5">
        <f>+$P945*BL945</f>
        <v>0</v>
      </c>
      <c r="AA945" s="5">
        <f>+$P945*BM945</f>
        <v>0</v>
      </c>
      <c r="AB945" s="5">
        <f>+$P945*BN945</f>
        <v>0</v>
      </c>
      <c r="AC945" s="5">
        <v>0</v>
      </c>
      <c r="AD945" s="5">
        <f>+$AC945*BC945</f>
        <v>0</v>
      </c>
      <c r="AE945" s="5">
        <f>+$AC945*BD945</f>
        <v>0</v>
      </c>
      <c r="AF945" s="5">
        <f>+$AC945*BE945</f>
        <v>0</v>
      </c>
      <c r="AG945" s="5">
        <f>+$AC945*BF945</f>
        <v>0</v>
      </c>
      <c r="AH945" s="5">
        <f>+$AC945*BG945</f>
        <v>0</v>
      </c>
      <c r="AI945" s="5">
        <f>+$AC945*BH945</f>
        <v>0</v>
      </c>
      <c r="AJ945" s="5">
        <f>+$AC945*BI945</f>
        <v>0</v>
      </c>
      <c r="AK945" s="5">
        <f>+$AC945*BJ945</f>
        <v>0</v>
      </c>
      <c r="AL945" s="5">
        <f>+$AC945*BK945</f>
        <v>0</v>
      </c>
      <c r="AM945" s="5">
        <f>+$AC945*BL945</f>
        <v>0</v>
      </c>
      <c r="AN945" s="5">
        <f>+$AC945*BM945</f>
        <v>0</v>
      </c>
      <c r="AO945" s="5">
        <f>+$AC945*BN945</f>
        <v>0</v>
      </c>
      <c r="AP945" s="5">
        <f>+AC945+P945+C945</f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2">
        <v>8.9181565948742242E-2</v>
      </c>
      <c r="BD945" s="2">
        <v>0.10665277883445198</v>
      </c>
      <c r="BE945" s="2">
        <v>9.438849084854764E-2</v>
      </c>
      <c r="BF945" s="2">
        <v>7.149564986855049E-2</v>
      </c>
      <c r="BG945" s="2">
        <v>0.10368571810536763</v>
      </c>
      <c r="BH945" s="2">
        <v>8.4970330952544637E-2</v>
      </c>
      <c r="BI945" s="2">
        <v>8.4593878877262704E-2</v>
      </c>
      <c r="BJ945" s="2">
        <v>5.7447105462779965E-2</v>
      </c>
      <c r="BK945" s="2">
        <v>8.5153852345557474E-2</v>
      </c>
      <c r="BL945" s="2">
        <v>7.4158058913035174E-2</v>
      </c>
      <c r="BM945" s="2">
        <v>7.5718189192107169E-2</v>
      </c>
      <c r="BN945" s="2">
        <v>7.3955559365675619E-2</v>
      </c>
    </row>
    <row r="946" spans="1:66" x14ac:dyDescent="0.25">
      <c r="A946" s="8">
        <v>17164</v>
      </c>
      <c r="B946" s="8" t="s">
        <v>50</v>
      </c>
      <c r="C946" s="5">
        <v>0</v>
      </c>
      <c r="D946" s="5">
        <f>+$C946*BC946</f>
        <v>0</v>
      </c>
      <c r="E946" s="5">
        <f>+$C946*BD946</f>
        <v>0</v>
      </c>
      <c r="F946" s="5">
        <f>+$C946*BE946</f>
        <v>0</v>
      </c>
      <c r="G946" s="5">
        <f>+$C946*BF946</f>
        <v>0</v>
      </c>
      <c r="H946" s="5">
        <f>+$C946*BG946</f>
        <v>0</v>
      </c>
      <c r="I946" s="5">
        <f>+$C946*BH946</f>
        <v>0</v>
      </c>
      <c r="J946" s="5">
        <f>+$C946*BI946</f>
        <v>0</v>
      </c>
      <c r="K946" s="5">
        <f>+$C946*BJ946</f>
        <v>0</v>
      </c>
      <c r="L946" s="5">
        <f>+$C946*BK946</f>
        <v>0</v>
      </c>
      <c r="M946" s="5">
        <f>+$C946*BL946</f>
        <v>0</v>
      </c>
      <c r="N946" s="5">
        <f>+$C946*BM946</f>
        <v>0</v>
      </c>
      <c r="O946" s="5">
        <f>+$C946*BN946</f>
        <v>0</v>
      </c>
      <c r="P946" s="5">
        <v>1000</v>
      </c>
      <c r="Q946" s="5">
        <f>+$P946*BC946</f>
        <v>89.181565948742247</v>
      </c>
      <c r="R946" s="5">
        <f>+$P946*BD946</f>
        <v>106.65277883445198</v>
      </c>
      <c r="S946" s="5">
        <f>+$P946*BE946</f>
        <v>94.388490848547647</v>
      </c>
      <c r="T946" s="5">
        <f>+$P946*BF946</f>
        <v>71.495649868550487</v>
      </c>
      <c r="U946" s="5">
        <f>+$P946*BG946</f>
        <v>103.68571810536763</v>
      </c>
      <c r="V946" s="5">
        <f>+$P946*BH946</f>
        <v>84.970330952544643</v>
      </c>
      <c r="W946" s="5">
        <f>+$P946*BI946</f>
        <v>84.593878877262711</v>
      </c>
      <c r="X946" s="5">
        <f>+$P946*BJ946</f>
        <v>57.447105462779966</v>
      </c>
      <c r="Y946" s="5">
        <f>+$P946*BK946</f>
        <v>85.153852345557468</v>
      </c>
      <c r="Z946" s="5">
        <f>+$P946*BL946</f>
        <v>74.158058913035177</v>
      </c>
      <c r="AA946" s="5">
        <f>+$P946*BM946</f>
        <v>75.718189192107175</v>
      </c>
      <c r="AB946" s="5">
        <f>+$P946*BN946</f>
        <v>73.955559365675626</v>
      </c>
      <c r="AC946" s="5">
        <v>0</v>
      </c>
      <c r="AD946" s="5">
        <f>+$AC946*BC946</f>
        <v>0</v>
      </c>
      <c r="AE946" s="5">
        <f>+$AC946*BD946</f>
        <v>0</v>
      </c>
      <c r="AF946" s="5">
        <f>+$AC946*BE946</f>
        <v>0</v>
      </c>
      <c r="AG946" s="5">
        <f>+$AC946*BF946</f>
        <v>0</v>
      </c>
      <c r="AH946" s="5">
        <f>+$AC946*BG946</f>
        <v>0</v>
      </c>
      <c r="AI946" s="5">
        <f>+$AC946*BH946</f>
        <v>0</v>
      </c>
      <c r="AJ946" s="5">
        <f>+$AC946*BI946</f>
        <v>0</v>
      </c>
      <c r="AK946" s="5">
        <f>+$AC946*BJ946</f>
        <v>0</v>
      </c>
      <c r="AL946" s="5">
        <f>+$AC946*BK946</f>
        <v>0</v>
      </c>
      <c r="AM946" s="5">
        <f>+$AC946*BL946</f>
        <v>0</v>
      </c>
      <c r="AN946" s="5">
        <f>+$AC946*BM946</f>
        <v>0</v>
      </c>
      <c r="AO946" s="5">
        <f>+$AC946*BN946</f>
        <v>0</v>
      </c>
      <c r="AP946" s="5">
        <f>+AC946+P946+C946</f>
        <v>1000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2">
        <v>8.9181565948742242E-2</v>
      </c>
      <c r="BD946" s="2">
        <v>0.10665277883445198</v>
      </c>
      <c r="BE946" s="2">
        <v>9.438849084854764E-2</v>
      </c>
      <c r="BF946" s="2">
        <v>7.149564986855049E-2</v>
      </c>
      <c r="BG946" s="2">
        <v>0.10368571810536763</v>
      </c>
      <c r="BH946" s="2">
        <v>8.4970330952544637E-2</v>
      </c>
      <c r="BI946" s="2">
        <v>8.4593878877262704E-2</v>
      </c>
      <c r="BJ946" s="2">
        <v>5.7447105462779965E-2</v>
      </c>
      <c r="BK946" s="2">
        <v>8.5153852345557474E-2</v>
      </c>
      <c r="BL946" s="2">
        <v>7.4158058913035174E-2</v>
      </c>
      <c r="BM946" s="2">
        <v>7.5718189192107169E-2</v>
      </c>
      <c r="BN946" s="2">
        <v>7.3955559365675619E-2</v>
      </c>
    </row>
    <row r="947" spans="1:66" x14ac:dyDescent="0.25">
      <c r="A947" s="8">
        <v>17193</v>
      </c>
      <c r="B947" s="8" t="s">
        <v>49</v>
      </c>
      <c r="C947" s="5">
        <v>0</v>
      </c>
      <c r="D947" s="5">
        <f>+$C947*BC947</f>
        <v>0</v>
      </c>
      <c r="E947" s="5">
        <f>+$C947*BD947</f>
        <v>0</v>
      </c>
      <c r="F947" s="5">
        <f>+$C947*BE947</f>
        <v>0</v>
      </c>
      <c r="G947" s="5">
        <f>+$C947*BF947</f>
        <v>0</v>
      </c>
      <c r="H947" s="5">
        <f>+$C947*BG947</f>
        <v>0</v>
      </c>
      <c r="I947" s="5">
        <f>+$C947*BH947</f>
        <v>0</v>
      </c>
      <c r="J947" s="5">
        <f>+$C947*BI947</f>
        <v>0</v>
      </c>
      <c r="K947" s="5">
        <f>+$C947*BJ947</f>
        <v>0</v>
      </c>
      <c r="L947" s="5">
        <f>+$C947*BK947</f>
        <v>0</v>
      </c>
      <c r="M947" s="5">
        <f>+$C947*BL947</f>
        <v>0</v>
      </c>
      <c r="N947" s="5">
        <f>+$C947*BM947</f>
        <v>0</v>
      </c>
      <c r="O947" s="5">
        <f>+$C947*BN947</f>
        <v>0</v>
      </c>
      <c r="P947" s="5">
        <v>10000</v>
      </c>
      <c r="Q947" s="5">
        <f>+$P947*BC947</f>
        <v>891.81565948742241</v>
      </c>
      <c r="R947" s="5">
        <f>+$P947*BD947</f>
        <v>1066.5277883445199</v>
      </c>
      <c r="S947" s="5">
        <f>+$P947*BE947</f>
        <v>943.88490848547644</v>
      </c>
      <c r="T947" s="5">
        <f>+$P947*BF947</f>
        <v>714.95649868550493</v>
      </c>
      <c r="U947" s="5">
        <f>+$P947*BG947</f>
        <v>1036.8571810536762</v>
      </c>
      <c r="V947" s="5">
        <f>+$P947*BH947</f>
        <v>849.70330952544634</v>
      </c>
      <c r="W947" s="5">
        <f>+$P947*BI947</f>
        <v>845.93878877262705</v>
      </c>
      <c r="X947" s="5">
        <f>+$P947*BJ947</f>
        <v>574.47105462779962</v>
      </c>
      <c r="Y947" s="5">
        <f>+$P947*BK947</f>
        <v>851.5385234555747</v>
      </c>
      <c r="Z947" s="5">
        <f>+$P947*BL947</f>
        <v>741.58058913035177</v>
      </c>
      <c r="AA947" s="5">
        <f>+$P947*BM947</f>
        <v>757.18189192107172</v>
      </c>
      <c r="AB947" s="5">
        <f>+$P947*BN947</f>
        <v>739.55559365675617</v>
      </c>
      <c r="AC947" s="5">
        <v>0</v>
      </c>
      <c r="AD947" s="5">
        <f>+$AC947*BC947</f>
        <v>0</v>
      </c>
      <c r="AE947" s="5">
        <f>+$AC947*BD947</f>
        <v>0</v>
      </c>
      <c r="AF947" s="5">
        <f>+$AC947*BE947</f>
        <v>0</v>
      </c>
      <c r="AG947" s="5">
        <f>+$AC947*BF947</f>
        <v>0</v>
      </c>
      <c r="AH947" s="5">
        <f>+$AC947*BG947</f>
        <v>0</v>
      </c>
      <c r="AI947" s="5">
        <f>+$AC947*BH947</f>
        <v>0</v>
      </c>
      <c r="AJ947" s="5">
        <f>+$AC947*BI947</f>
        <v>0</v>
      </c>
      <c r="AK947" s="5">
        <f>+$AC947*BJ947</f>
        <v>0</v>
      </c>
      <c r="AL947" s="5">
        <f>+$AC947*BK947</f>
        <v>0</v>
      </c>
      <c r="AM947" s="5">
        <f>+$AC947*BL947</f>
        <v>0</v>
      </c>
      <c r="AN947" s="5">
        <f>+$AC947*BM947</f>
        <v>0</v>
      </c>
      <c r="AO947" s="5">
        <f>+$AC947*BN947</f>
        <v>0</v>
      </c>
      <c r="AP947" s="5">
        <f>+AC947+P947+C947</f>
        <v>10000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2">
        <v>8.9181565948742242E-2</v>
      </c>
      <c r="BD947" s="2">
        <v>0.10665277883445198</v>
      </c>
      <c r="BE947" s="2">
        <v>9.438849084854764E-2</v>
      </c>
      <c r="BF947" s="2">
        <v>7.149564986855049E-2</v>
      </c>
      <c r="BG947" s="2">
        <v>0.10368571810536763</v>
      </c>
      <c r="BH947" s="2">
        <v>8.4970330952544637E-2</v>
      </c>
      <c r="BI947" s="2">
        <v>8.4593878877262704E-2</v>
      </c>
      <c r="BJ947" s="2">
        <v>5.7447105462779965E-2</v>
      </c>
      <c r="BK947" s="2">
        <v>8.5153852345557474E-2</v>
      </c>
      <c r="BL947" s="2">
        <v>7.4158058913035174E-2</v>
      </c>
      <c r="BM947" s="2">
        <v>7.5718189192107169E-2</v>
      </c>
      <c r="BN947" s="2">
        <v>7.3955559365675619E-2</v>
      </c>
    </row>
    <row r="948" spans="1:66" x14ac:dyDescent="0.25">
      <c r="A948" s="8">
        <v>17229</v>
      </c>
      <c r="B948" s="8" t="s">
        <v>48</v>
      </c>
      <c r="C948" s="5">
        <v>0</v>
      </c>
      <c r="D948" s="5">
        <f>+$C948*BC948</f>
        <v>0</v>
      </c>
      <c r="E948" s="5">
        <f>+$C948*BD948</f>
        <v>0</v>
      </c>
      <c r="F948" s="5">
        <f>+$C948*BE948</f>
        <v>0</v>
      </c>
      <c r="G948" s="5">
        <f>+$C948*BF948</f>
        <v>0</v>
      </c>
      <c r="H948" s="5">
        <f>+$C948*BG948</f>
        <v>0</v>
      </c>
      <c r="I948" s="5">
        <f>+$C948*BH948</f>
        <v>0</v>
      </c>
      <c r="J948" s="5">
        <f>+$C948*BI948</f>
        <v>0</v>
      </c>
      <c r="K948" s="5">
        <f>+$C948*BJ948</f>
        <v>0</v>
      </c>
      <c r="L948" s="5">
        <f>+$C948*BK948</f>
        <v>0</v>
      </c>
      <c r="M948" s="5">
        <f>+$C948*BL948</f>
        <v>0</v>
      </c>
      <c r="N948" s="5">
        <f>+$C948*BM948</f>
        <v>0</v>
      </c>
      <c r="O948" s="5">
        <f>+$C948*BN948</f>
        <v>0</v>
      </c>
      <c r="P948" s="5">
        <v>0</v>
      </c>
      <c r="Q948" s="5">
        <f>+$P948*BC948</f>
        <v>0</v>
      </c>
      <c r="R948" s="5">
        <f>+$P948*BD948</f>
        <v>0</v>
      </c>
      <c r="S948" s="5">
        <f>+$P948*BE948</f>
        <v>0</v>
      </c>
      <c r="T948" s="5">
        <f>+$P948*BF948</f>
        <v>0</v>
      </c>
      <c r="U948" s="5">
        <f>+$P948*BG948</f>
        <v>0</v>
      </c>
      <c r="V948" s="5">
        <f>+$P948*BH948</f>
        <v>0</v>
      </c>
      <c r="W948" s="5">
        <f>+$P948*BI948</f>
        <v>0</v>
      </c>
      <c r="X948" s="5">
        <f>+$P948*BJ948</f>
        <v>0</v>
      </c>
      <c r="Y948" s="5">
        <f>+$P948*BK948</f>
        <v>0</v>
      </c>
      <c r="Z948" s="5">
        <f>+$P948*BL948</f>
        <v>0</v>
      </c>
      <c r="AA948" s="5">
        <f>+$P948*BM948</f>
        <v>0</v>
      </c>
      <c r="AB948" s="5">
        <f>+$P948*BN948</f>
        <v>0</v>
      </c>
      <c r="AC948" s="5">
        <v>0</v>
      </c>
      <c r="AD948" s="5">
        <f>+$AC948*BC948</f>
        <v>0</v>
      </c>
      <c r="AE948" s="5">
        <f>+$AC948*BD948</f>
        <v>0</v>
      </c>
      <c r="AF948" s="5">
        <f>+$AC948*BE948</f>
        <v>0</v>
      </c>
      <c r="AG948" s="5">
        <f>+$AC948*BF948</f>
        <v>0</v>
      </c>
      <c r="AH948" s="5">
        <f>+$AC948*BG948</f>
        <v>0</v>
      </c>
      <c r="AI948" s="5">
        <f>+$AC948*BH948</f>
        <v>0</v>
      </c>
      <c r="AJ948" s="5">
        <f>+$AC948*BI948</f>
        <v>0</v>
      </c>
      <c r="AK948" s="5">
        <f>+$AC948*BJ948</f>
        <v>0</v>
      </c>
      <c r="AL948" s="5">
        <f>+$AC948*BK948</f>
        <v>0</v>
      </c>
      <c r="AM948" s="5">
        <f>+$AC948*BL948</f>
        <v>0</v>
      </c>
      <c r="AN948" s="5">
        <f>+$AC948*BM948</f>
        <v>0</v>
      </c>
      <c r="AO948" s="5">
        <f>+$AC948*BN948</f>
        <v>0</v>
      </c>
      <c r="AP948" s="5">
        <f>+AC948+P948+C948</f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2">
        <v>8.9181565948742242E-2</v>
      </c>
      <c r="BD948" s="2">
        <v>0.10665277883445198</v>
      </c>
      <c r="BE948" s="2">
        <v>9.438849084854764E-2</v>
      </c>
      <c r="BF948" s="2">
        <v>7.149564986855049E-2</v>
      </c>
      <c r="BG948" s="2">
        <v>0.10368571810536763</v>
      </c>
      <c r="BH948" s="2">
        <v>8.4970330952544637E-2</v>
      </c>
      <c r="BI948" s="2">
        <v>8.4593878877262704E-2</v>
      </c>
      <c r="BJ948" s="2">
        <v>5.7447105462779965E-2</v>
      </c>
      <c r="BK948" s="2">
        <v>8.5153852345557474E-2</v>
      </c>
      <c r="BL948" s="2">
        <v>7.4158058913035174E-2</v>
      </c>
      <c r="BM948" s="2">
        <v>7.5718189192107169E-2</v>
      </c>
      <c r="BN948" s="2">
        <v>7.3955559365675619E-2</v>
      </c>
    </row>
    <row r="949" spans="1:66" x14ac:dyDescent="0.25">
      <c r="A949" s="8">
        <v>17245</v>
      </c>
      <c r="B949" s="8" t="s">
        <v>47</v>
      </c>
      <c r="C949" s="5">
        <v>0</v>
      </c>
      <c r="D949" s="5">
        <f>+$C949*BC949</f>
        <v>0</v>
      </c>
      <c r="E949" s="5">
        <f>+$C949*BD949</f>
        <v>0</v>
      </c>
      <c r="F949" s="5">
        <f>+$C949*BE949</f>
        <v>0</v>
      </c>
      <c r="G949" s="5">
        <f>+$C949*BF949</f>
        <v>0</v>
      </c>
      <c r="H949" s="5">
        <f>+$C949*BG949</f>
        <v>0</v>
      </c>
      <c r="I949" s="5">
        <f>+$C949*BH949</f>
        <v>0</v>
      </c>
      <c r="J949" s="5">
        <f>+$C949*BI949</f>
        <v>0</v>
      </c>
      <c r="K949" s="5">
        <f>+$C949*BJ949</f>
        <v>0</v>
      </c>
      <c r="L949" s="5">
        <f>+$C949*BK949</f>
        <v>0</v>
      </c>
      <c r="M949" s="5">
        <f>+$C949*BL949</f>
        <v>0</v>
      </c>
      <c r="N949" s="5">
        <f>+$C949*BM949</f>
        <v>0</v>
      </c>
      <c r="O949" s="5">
        <f>+$C949*BN949</f>
        <v>0</v>
      </c>
      <c r="P949" s="5">
        <v>0</v>
      </c>
      <c r="Q949" s="5">
        <f>+$P949*BC949</f>
        <v>0</v>
      </c>
      <c r="R949" s="5">
        <f>+$P949*BD949</f>
        <v>0</v>
      </c>
      <c r="S949" s="5">
        <f>+$P949*BE949</f>
        <v>0</v>
      </c>
      <c r="T949" s="5">
        <f>+$P949*BF949</f>
        <v>0</v>
      </c>
      <c r="U949" s="5">
        <f>+$P949*BG949</f>
        <v>0</v>
      </c>
      <c r="V949" s="5">
        <f>+$P949*BH949</f>
        <v>0</v>
      </c>
      <c r="W949" s="5">
        <f>+$P949*BI949</f>
        <v>0</v>
      </c>
      <c r="X949" s="5">
        <f>+$P949*BJ949</f>
        <v>0</v>
      </c>
      <c r="Y949" s="5">
        <f>+$P949*BK949</f>
        <v>0</v>
      </c>
      <c r="Z949" s="5">
        <f>+$P949*BL949</f>
        <v>0</v>
      </c>
      <c r="AA949" s="5">
        <f>+$P949*BM949</f>
        <v>0</v>
      </c>
      <c r="AB949" s="5">
        <f>+$P949*BN949</f>
        <v>0</v>
      </c>
      <c r="AC949" s="5">
        <v>0</v>
      </c>
      <c r="AD949" s="5">
        <f>+$AC949*BC949</f>
        <v>0</v>
      </c>
      <c r="AE949" s="5">
        <f>+$AC949*BD949</f>
        <v>0</v>
      </c>
      <c r="AF949" s="5">
        <f>+$AC949*BE949</f>
        <v>0</v>
      </c>
      <c r="AG949" s="5">
        <f>+$AC949*BF949</f>
        <v>0</v>
      </c>
      <c r="AH949" s="5">
        <f>+$AC949*BG949</f>
        <v>0</v>
      </c>
      <c r="AI949" s="5">
        <f>+$AC949*BH949</f>
        <v>0</v>
      </c>
      <c r="AJ949" s="5">
        <f>+$AC949*BI949</f>
        <v>0</v>
      </c>
      <c r="AK949" s="5">
        <f>+$AC949*BJ949</f>
        <v>0</v>
      </c>
      <c r="AL949" s="5">
        <f>+$AC949*BK949</f>
        <v>0</v>
      </c>
      <c r="AM949" s="5">
        <f>+$AC949*BL949</f>
        <v>0</v>
      </c>
      <c r="AN949" s="5">
        <f>+$AC949*BM949</f>
        <v>0</v>
      </c>
      <c r="AO949" s="5">
        <f>+$AC949*BN949</f>
        <v>0</v>
      </c>
      <c r="AP949" s="5">
        <f>+AC949+P949+C949</f>
        <v>0</v>
      </c>
      <c r="AQ949" s="1">
        <v>15.113243255069554</v>
      </c>
      <c r="AR949" s="1">
        <v>18.07401981795924</v>
      </c>
      <c r="AS949" s="1">
        <v>15.995639990139976</v>
      </c>
      <c r="AT949" s="1">
        <v>12.116081800623778</v>
      </c>
      <c r="AU949" s="1">
        <v>17.571203904444232</v>
      </c>
      <c r="AV949" s="1">
        <v>14.39958210520393</v>
      </c>
      <c r="AW949" s="1">
        <v>14.335786277814202</v>
      </c>
      <c r="AX949" s="1">
        <v>9.7353311743554709</v>
      </c>
      <c r="AY949" s="1">
        <v>14.430682741592243</v>
      </c>
      <c r="AZ949" s="1">
        <v>12.567269611756419</v>
      </c>
      <c r="BA949" s="1">
        <v>12.831658649629635</v>
      </c>
      <c r="BB949" s="1">
        <v>12.532952823463585</v>
      </c>
      <c r="BC949" s="2">
        <v>8.9181565948742242E-2</v>
      </c>
      <c r="BD949" s="2">
        <v>0.10665277883445198</v>
      </c>
      <c r="BE949" s="2">
        <v>9.438849084854764E-2</v>
      </c>
      <c r="BF949" s="2">
        <v>7.149564986855049E-2</v>
      </c>
      <c r="BG949" s="2">
        <v>0.10368571810536763</v>
      </c>
      <c r="BH949" s="2">
        <v>8.4970330952544637E-2</v>
      </c>
      <c r="BI949" s="2">
        <v>8.4593878877262704E-2</v>
      </c>
      <c r="BJ949" s="2">
        <v>5.7447105462779965E-2</v>
      </c>
      <c r="BK949" s="2">
        <v>8.5153852345557474E-2</v>
      </c>
      <c r="BL949" s="2">
        <v>7.4158058913035174E-2</v>
      </c>
      <c r="BM949" s="2">
        <v>7.5718189192107169E-2</v>
      </c>
      <c r="BN949" s="2">
        <v>7.3955559365675619E-2</v>
      </c>
    </row>
    <row r="950" spans="1:66" x14ac:dyDescent="0.25">
      <c r="A950" s="8">
        <v>17263</v>
      </c>
      <c r="B950" s="8" t="s">
        <v>46</v>
      </c>
      <c r="C950" s="5">
        <v>0</v>
      </c>
      <c r="D950" s="5">
        <f>+$C950*BC950</f>
        <v>0</v>
      </c>
      <c r="E950" s="5">
        <f>+$C950*BD950</f>
        <v>0</v>
      </c>
      <c r="F950" s="5">
        <f>+$C950*BE950</f>
        <v>0</v>
      </c>
      <c r="G950" s="5">
        <f>+$C950*BF950</f>
        <v>0</v>
      </c>
      <c r="H950" s="5">
        <f>+$C950*BG950</f>
        <v>0</v>
      </c>
      <c r="I950" s="5">
        <f>+$C950*BH950</f>
        <v>0</v>
      </c>
      <c r="J950" s="5">
        <f>+$C950*BI950</f>
        <v>0</v>
      </c>
      <c r="K950" s="5">
        <f>+$C950*BJ950</f>
        <v>0</v>
      </c>
      <c r="L950" s="5">
        <f>+$C950*BK950</f>
        <v>0</v>
      </c>
      <c r="M950" s="5">
        <f>+$C950*BL950</f>
        <v>0</v>
      </c>
      <c r="N950" s="5">
        <f>+$C950*BM950</f>
        <v>0</v>
      </c>
      <c r="O950" s="5">
        <f>+$C950*BN950</f>
        <v>0</v>
      </c>
      <c r="P950" s="5">
        <v>500</v>
      </c>
      <c r="Q950" s="5">
        <f>+$P950*BC950</f>
        <v>44.590782974371123</v>
      </c>
      <c r="R950" s="5">
        <f>+$P950*BD950</f>
        <v>53.32638941722599</v>
      </c>
      <c r="S950" s="5">
        <f>+$P950*BE950</f>
        <v>47.194245424273824</v>
      </c>
      <c r="T950" s="5">
        <f>+$P950*BF950</f>
        <v>35.747824934275243</v>
      </c>
      <c r="U950" s="5">
        <f>+$P950*BG950</f>
        <v>51.842859052683814</v>
      </c>
      <c r="V950" s="5">
        <f>+$P950*BH950</f>
        <v>42.485165476272321</v>
      </c>
      <c r="W950" s="5">
        <f>+$P950*BI950</f>
        <v>42.296939438631355</v>
      </c>
      <c r="X950" s="5">
        <f>+$P950*BJ950</f>
        <v>28.723552731389983</v>
      </c>
      <c r="Y950" s="5">
        <f>+$P950*BK950</f>
        <v>42.576926172778734</v>
      </c>
      <c r="Z950" s="5">
        <f>+$P950*BL950</f>
        <v>37.079029456517588</v>
      </c>
      <c r="AA950" s="5">
        <f>+$P950*BM950</f>
        <v>37.859094596053588</v>
      </c>
      <c r="AB950" s="5">
        <f>+$P950*BN950</f>
        <v>36.977779682837813</v>
      </c>
      <c r="AC950" s="5">
        <v>0</v>
      </c>
      <c r="AD950" s="5">
        <f>+$AC950*BC950</f>
        <v>0</v>
      </c>
      <c r="AE950" s="5">
        <f>+$AC950*BD950</f>
        <v>0</v>
      </c>
      <c r="AF950" s="5">
        <f>+$AC950*BE950</f>
        <v>0</v>
      </c>
      <c r="AG950" s="5">
        <f>+$AC950*BF950</f>
        <v>0</v>
      </c>
      <c r="AH950" s="5">
        <f>+$AC950*BG950</f>
        <v>0</v>
      </c>
      <c r="AI950" s="5">
        <f>+$AC950*BH950</f>
        <v>0</v>
      </c>
      <c r="AJ950" s="5">
        <f>+$AC950*BI950</f>
        <v>0</v>
      </c>
      <c r="AK950" s="5">
        <f>+$AC950*BJ950</f>
        <v>0</v>
      </c>
      <c r="AL950" s="5">
        <f>+$AC950*BK950</f>
        <v>0</v>
      </c>
      <c r="AM950" s="5">
        <f>+$AC950*BL950</f>
        <v>0</v>
      </c>
      <c r="AN950" s="5">
        <f>+$AC950*BM950</f>
        <v>0</v>
      </c>
      <c r="AO950" s="5">
        <f>+$AC950*BN950</f>
        <v>0</v>
      </c>
      <c r="AP950" s="5">
        <f>+AC950+P950+C950</f>
        <v>500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2">
        <v>8.9181565948742242E-2</v>
      </c>
      <c r="BD950" s="2">
        <v>0.10665277883445198</v>
      </c>
      <c r="BE950" s="2">
        <v>9.438849084854764E-2</v>
      </c>
      <c r="BF950" s="2">
        <v>7.149564986855049E-2</v>
      </c>
      <c r="BG950" s="2">
        <v>0.10368571810536763</v>
      </c>
      <c r="BH950" s="2">
        <v>8.4970330952544637E-2</v>
      </c>
      <c r="BI950" s="2">
        <v>8.4593878877262704E-2</v>
      </c>
      <c r="BJ950" s="2">
        <v>5.7447105462779965E-2</v>
      </c>
      <c r="BK950" s="2">
        <v>8.5153852345557474E-2</v>
      </c>
      <c r="BL950" s="2">
        <v>7.4158058913035174E-2</v>
      </c>
      <c r="BM950" s="2">
        <v>7.5718189192107169E-2</v>
      </c>
      <c r="BN950" s="2">
        <v>7.3955559365675619E-2</v>
      </c>
    </row>
    <row r="951" spans="1:66" x14ac:dyDescent="0.25">
      <c r="A951" s="8">
        <v>17265</v>
      </c>
      <c r="B951" s="8" t="s">
        <v>45</v>
      </c>
      <c r="C951" s="5">
        <v>0</v>
      </c>
      <c r="D951" s="5">
        <f>+$C951*BC951</f>
        <v>0</v>
      </c>
      <c r="E951" s="5">
        <f>+$C951*BD951</f>
        <v>0</v>
      </c>
      <c r="F951" s="5">
        <f>+$C951*BE951</f>
        <v>0</v>
      </c>
      <c r="G951" s="5">
        <f>+$C951*BF951</f>
        <v>0</v>
      </c>
      <c r="H951" s="5">
        <f>+$C951*BG951</f>
        <v>0</v>
      </c>
      <c r="I951" s="5">
        <f>+$C951*BH951</f>
        <v>0</v>
      </c>
      <c r="J951" s="5">
        <f>+$C951*BI951</f>
        <v>0</v>
      </c>
      <c r="K951" s="5">
        <f>+$C951*BJ951</f>
        <v>0</v>
      </c>
      <c r="L951" s="5">
        <f>+$C951*BK951</f>
        <v>0</v>
      </c>
      <c r="M951" s="5">
        <f>+$C951*BL951</f>
        <v>0</v>
      </c>
      <c r="N951" s="5">
        <f>+$C951*BM951</f>
        <v>0</v>
      </c>
      <c r="O951" s="5">
        <f>+$C951*BN951</f>
        <v>0</v>
      </c>
      <c r="P951" s="5">
        <v>0</v>
      </c>
      <c r="Q951" s="5">
        <f>+$P951*BC951</f>
        <v>0</v>
      </c>
      <c r="R951" s="5">
        <f>+$P951*BD951</f>
        <v>0</v>
      </c>
      <c r="S951" s="5">
        <f>+$P951*BE951</f>
        <v>0</v>
      </c>
      <c r="T951" s="5">
        <f>+$P951*BF951</f>
        <v>0</v>
      </c>
      <c r="U951" s="5">
        <f>+$P951*BG951</f>
        <v>0</v>
      </c>
      <c r="V951" s="5">
        <f>+$P951*BH951</f>
        <v>0</v>
      </c>
      <c r="W951" s="5">
        <f>+$P951*BI951</f>
        <v>0</v>
      </c>
      <c r="X951" s="5">
        <f>+$P951*BJ951</f>
        <v>0</v>
      </c>
      <c r="Y951" s="5">
        <f>+$P951*BK951</f>
        <v>0</v>
      </c>
      <c r="Z951" s="5">
        <f>+$P951*BL951</f>
        <v>0</v>
      </c>
      <c r="AA951" s="5">
        <f>+$P951*BM951</f>
        <v>0</v>
      </c>
      <c r="AB951" s="5">
        <f>+$P951*BN951</f>
        <v>0</v>
      </c>
      <c r="AC951" s="5">
        <v>0</v>
      </c>
      <c r="AD951" s="5">
        <f>+$AC951*BC951</f>
        <v>0</v>
      </c>
      <c r="AE951" s="5">
        <f>+$AC951*BD951</f>
        <v>0</v>
      </c>
      <c r="AF951" s="5">
        <f>+$AC951*BE951</f>
        <v>0</v>
      </c>
      <c r="AG951" s="5">
        <f>+$AC951*BF951</f>
        <v>0</v>
      </c>
      <c r="AH951" s="5">
        <f>+$AC951*BG951</f>
        <v>0</v>
      </c>
      <c r="AI951" s="5">
        <f>+$AC951*BH951</f>
        <v>0</v>
      </c>
      <c r="AJ951" s="5">
        <f>+$AC951*BI951</f>
        <v>0</v>
      </c>
      <c r="AK951" s="5">
        <f>+$AC951*BJ951</f>
        <v>0</v>
      </c>
      <c r="AL951" s="5">
        <f>+$AC951*BK951</f>
        <v>0</v>
      </c>
      <c r="AM951" s="5">
        <f>+$AC951*BL951</f>
        <v>0</v>
      </c>
      <c r="AN951" s="5">
        <f>+$AC951*BM951</f>
        <v>0</v>
      </c>
      <c r="AO951" s="5">
        <f>+$AC951*BN951</f>
        <v>0</v>
      </c>
      <c r="AP951" s="5">
        <f>+AC951+P951+C951</f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2">
        <v>8.9181565948742242E-2</v>
      </c>
      <c r="BD951" s="2">
        <v>0.10665277883445198</v>
      </c>
      <c r="BE951" s="2">
        <v>9.438849084854764E-2</v>
      </c>
      <c r="BF951" s="2">
        <v>7.149564986855049E-2</v>
      </c>
      <c r="BG951" s="2">
        <v>0.10368571810536763</v>
      </c>
      <c r="BH951" s="2">
        <v>8.4970330952544637E-2</v>
      </c>
      <c r="BI951" s="2">
        <v>8.4593878877262704E-2</v>
      </c>
      <c r="BJ951" s="2">
        <v>5.7447105462779965E-2</v>
      </c>
      <c r="BK951" s="2">
        <v>8.5153852345557474E-2</v>
      </c>
      <c r="BL951" s="2">
        <v>7.4158058913035174E-2</v>
      </c>
      <c r="BM951" s="2">
        <v>7.5718189192107169E-2</v>
      </c>
      <c r="BN951" s="2">
        <v>7.3955559365675619E-2</v>
      </c>
    </row>
    <row r="952" spans="1:66" x14ac:dyDescent="0.25">
      <c r="A952" s="8">
        <v>17274</v>
      </c>
      <c r="B952" s="8" t="s">
        <v>44</v>
      </c>
      <c r="C952" s="5">
        <v>0</v>
      </c>
      <c r="D952" s="5">
        <f>+$C952*BC952</f>
        <v>0</v>
      </c>
      <c r="E952" s="5">
        <f>+$C952*BD952</f>
        <v>0</v>
      </c>
      <c r="F952" s="5">
        <f>+$C952*BE952</f>
        <v>0</v>
      </c>
      <c r="G952" s="5">
        <f>+$C952*BF952</f>
        <v>0</v>
      </c>
      <c r="H952" s="5">
        <f>+$C952*BG952</f>
        <v>0</v>
      </c>
      <c r="I952" s="5">
        <f>+$C952*BH952</f>
        <v>0</v>
      </c>
      <c r="J952" s="5">
        <f>+$C952*BI952</f>
        <v>0</v>
      </c>
      <c r="K952" s="5">
        <f>+$C952*BJ952</f>
        <v>0</v>
      </c>
      <c r="L952" s="5">
        <f>+$C952*BK952</f>
        <v>0</v>
      </c>
      <c r="M952" s="5">
        <f>+$C952*BL952</f>
        <v>0</v>
      </c>
      <c r="N952" s="5">
        <f>+$C952*BM952</f>
        <v>0</v>
      </c>
      <c r="O952" s="5">
        <f>+$C952*BN952</f>
        <v>0</v>
      </c>
      <c r="P952" s="5">
        <v>1000</v>
      </c>
      <c r="Q952" s="5">
        <f>+$P952*BC952</f>
        <v>89.181565948742247</v>
      </c>
      <c r="R952" s="5">
        <f>+$P952*BD952</f>
        <v>106.65277883445198</v>
      </c>
      <c r="S952" s="5">
        <f>+$P952*BE952</f>
        <v>94.388490848547647</v>
      </c>
      <c r="T952" s="5">
        <f>+$P952*BF952</f>
        <v>71.495649868550487</v>
      </c>
      <c r="U952" s="5">
        <f>+$P952*BG952</f>
        <v>103.68571810536763</v>
      </c>
      <c r="V952" s="5">
        <f>+$P952*BH952</f>
        <v>84.970330952544643</v>
      </c>
      <c r="W952" s="5">
        <f>+$P952*BI952</f>
        <v>84.593878877262711</v>
      </c>
      <c r="X952" s="5">
        <f>+$P952*BJ952</f>
        <v>57.447105462779966</v>
      </c>
      <c r="Y952" s="5">
        <f>+$P952*BK952</f>
        <v>85.153852345557468</v>
      </c>
      <c r="Z952" s="5">
        <f>+$P952*BL952</f>
        <v>74.158058913035177</v>
      </c>
      <c r="AA952" s="5">
        <f>+$P952*BM952</f>
        <v>75.718189192107175</v>
      </c>
      <c r="AB952" s="5">
        <f>+$P952*BN952</f>
        <v>73.955559365675626</v>
      </c>
      <c r="AC952" s="5">
        <v>0</v>
      </c>
      <c r="AD952" s="5">
        <f>+$AC952*BC952</f>
        <v>0</v>
      </c>
      <c r="AE952" s="5">
        <f>+$AC952*BD952</f>
        <v>0</v>
      </c>
      <c r="AF952" s="5">
        <f>+$AC952*BE952</f>
        <v>0</v>
      </c>
      <c r="AG952" s="5">
        <f>+$AC952*BF952</f>
        <v>0</v>
      </c>
      <c r="AH952" s="5">
        <f>+$AC952*BG952</f>
        <v>0</v>
      </c>
      <c r="AI952" s="5">
        <f>+$AC952*BH952</f>
        <v>0</v>
      </c>
      <c r="AJ952" s="5">
        <f>+$AC952*BI952</f>
        <v>0</v>
      </c>
      <c r="AK952" s="5">
        <f>+$AC952*BJ952</f>
        <v>0</v>
      </c>
      <c r="AL952" s="5">
        <f>+$AC952*BK952</f>
        <v>0</v>
      </c>
      <c r="AM952" s="5">
        <f>+$AC952*BL952</f>
        <v>0</v>
      </c>
      <c r="AN952" s="5">
        <f>+$AC952*BM952</f>
        <v>0</v>
      </c>
      <c r="AO952" s="5">
        <f>+$AC952*BN952</f>
        <v>0</v>
      </c>
      <c r="AP952" s="5">
        <f>+AC952+P952+C952</f>
        <v>1000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2">
        <v>8.9181565948742242E-2</v>
      </c>
      <c r="BD952" s="2">
        <v>0.10665277883445198</v>
      </c>
      <c r="BE952" s="2">
        <v>9.438849084854764E-2</v>
      </c>
      <c r="BF952" s="2">
        <v>7.149564986855049E-2</v>
      </c>
      <c r="BG952" s="2">
        <v>0.10368571810536763</v>
      </c>
      <c r="BH952" s="2">
        <v>8.4970330952544637E-2</v>
      </c>
      <c r="BI952" s="2">
        <v>8.4593878877262704E-2</v>
      </c>
      <c r="BJ952" s="2">
        <v>5.7447105462779965E-2</v>
      </c>
      <c r="BK952" s="2">
        <v>8.5153852345557474E-2</v>
      </c>
      <c r="BL952" s="2">
        <v>7.4158058913035174E-2</v>
      </c>
      <c r="BM952" s="2">
        <v>7.5718189192107169E-2</v>
      </c>
      <c r="BN952" s="2">
        <v>7.3955559365675619E-2</v>
      </c>
    </row>
    <row r="953" spans="1:66" x14ac:dyDescent="0.25">
      <c r="A953" s="8">
        <v>17291</v>
      </c>
      <c r="B953" s="8" t="s">
        <v>43</v>
      </c>
      <c r="C953" s="5">
        <v>0</v>
      </c>
      <c r="D953" s="5">
        <f>+$C953*BC953</f>
        <v>0</v>
      </c>
      <c r="E953" s="5">
        <f>+$C953*BD953</f>
        <v>0</v>
      </c>
      <c r="F953" s="5">
        <f>+$C953*BE953</f>
        <v>0</v>
      </c>
      <c r="G953" s="5">
        <f>+$C953*BF953</f>
        <v>0</v>
      </c>
      <c r="H953" s="5">
        <f>+$C953*BG953</f>
        <v>0</v>
      </c>
      <c r="I953" s="5">
        <f>+$C953*BH953</f>
        <v>0</v>
      </c>
      <c r="J953" s="5">
        <f>+$C953*BI953</f>
        <v>0</v>
      </c>
      <c r="K953" s="5">
        <f>+$C953*BJ953</f>
        <v>0</v>
      </c>
      <c r="L953" s="5">
        <f>+$C953*BK953</f>
        <v>0</v>
      </c>
      <c r="M953" s="5">
        <f>+$C953*BL953</f>
        <v>0</v>
      </c>
      <c r="N953" s="5">
        <f>+$C953*BM953</f>
        <v>0</v>
      </c>
      <c r="O953" s="5">
        <f>+$C953*BN953</f>
        <v>0</v>
      </c>
      <c r="P953" s="5">
        <v>0</v>
      </c>
      <c r="Q953" s="5">
        <f>+$P953*BC953</f>
        <v>0</v>
      </c>
      <c r="R953" s="5">
        <f>+$P953*BD953</f>
        <v>0</v>
      </c>
      <c r="S953" s="5">
        <f>+$P953*BE953</f>
        <v>0</v>
      </c>
      <c r="T953" s="5">
        <f>+$P953*BF953</f>
        <v>0</v>
      </c>
      <c r="U953" s="5">
        <f>+$P953*BG953</f>
        <v>0</v>
      </c>
      <c r="V953" s="5">
        <f>+$P953*BH953</f>
        <v>0</v>
      </c>
      <c r="W953" s="5">
        <f>+$P953*BI953</f>
        <v>0</v>
      </c>
      <c r="X953" s="5">
        <f>+$P953*BJ953</f>
        <v>0</v>
      </c>
      <c r="Y953" s="5">
        <f>+$P953*BK953</f>
        <v>0</v>
      </c>
      <c r="Z953" s="5">
        <f>+$P953*BL953</f>
        <v>0</v>
      </c>
      <c r="AA953" s="5">
        <f>+$P953*BM953</f>
        <v>0</v>
      </c>
      <c r="AB953" s="5">
        <f>+$P953*BN953</f>
        <v>0</v>
      </c>
      <c r="AC953" s="5">
        <v>0</v>
      </c>
      <c r="AD953" s="5">
        <f>+$AC953*BC953</f>
        <v>0</v>
      </c>
      <c r="AE953" s="5">
        <f>+$AC953*BD953</f>
        <v>0</v>
      </c>
      <c r="AF953" s="5">
        <f>+$AC953*BE953</f>
        <v>0</v>
      </c>
      <c r="AG953" s="5">
        <f>+$AC953*BF953</f>
        <v>0</v>
      </c>
      <c r="AH953" s="5">
        <f>+$AC953*BG953</f>
        <v>0</v>
      </c>
      <c r="AI953" s="5">
        <f>+$AC953*BH953</f>
        <v>0</v>
      </c>
      <c r="AJ953" s="5">
        <f>+$AC953*BI953</f>
        <v>0</v>
      </c>
      <c r="AK953" s="5">
        <f>+$AC953*BJ953</f>
        <v>0</v>
      </c>
      <c r="AL953" s="5">
        <f>+$AC953*BK953</f>
        <v>0</v>
      </c>
      <c r="AM953" s="5">
        <f>+$AC953*BL953</f>
        <v>0</v>
      </c>
      <c r="AN953" s="5">
        <f>+$AC953*BM953</f>
        <v>0</v>
      </c>
      <c r="AO953" s="5">
        <f>+$AC953*BN953</f>
        <v>0</v>
      </c>
      <c r="AP953" s="5">
        <f>+AC953+P953+C953</f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2">
        <v>8.9181565948742242E-2</v>
      </c>
      <c r="BD953" s="2">
        <v>0.10665277883445198</v>
      </c>
      <c r="BE953" s="2">
        <v>9.438849084854764E-2</v>
      </c>
      <c r="BF953" s="2">
        <v>7.149564986855049E-2</v>
      </c>
      <c r="BG953" s="2">
        <v>0.10368571810536763</v>
      </c>
      <c r="BH953" s="2">
        <v>8.4970330952544637E-2</v>
      </c>
      <c r="BI953" s="2">
        <v>8.4593878877262704E-2</v>
      </c>
      <c r="BJ953" s="2">
        <v>5.7447105462779965E-2</v>
      </c>
      <c r="BK953" s="2">
        <v>8.5153852345557474E-2</v>
      </c>
      <c r="BL953" s="2">
        <v>7.4158058913035174E-2</v>
      </c>
      <c r="BM953" s="2">
        <v>7.5718189192107169E-2</v>
      </c>
      <c r="BN953" s="2">
        <v>7.3955559365675619E-2</v>
      </c>
    </row>
    <row r="954" spans="1:66" x14ac:dyDescent="0.25">
      <c r="A954" s="8">
        <v>17299</v>
      </c>
      <c r="B954" s="8" t="s">
        <v>42</v>
      </c>
      <c r="C954" s="5">
        <v>0</v>
      </c>
      <c r="D954" s="5">
        <f>+$C954*BC954</f>
        <v>0</v>
      </c>
      <c r="E954" s="5">
        <f>+$C954*BD954</f>
        <v>0</v>
      </c>
      <c r="F954" s="5">
        <f>+$C954*BE954</f>
        <v>0</v>
      </c>
      <c r="G954" s="5">
        <f>+$C954*BF954</f>
        <v>0</v>
      </c>
      <c r="H954" s="5">
        <f>+$C954*BG954</f>
        <v>0</v>
      </c>
      <c r="I954" s="5">
        <f>+$C954*BH954</f>
        <v>0</v>
      </c>
      <c r="J954" s="5">
        <f>+$C954*BI954</f>
        <v>0</v>
      </c>
      <c r="K954" s="5">
        <f>+$C954*BJ954</f>
        <v>0</v>
      </c>
      <c r="L954" s="5">
        <f>+$C954*BK954</f>
        <v>0</v>
      </c>
      <c r="M954" s="5">
        <f>+$C954*BL954</f>
        <v>0</v>
      </c>
      <c r="N954" s="5">
        <f>+$C954*BM954</f>
        <v>0</v>
      </c>
      <c r="O954" s="5">
        <f>+$C954*BN954</f>
        <v>0</v>
      </c>
      <c r="P954" s="5">
        <v>0</v>
      </c>
      <c r="Q954" s="5">
        <f>+$P954*BC954</f>
        <v>0</v>
      </c>
      <c r="R954" s="5">
        <f>+$P954*BD954</f>
        <v>0</v>
      </c>
      <c r="S954" s="5">
        <f>+$P954*BE954</f>
        <v>0</v>
      </c>
      <c r="T954" s="5">
        <f>+$P954*BF954</f>
        <v>0</v>
      </c>
      <c r="U954" s="5">
        <f>+$P954*BG954</f>
        <v>0</v>
      </c>
      <c r="V954" s="5">
        <f>+$P954*BH954</f>
        <v>0</v>
      </c>
      <c r="W954" s="5">
        <f>+$P954*BI954</f>
        <v>0</v>
      </c>
      <c r="X954" s="5">
        <f>+$P954*BJ954</f>
        <v>0</v>
      </c>
      <c r="Y954" s="5">
        <f>+$P954*BK954</f>
        <v>0</v>
      </c>
      <c r="Z954" s="5">
        <f>+$P954*BL954</f>
        <v>0</v>
      </c>
      <c r="AA954" s="5">
        <f>+$P954*BM954</f>
        <v>0</v>
      </c>
      <c r="AB954" s="5">
        <f>+$P954*BN954</f>
        <v>0</v>
      </c>
      <c r="AC954" s="5">
        <v>0</v>
      </c>
      <c r="AD954" s="5">
        <f>+$AC954*BC954</f>
        <v>0</v>
      </c>
      <c r="AE954" s="5">
        <f>+$AC954*BD954</f>
        <v>0</v>
      </c>
      <c r="AF954" s="5">
        <f>+$AC954*BE954</f>
        <v>0</v>
      </c>
      <c r="AG954" s="5">
        <f>+$AC954*BF954</f>
        <v>0</v>
      </c>
      <c r="AH954" s="5">
        <f>+$AC954*BG954</f>
        <v>0</v>
      </c>
      <c r="AI954" s="5">
        <f>+$AC954*BH954</f>
        <v>0</v>
      </c>
      <c r="AJ954" s="5">
        <f>+$AC954*BI954</f>
        <v>0</v>
      </c>
      <c r="AK954" s="5">
        <f>+$AC954*BJ954</f>
        <v>0</v>
      </c>
      <c r="AL954" s="5">
        <f>+$AC954*BK954</f>
        <v>0</v>
      </c>
      <c r="AM954" s="5">
        <f>+$AC954*BL954</f>
        <v>0</v>
      </c>
      <c r="AN954" s="5">
        <f>+$AC954*BM954</f>
        <v>0</v>
      </c>
      <c r="AO954" s="5">
        <f>+$AC954*BN954</f>
        <v>0</v>
      </c>
      <c r="AP954" s="5">
        <f>+AC954+P954+C954</f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2">
        <v>8.9181565948742242E-2</v>
      </c>
      <c r="BD954" s="2">
        <v>0.10665277883445198</v>
      </c>
      <c r="BE954" s="2">
        <v>9.438849084854764E-2</v>
      </c>
      <c r="BF954" s="2">
        <v>7.149564986855049E-2</v>
      </c>
      <c r="BG954" s="2">
        <v>0.10368571810536763</v>
      </c>
      <c r="BH954" s="2">
        <v>8.4970330952544637E-2</v>
      </c>
      <c r="BI954" s="2">
        <v>8.4593878877262704E-2</v>
      </c>
      <c r="BJ954" s="2">
        <v>5.7447105462779965E-2</v>
      </c>
      <c r="BK954" s="2">
        <v>8.5153852345557474E-2</v>
      </c>
      <c r="BL954" s="2">
        <v>7.4158058913035174E-2</v>
      </c>
      <c r="BM954" s="2">
        <v>7.5718189192107169E-2</v>
      </c>
      <c r="BN954" s="2">
        <v>7.3955559365675619E-2</v>
      </c>
    </row>
    <row r="955" spans="1:66" x14ac:dyDescent="0.25">
      <c r="A955" s="8">
        <v>17306</v>
      </c>
      <c r="B955" s="8" t="s">
        <v>41</v>
      </c>
      <c r="C955" s="5">
        <v>0</v>
      </c>
      <c r="D955" s="5">
        <f>+$C955*BC955</f>
        <v>0</v>
      </c>
      <c r="E955" s="5">
        <f>+$C955*BD955</f>
        <v>0</v>
      </c>
      <c r="F955" s="5">
        <f>+$C955*BE955</f>
        <v>0</v>
      </c>
      <c r="G955" s="5">
        <f>+$C955*BF955</f>
        <v>0</v>
      </c>
      <c r="H955" s="5">
        <f>+$C955*BG955</f>
        <v>0</v>
      </c>
      <c r="I955" s="5">
        <f>+$C955*BH955</f>
        <v>0</v>
      </c>
      <c r="J955" s="5">
        <f>+$C955*BI955</f>
        <v>0</v>
      </c>
      <c r="K955" s="5">
        <f>+$C955*BJ955</f>
        <v>0</v>
      </c>
      <c r="L955" s="5">
        <f>+$C955*BK955</f>
        <v>0</v>
      </c>
      <c r="M955" s="5">
        <f>+$C955*BL955</f>
        <v>0</v>
      </c>
      <c r="N955" s="5">
        <f>+$C955*BM955</f>
        <v>0</v>
      </c>
      <c r="O955" s="5">
        <f>+$C955*BN955</f>
        <v>0</v>
      </c>
      <c r="P955" s="5">
        <v>0</v>
      </c>
      <c r="Q955" s="5">
        <f>+$P955*BC955</f>
        <v>0</v>
      </c>
      <c r="R955" s="5">
        <f>+$P955*BD955</f>
        <v>0</v>
      </c>
      <c r="S955" s="5">
        <f>+$P955*BE955</f>
        <v>0</v>
      </c>
      <c r="T955" s="5">
        <f>+$P955*BF955</f>
        <v>0</v>
      </c>
      <c r="U955" s="5">
        <f>+$P955*BG955</f>
        <v>0</v>
      </c>
      <c r="V955" s="5">
        <f>+$P955*BH955</f>
        <v>0</v>
      </c>
      <c r="W955" s="5">
        <f>+$P955*BI955</f>
        <v>0</v>
      </c>
      <c r="X955" s="5">
        <f>+$P955*BJ955</f>
        <v>0</v>
      </c>
      <c r="Y955" s="5">
        <f>+$P955*BK955</f>
        <v>0</v>
      </c>
      <c r="Z955" s="5">
        <f>+$P955*BL955</f>
        <v>0</v>
      </c>
      <c r="AA955" s="5">
        <f>+$P955*BM955</f>
        <v>0</v>
      </c>
      <c r="AB955" s="5">
        <f>+$P955*BN955</f>
        <v>0</v>
      </c>
      <c r="AC955" s="5">
        <v>0</v>
      </c>
      <c r="AD955" s="5">
        <f>+$AC955*BC955</f>
        <v>0</v>
      </c>
      <c r="AE955" s="5">
        <f>+$AC955*BD955</f>
        <v>0</v>
      </c>
      <c r="AF955" s="5">
        <f>+$AC955*BE955</f>
        <v>0</v>
      </c>
      <c r="AG955" s="5">
        <f>+$AC955*BF955</f>
        <v>0</v>
      </c>
      <c r="AH955" s="5">
        <f>+$AC955*BG955</f>
        <v>0</v>
      </c>
      <c r="AI955" s="5">
        <f>+$AC955*BH955</f>
        <v>0</v>
      </c>
      <c r="AJ955" s="5">
        <f>+$AC955*BI955</f>
        <v>0</v>
      </c>
      <c r="AK955" s="5">
        <f>+$AC955*BJ955</f>
        <v>0</v>
      </c>
      <c r="AL955" s="5">
        <f>+$AC955*BK955</f>
        <v>0</v>
      </c>
      <c r="AM955" s="5">
        <f>+$AC955*BL955</f>
        <v>0</v>
      </c>
      <c r="AN955" s="5">
        <f>+$AC955*BM955</f>
        <v>0</v>
      </c>
      <c r="AO955" s="5">
        <f>+$AC955*BN955</f>
        <v>0</v>
      </c>
      <c r="AP955" s="5">
        <f>+AC955+P955+C955</f>
        <v>0</v>
      </c>
      <c r="AQ955" s="1">
        <v>31.342861352685464</v>
      </c>
      <c r="AR955" s="1">
        <v>37.483119121368155</v>
      </c>
      <c r="AS955" s="1">
        <v>33.172835108722076</v>
      </c>
      <c r="AT955" s="1">
        <v>25.127146146302074</v>
      </c>
      <c r="AU955" s="1">
        <v>36.44034562813146</v>
      </c>
      <c r="AV955" s="1">
        <v>29.862822813271816</v>
      </c>
      <c r="AW955" s="1">
        <v>29.73051873141398</v>
      </c>
      <c r="AX955" s="1">
        <v>20.189785214894023</v>
      </c>
      <c r="AY955" s="1">
        <v>29.927321406846179</v>
      </c>
      <c r="AZ955" s="1">
        <v>26.062849804986215</v>
      </c>
      <c r="BA955" s="1">
        <v>26.611157591566069</v>
      </c>
      <c r="BB955" s="1">
        <v>25.991681339066698</v>
      </c>
      <c r="BC955" s="2">
        <v>8.9181565948742242E-2</v>
      </c>
      <c r="BD955" s="2">
        <v>0.10665277883445198</v>
      </c>
      <c r="BE955" s="2">
        <v>9.438849084854764E-2</v>
      </c>
      <c r="BF955" s="2">
        <v>7.149564986855049E-2</v>
      </c>
      <c r="BG955" s="2">
        <v>0.10368571810536763</v>
      </c>
      <c r="BH955" s="2">
        <v>8.4970330952544637E-2</v>
      </c>
      <c r="BI955" s="2">
        <v>8.4593878877262704E-2</v>
      </c>
      <c r="BJ955" s="2">
        <v>5.7447105462779965E-2</v>
      </c>
      <c r="BK955" s="2">
        <v>8.5153852345557474E-2</v>
      </c>
      <c r="BL955" s="2">
        <v>7.4158058913035174E-2</v>
      </c>
      <c r="BM955" s="2">
        <v>7.5718189192107169E-2</v>
      </c>
      <c r="BN955" s="2">
        <v>7.3955559365675619E-2</v>
      </c>
    </row>
    <row r="956" spans="1:66" x14ac:dyDescent="0.25">
      <c r="A956" s="8">
        <v>17312</v>
      </c>
      <c r="B956" s="8" t="s">
        <v>40</v>
      </c>
      <c r="C956" s="5">
        <v>0</v>
      </c>
      <c r="D956" s="5">
        <f>+$C956*BC956</f>
        <v>0</v>
      </c>
      <c r="E956" s="5">
        <f>+$C956*BD956</f>
        <v>0</v>
      </c>
      <c r="F956" s="5">
        <f>+$C956*BE956</f>
        <v>0</v>
      </c>
      <c r="G956" s="5">
        <f>+$C956*BF956</f>
        <v>0</v>
      </c>
      <c r="H956" s="5">
        <f>+$C956*BG956</f>
        <v>0</v>
      </c>
      <c r="I956" s="5">
        <f>+$C956*BH956</f>
        <v>0</v>
      </c>
      <c r="J956" s="5">
        <f>+$C956*BI956</f>
        <v>0</v>
      </c>
      <c r="K956" s="5">
        <f>+$C956*BJ956</f>
        <v>0</v>
      </c>
      <c r="L956" s="5">
        <f>+$C956*BK956</f>
        <v>0</v>
      </c>
      <c r="M956" s="5">
        <f>+$C956*BL956</f>
        <v>0</v>
      </c>
      <c r="N956" s="5">
        <f>+$C956*BM956</f>
        <v>0</v>
      </c>
      <c r="O956" s="5">
        <f>+$C956*BN956</f>
        <v>0</v>
      </c>
      <c r="P956" s="5">
        <v>0</v>
      </c>
      <c r="Q956" s="5">
        <f>+$P956*BC956</f>
        <v>0</v>
      </c>
      <c r="R956" s="5">
        <f>+$P956*BD956</f>
        <v>0</v>
      </c>
      <c r="S956" s="5">
        <f>+$P956*BE956</f>
        <v>0</v>
      </c>
      <c r="T956" s="5">
        <f>+$P956*BF956</f>
        <v>0</v>
      </c>
      <c r="U956" s="5">
        <f>+$P956*BG956</f>
        <v>0</v>
      </c>
      <c r="V956" s="5">
        <f>+$P956*BH956</f>
        <v>0</v>
      </c>
      <c r="W956" s="5">
        <f>+$P956*BI956</f>
        <v>0</v>
      </c>
      <c r="X956" s="5">
        <f>+$P956*BJ956</f>
        <v>0</v>
      </c>
      <c r="Y956" s="5">
        <f>+$P956*BK956</f>
        <v>0</v>
      </c>
      <c r="Z956" s="5">
        <f>+$P956*BL956</f>
        <v>0</v>
      </c>
      <c r="AA956" s="5">
        <f>+$P956*BM956</f>
        <v>0</v>
      </c>
      <c r="AB956" s="5">
        <f>+$P956*BN956</f>
        <v>0</v>
      </c>
      <c r="AC956" s="5">
        <v>0</v>
      </c>
      <c r="AD956" s="5">
        <f>+$AC956*BC956</f>
        <v>0</v>
      </c>
      <c r="AE956" s="5">
        <f>+$AC956*BD956</f>
        <v>0</v>
      </c>
      <c r="AF956" s="5">
        <f>+$AC956*BE956</f>
        <v>0</v>
      </c>
      <c r="AG956" s="5">
        <f>+$AC956*BF956</f>
        <v>0</v>
      </c>
      <c r="AH956" s="5">
        <f>+$AC956*BG956</f>
        <v>0</v>
      </c>
      <c r="AI956" s="5">
        <f>+$AC956*BH956</f>
        <v>0</v>
      </c>
      <c r="AJ956" s="5">
        <f>+$AC956*BI956</f>
        <v>0</v>
      </c>
      <c r="AK956" s="5">
        <f>+$AC956*BJ956</f>
        <v>0</v>
      </c>
      <c r="AL956" s="5">
        <f>+$AC956*BK956</f>
        <v>0</v>
      </c>
      <c r="AM956" s="5">
        <f>+$AC956*BL956</f>
        <v>0</v>
      </c>
      <c r="AN956" s="5">
        <f>+$AC956*BM956</f>
        <v>0</v>
      </c>
      <c r="AO956" s="5">
        <f>+$AC956*BN956</f>
        <v>0</v>
      </c>
      <c r="AP956" s="5">
        <f>+AC956+P956+C956</f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2">
        <v>8.9181565948742242E-2</v>
      </c>
      <c r="BD956" s="2">
        <v>0.10665277883445198</v>
      </c>
      <c r="BE956" s="2">
        <v>9.438849084854764E-2</v>
      </c>
      <c r="BF956" s="2">
        <v>7.149564986855049E-2</v>
      </c>
      <c r="BG956" s="2">
        <v>0.10368571810536763</v>
      </c>
      <c r="BH956" s="2">
        <v>8.4970330952544637E-2</v>
      </c>
      <c r="BI956" s="2">
        <v>8.4593878877262704E-2</v>
      </c>
      <c r="BJ956" s="2">
        <v>5.7447105462779965E-2</v>
      </c>
      <c r="BK956" s="2">
        <v>8.5153852345557474E-2</v>
      </c>
      <c r="BL956" s="2">
        <v>7.4158058913035174E-2</v>
      </c>
      <c r="BM956" s="2">
        <v>7.5718189192107169E-2</v>
      </c>
      <c r="BN956" s="2">
        <v>7.3955559365675619E-2</v>
      </c>
    </row>
    <row r="957" spans="1:66" x14ac:dyDescent="0.25">
      <c r="A957" s="8">
        <v>17317</v>
      </c>
      <c r="B957" s="8" t="s">
        <v>39</v>
      </c>
      <c r="C957" s="5">
        <v>0</v>
      </c>
      <c r="D957" s="5">
        <f>+$C957*BC957</f>
        <v>0</v>
      </c>
      <c r="E957" s="5">
        <f>+$C957*BD957</f>
        <v>0</v>
      </c>
      <c r="F957" s="5">
        <f>+$C957*BE957</f>
        <v>0</v>
      </c>
      <c r="G957" s="5">
        <f>+$C957*BF957</f>
        <v>0</v>
      </c>
      <c r="H957" s="5">
        <f>+$C957*BG957</f>
        <v>0</v>
      </c>
      <c r="I957" s="5">
        <f>+$C957*BH957</f>
        <v>0</v>
      </c>
      <c r="J957" s="5">
        <f>+$C957*BI957</f>
        <v>0</v>
      </c>
      <c r="K957" s="5">
        <f>+$C957*BJ957</f>
        <v>0</v>
      </c>
      <c r="L957" s="5">
        <f>+$C957*BK957</f>
        <v>0</v>
      </c>
      <c r="M957" s="5">
        <f>+$C957*BL957</f>
        <v>0</v>
      </c>
      <c r="N957" s="5">
        <f>+$C957*BM957</f>
        <v>0</v>
      </c>
      <c r="O957" s="5">
        <f>+$C957*BN957</f>
        <v>0</v>
      </c>
      <c r="P957" s="5">
        <v>0</v>
      </c>
      <c r="Q957" s="5">
        <f>+$P957*BC957</f>
        <v>0</v>
      </c>
      <c r="R957" s="5">
        <f>+$P957*BD957</f>
        <v>0</v>
      </c>
      <c r="S957" s="5">
        <f>+$P957*BE957</f>
        <v>0</v>
      </c>
      <c r="T957" s="5">
        <f>+$P957*BF957</f>
        <v>0</v>
      </c>
      <c r="U957" s="5">
        <f>+$P957*BG957</f>
        <v>0</v>
      </c>
      <c r="V957" s="5">
        <f>+$P957*BH957</f>
        <v>0</v>
      </c>
      <c r="W957" s="5">
        <f>+$P957*BI957</f>
        <v>0</v>
      </c>
      <c r="X957" s="5">
        <f>+$P957*BJ957</f>
        <v>0</v>
      </c>
      <c r="Y957" s="5">
        <f>+$P957*BK957</f>
        <v>0</v>
      </c>
      <c r="Z957" s="5">
        <f>+$P957*BL957</f>
        <v>0</v>
      </c>
      <c r="AA957" s="5">
        <f>+$P957*BM957</f>
        <v>0</v>
      </c>
      <c r="AB957" s="5">
        <f>+$P957*BN957</f>
        <v>0</v>
      </c>
      <c r="AC957" s="5">
        <v>0</v>
      </c>
      <c r="AD957" s="5">
        <f>+$AC957*BC957</f>
        <v>0</v>
      </c>
      <c r="AE957" s="5">
        <f>+$AC957*BD957</f>
        <v>0</v>
      </c>
      <c r="AF957" s="5">
        <f>+$AC957*BE957</f>
        <v>0</v>
      </c>
      <c r="AG957" s="5">
        <f>+$AC957*BF957</f>
        <v>0</v>
      </c>
      <c r="AH957" s="5">
        <f>+$AC957*BG957</f>
        <v>0</v>
      </c>
      <c r="AI957" s="5">
        <f>+$AC957*BH957</f>
        <v>0</v>
      </c>
      <c r="AJ957" s="5">
        <f>+$AC957*BI957</f>
        <v>0</v>
      </c>
      <c r="AK957" s="5">
        <f>+$AC957*BJ957</f>
        <v>0</v>
      </c>
      <c r="AL957" s="5">
        <f>+$AC957*BK957</f>
        <v>0</v>
      </c>
      <c r="AM957" s="5">
        <f>+$AC957*BL957</f>
        <v>0</v>
      </c>
      <c r="AN957" s="5">
        <f>+$AC957*BM957</f>
        <v>0</v>
      </c>
      <c r="AO957" s="5">
        <f>+$AC957*BN957</f>
        <v>0</v>
      </c>
      <c r="AP957" s="5">
        <f>+AC957+P957+C957</f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2">
        <v>8.9181565948742242E-2</v>
      </c>
      <c r="BD957" s="2">
        <v>0.10665277883445198</v>
      </c>
      <c r="BE957" s="2">
        <v>9.438849084854764E-2</v>
      </c>
      <c r="BF957" s="2">
        <v>7.149564986855049E-2</v>
      </c>
      <c r="BG957" s="2">
        <v>0.10368571810536763</v>
      </c>
      <c r="BH957" s="2">
        <v>8.4970330952544637E-2</v>
      </c>
      <c r="BI957" s="2">
        <v>8.4593878877262704E-2</v>
      </c>
      <c r="BJ957" s="2">
        <v>5.7447105462779965E-2</v>
      </c>
      <c r="BK957" s="2">
        <v>8.5153852345557474E-2</v>
      </c>
      <c r="BL957" s="2">
        <v>7.4158058913035174E-2</v>
      </c>
      <c r="BM957" s="2">
        <v>7.5718189192107169E-2</v>
      </c>
      <c r="BN957" s="2">
        <v>7.3955559365675619E-2</v>
      </c>
    </row>
    <row r="958" spans="1:66" x14ac:dyDescent="0.25">
      <c r="A958" s="8">
        <v>17338</v>
      </c>
      <c r="B958" s="8" t="s">
        <v>38</v>
      </c>
      <c r="C958" s="5">
        <v>0</v>
      </c>
      <c r="D958" s="5">
        <f>+$C958*BC958</f>
        <v>0</v>
      </c>
      <c r="E958" s="5">
        <f>+$C958*BD958</f>
        <v>0</v>
      </c>
      <c r="F958" s="5">
        <f>+$C958*BE958</f>
        <v>0</v>
      </c>
      <c r="G958" s="5">
        <f>+$C958*BF958</f>
        <v>0</v>
      </c>
      <c r="H958" s="5">
        <f>+$C958*BG958</f>
        <v>0</v>
      </c>
      <c r="I958" s="5">
        <f>+$C958*BH958</f>
        <v>0</v>
      </c>
      <c r="J958" s="5">
        <f>+$C958*BI958</f>
        <v>0</v>
      </c>
      <c r="K958" s="5">
        <f>+$C958*BJ958</f>
        <v>0</v>
      </c>
      <c r="L958" s="5">
        <f>+$C958*BK958</f>
        <v>0</v>
      </c>
      <c r="M958" s="5">
        <f>+$C958*BL958</f>
        <v>0</v>
      </c>
      <c r="N958" s="5">
        <f>+$C958*BM958</f>
        <v>0</v>
      </c>
      <c r="O958" s="5">
        <f>+$C958*BN958</f>
        <v>0</v>
      </c>
      <c r="P958" s="5">
        <v>0</v>
      </c>
      <c r="Q958" s="5">
        <f>+$P958*BC958</f>
        <v>0</v>
      </c>
      <c r="R958" s="5">
        <f>+$P958*BD958</f>
        <v>0</v>
      </c>
      <c r="S958" s="5">
        <f>+$P958*BE958</f>
        <v>0</v>
      </c>
      <c r="T958" s="5">
        <f>+$P958*BF958</f>
        <v>0</v>
      </c>
      <c r="U958" s="5">
        <f>+$P958*BG958</f>
        <v>0</v>
      </c>
      <c r="V958" s="5">
        <f>+$P958*BH958</f>
        <v>0</v>
      </c>
      <c r="W958" s="5">
        <f>+$P958*BI958</f>
        <v>0</v>
      </c>
      <c r="X958" s="5">
        <f>+$P958*BJ958</f>
        <v>0</v>
      </c>
      <c r="Y958" s="5">
        <f>+$P958*BK958</f>
        <v>0</v>
      </c>
      <c r="Z958" s="5">
        <f>+$P958*BL958</f>
        <v>0</v>
      </c>
      <c r="AA958" s="5">
        <f>+$P958*BM958</f>
        <v>0</v>
      </c>
      <c r="AB958" s="5">
        <f>+$P958*BN958</f>
        <v>0</v>
      </c>
      <c r="AC958" s="5">
        <v>0</v>
      </c>
      <c r="AD958" s="5">
        <f>+$AC958*BC958</f>
        <v>0</v>
      </c>
      <c r="AE958" s="5">
        <f>+$AC958*BD958</f>
        <v>0</v>
      </c>
      <c r="AF958" s="5">
        <f>+$AC958*BE958</f>
        <v>0</v>
      </c>
      <c r="AG958" s="5">
        <f>+$AC958*BF958</f>
        <v>0</v>
      </c>
      <c r="AH958" s="5">
        <f>+$AC958*BG958</f>
        <v>0</v>
      </c>
      <c r="AI958" s="5">
        <f>+$AC958*BH958</f>
        <v>0</v>
      </c>
      <c r="AJ958" s="5">
        <f>+$AC958*BI958</f>
        <v>0</v>
      </c>
      <c r="AK958" s="5">
        <f>+$AC958*BJ958</f>
        <v>0</v>
      </c>
      <c r="AL958" s="5">
        <f>+$AC958*BK958</f>
        <v>0</v>
      </c>
      <c r="AM958" s="5">
        <f>+$AC958*BL958</f>
        <v>0</v>
      </c>
      <c r="AN958" s="5">
        <f>+$AC958*BM958</f>
        <v>0</v>
      </c>
      <c r="AO958" s="5">
        <f>+$AC958*BN958</f>
        <v>0</v>
      </c>
      <c r="AP958" s="5">
        <f>+AC958+P958+C958</f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2">
        <v>8.9181565948742242E-2</v>
      </c>
      <c r="BD958" s="2">
        <v>0.10665277883445198</v>
      </c>
      <c r="BE958" s="2">
        <v>9.438849084854764E-2</v>
      </c>
      <c r="BF958" s="2">
        <v>7.149564986855049E-2</v>
      </c>
      <c r="BG958" s="2">
        <v>0.10368571810536763</v>
      </c>
      <c r="BH958" s="2">
        <v>8.4970330952544637E-2</v>
      </c>
      <c r="BI958" s="2">
        <v>8.4593878877262704E-2</v>
      </c>
      <c r="BJ958" s="2">
        <v>5.7447105462779965E-2</v>
      </c>
      <c r="BK958" s="2">
        <v>8.5153852345557474E-2</v>
      </c>
      <c r="BL958" s="2">
        <v>7.4158058913035174E-2</v>
      </c>
      <c r="BM958" s="2">
        <v>7.5718189192107169E-2</v>
      </c>
      <c r="BN958" s="2">
        <v>7.3955559365675619E-2</v>
      </c>
    </row>
    <row r="959" spans="1:66" x14ac:dyDescent="0.25">
      <c r="A959" s="8">
        <v>17343</v>
      </c>
      <c r="B959" s="8" t="s">
        <v>37</v>
      </c>
      <c r="C959" s="5">
        <v>0</v>
      </c>
      <c r="D959" s="5">
        <f>+$C959*BC959</f>
        <v>0</v>
      </c>
      <c r="E959" s="5">
        <f>+$C959*BD959</f>
        <v>0</v>
      </c>
      <c r="F959" s="5">
        <f>+$C959*BE959</f>
        <v>0</v>
      </c>
      <c r="G959" s="5">
        <f>+$C959*BF959</f>
        <v>0</v>
      </c>
      <c r="H959" s="5">
        <f>+$C959*BG959</f>
        <v>0</v>
      </c>
      <c r="I959" s="5">
        <f>+$C959*BH959</f>
        <v>0</v>
      </c>
      <c r="J959" s="5">
        <f>+$C959*BI959</f>
        <v>0</v>
      </c>
      <c r="K959" s="5">
        <f>+$C959*BJ959</f>
        <v>0</v>
      </c>
      <c r="L959" s="5">
        <f>+$C959*BK959</f>
        <v>0</v>
      </c>
      <c r="M959" s="5">
        <f>+$C959*BL959</f>
        <v>0</v>
      </c>
      <c r="N959" s="5">
        <f>+$C959*BM959</f>
        <v>0</v>
      </c>
      <c r="O959" s="5">
        <f>+$C959*BN959</f>
        <v>0</v>
      </c>
      <c r="P959" s="5">
        <v>0</v>
      </c>
      <c r="Q959" s="5">
        <f>+$P959*BC959</f>
        <v>0</v>
      </c>
      <c r="R959" s="5">
        <f>+$P959*BD959</f>
        <v>0</v>
      </c>
      <c r="S959" s="5">
        <f>+$P959*BE959</f>
        <v>0</v>
      </c>
      <c r="T959" s="5">
        <f>+$P959*BF959</f>
        <v>0</v>
      </c>
      <c r="U959" s="5">
        <f>+$P959*BG959</f>
        <v>0</v>
      </c>
      <c r="V959" s="5">
        <f>+$P959*BH959</f>
        <v>0</v>
      </c>
      <c r="W959" s="5">
        <f>+$P959*BI959</f>
        <v>0</v>
      </c>
      <c r="X959" s="5">
        <f>+$P959*BJ959</f>
        <v>0</v>
      </c>
      <c r="Y959" s="5">
        <f>+$P959*BK959</f>
        <v>0</v>
      </c>
      <c r="Z959" s="5">
        <f>+$P959*BL959</f>
        <v>0</v>
      </c>
      <c r="AA959" s="5">
        <f>+$P959*BM959</f>
        <v>0</v>
      </c>
      <c r="AB959" s="5">
        <f>+$P959*BN959</f>
        <v>0</v>
      </c>
      <c r="AC959" s="5">
        <v>0</v>
      </c>
      <c r="AD959" s="5">
        <f>+$AC959*BC959</f>
        <v>0</v>
      </c>
      <c r="AE959" s="5">
        <f>+$AC959*BD959</f>
        <v>0</v>
      </c>
      <c r="AF959" s="5">
        <f>+$AC959*BE959</f>
        <v>0</v>
      </c>
      <c r="AG959" s="5">
        <f>+$AC959*BF959</f>
        <v>0</v>
      </c>
      <c r="AH959" s="5">
        <f>+$AC959*BG959</f>
        <v>0</v>
      </c>
      <c r="AI959" s="5">
        <f>+$AC959*BH959</f>
        <v>0</v>
      </c>
      <c r="AJ959" s="5">
        <f>+$AC959*BI959</f>
        <v>0</v>
      </c>
      <c r="AK959" s="5">
        <f>+$AC959*BJ959</f>
        <v>0</v>
      </c>
      <c r="AL959" s="5">
        <f>+$AC959*BK959</f>
        <v>0</v>
      </c>
      <c r="AM959" s="5">
        <f>+$AC959*BL959</f>
        <v>0</v>
      </c>
      <c r="AN959" s="5">
        <f>+$AC959*BM959</f>
        <v>0</v>
      </c>
      <c r="AO959" s="5">
        <f>+$AC959*BN959</f>
        <v>0</v>
      </c>
      <c r="AP959" s="5">
        <f>+AC959+P959+C959</f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2">
        <v>8.9181565948742242E-2</v>
      </c>
      <c r="BD959" s="2">
        <v>0.10665277883445198</v>
      </c>
      <c r="BE959" s="2">
        <v>9.438849084854764E-2</v>
      </c>
      <c r="BF959" s="2">
        <v>7.149564986855049E-2</v>
      </c>
      <c r="BG959" s="2">
        <v>0.10368571810536763</v>
      </c>
      <c r="BH959" s="2">
        <v>8.4970330952544637E-2</v>
      </c>
      <c r="BI959" s="2">
        <v>8.4593878877262704E-2</v>
      </c>
      <c r="BJ959" s="2">
        <v>5.7447105462779965E-2</v>
      </c>
      <c r="BK959" s="2">
        <v>8.5153852345557474E-2</v>
      </c>
      <c r="BL959" s="2">
        <v>7.4158058913035174E-2</v>
      </c>
      <c r="BM959" s="2">
        <v>7.5718189192107169E-2</v>
      </c>
      <c r="BN959" s="2">
        <v>7.3955559365675619E-2</v>
      </c>
    </row>
    <row r="960" spans="1:66" x14ac:dyDescent="0.25">
      <c r="A960" s="8">
        <v>17347</v>
      </c>
      <c r="B960" s="8" t="s">
        <v>36</v>
      </c>
      <c r="C960" s="5">
        <v>0</v>
      </c>
      <c r="D960" s="5">
        <f>+$C960*BC960</f>
        <v>0</v>
      </c>
      <c r="E960" s="5">
        <f>+$C960*BD960</f>
        <v>0</v>
      </c>
      <c r="F960" s="5">
        <f>+$C960*BE960</f>
        <v>0</v>
      </c>
      <c r="G960" s="5">
        <f>+$C960*BF960</f>
        <v>0</v>
      </c>
      <c r="H960" s="5">
        <f>+$C960*BG960</f>
        <v>0</v>
      </c>
      <c r="I960" s="5">
        <f>+$C960*BH960</f>
        <v>0</v>
      </c>
      <c r="J960" s="5">
        <f>+$C960*BI960</f>
        <v>0</v>
      </c>
      <c r="K960" s="5">
        <f>+$C960*BJ960</f>
        <v>0</v>
      </c>
      <c r="L960" s="5">
        <f>+$C960*BK960</f>
        <v>0</v>
      </c>
      <c r="M960" s="5">
        <f>+$C960*BL960</f>
        <v>0</v>
      </c>
      <c r="N960" s="5">
        <f>+$C960*BM960</f>
        <v>0</v>
      </c>
      <c r="O960" s="5">
        <f>+$C960*BN960</f>
        <v>0</v>
      </c>
      <c r="P960" s="5">
        <v>0</v>
      </c>
      <c r="Q960" s="5">
        <f>+$P960*BC960</f>
        <v>0</v>
      </c>
      <c r="R960" s="5">
        <f>+$P960*BD960</f>
        <v>0</v>
      </c>
      <c r="S960" s="5">
        <f>+$P960*BE960</f>
        <v>0</v>
      </c>
      <c r="T960" s="5">
        <f>+$P960*BF960</f>
        <v>0</v>
      </c>
      <c r="U960" s="5">
        <f>+$P960*BG960</f>
        <v>0</v>
      </c>
      <c r="V960" s="5">
        <f>+$P960*BH960</f>
        <v>0</v>
      </c>
      <c r="W960" s="5">
        <f>+$P960*BI960</f>
        <v>0</v>
      </c>
      <c r="X960" s="5">
        <f>+$P960*BJ960</f>
        <v>0</v>
      </c>
      <c r="Y960" s="5">
        <f>+$P960*BK960</f>
        <v>0</v>
      </c>
      <c r="Z960" s="5">
        <f>+$P960*BL960</f>
        <v>0</v>
      </c>
      <c r="AA960" s="5">
        <f>+$P960*BM960</f>
        <v>0</v>
      </c>
      <c r="AB960" s="5">
        <f>+$P960*BN960</f>
        <v>0</v>
      </c>
      <c r="AC960" s="5">
        <v>0</v>
      </c>
      <c r="AD960" s="5">
        <f>+$AC960*BC960</f>
        <v>0</v>
      </c>
      <c r="AE960" s="5">
        <f>+$AC960*BD960</f>
        <v>0</v>
      </c>
      <c r="AF960" s="5">
        <f>+$AC960*BE960</f>
        <v>0</v>
      </c>
      <c r="AG960" s="5">
        <f>+$AC960*BF960</f>
        <v>0</v>
      </c>
      <c r="AH960" s="5">
        <f>+$AC960*BG960</f>
        <v>0</v>
      </c>
      <c r="AI960" s="5">
        <f>+$AC960*BH960</f>
        <v>0</v>
      </c>
      <c r="AJ960" s="5">
        <f>+$AC960*BI960</f>
        <v>0</v>
      </c>
      <c r="AK960" s="5">
        <f>+$AC960*BJ960</f>
        <v>0</v>
      </c>
      <c r="AL960" s="5">
        <f>+$AC960*BK960</f>
        <v>0</v>
      </c>
      <c r="AM960" s="5">
        <f>+$AC960*BL960</f>
        <v>0</v>
      </c>
      <c r="AN960" s="5">
        <f>+$AC960*BM960</f>
        <v>0</v>
      </c>
      <c r="AO960" s="5">
        <f>+$AC960*BN960</f>
        <v>0</v>
      </c>
      <c r="AP960" s="5">
        <f>+AC960+P960+C960</f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2">
        <v>8.9181565948742242E-2</v>
      </c>
      <c r="BD960" s="2">
        <v>0.10665277883445198</v>
      </c>
      <c r="BE960" s="2">
        <v>9.438849084854764E-2</v>
      </c>
      <c r="BF960" s="2">
        <v>7.149564986855049E-2</v>
      </c>
      <c r="BG960" s="2">
        <v>0.10368571810536763</v>
      </c>
      <c r="BH960" s="2">
        <v>8.4970330952544637E-2</v>
      </c>
      <c r="BI960" s="2">
        <v>8.4593878877262704E-2</v>
      </c>
      <c r="BJ960" s="2">
        <v>5.7447105462779965E-2</v>
      </c>
      <c r="BK960" s="2">
        <v>8.5153852345557474E-2</v>
      </c>
      <c r="BL960" s="2">
        <v>7.4158058913035174E-2</v>
      </c>
      <c r="BM960" s="2">
        <v>7.5718189192107169E-2</v>
      </c>
      <c r="BN960" s="2">
        <v>7.3955559365675619E-2</v>
      </c>
    </row>
    <row r="961" spans="1:66" x14ac:dyDescent="0.25">
      <c r="A961" s="8">
        <v>17352</v>
      </c>
      <c r="B961" s="8" t="s">
        <v>35</v>
      </c>
      <c r="C961" s="5">
        <v>0</v>
      </c>
      <c r="D961" s="5">
        <f>+$C961*BC961</f>
        <v>0</v>
      </c>
      <c r="E961" s="5">
        <f>+$C961*BD961</f>
        <v>0</v>
      </c>
      <c r="F961" s="5">
        <f>+$C961*BE961</f>
        <v>0</v>
      </c>
      <c r="G961" s="5">
        <f>+$C961*BF961</f>
        <v>0</v>
      </c>
      <c r="H961" s="5">
        <f>+$C961*BG961</f>
        <v>0</v>
      </c>
      <c r="I961" s="5">
        <f>+$C961*BH961</f>
        <v>0</v>
      </c>
      <c r="J961" s="5">
        <f>+$C961*BI961</f>
        <v>0</v>
      </c>
      <c r="K961" s="5">
        <f>+$C961*BJ961</f>
        <v>0</v>
      </c>
      <c r="L961" s="5">
        <f>+$C961*BK961</f>
        <v>0</v>
      </c>
      <c r="M961" s="5">
        <f>+$C961*BL961</f>
        <v>0</v>
      </c>
      <c r="N961" s="5">
        <f>+$C961*BM961</f>
        <v>0</v>
      </c>
      <c r="O961" s="5">
        <f>+$C961*BN961</f>
        <v>0</v>
      </c>
      <c r="P961" s="5">
        <v>0</v>
      </c>
      <c r="Q961" s="5">
        <f>+$P961*BC961</f>
        <v>0</v>
      </c>
      <c r="R961" s="5">
        <f>+$P961*BD961</f>
        <v>0</v>
      </c>
      <c r="S961" s="5">
        <f>+$P961*BE961</f>
        <v>0</v>
      </c>
      <c r="T961" s="5">
        <f>+$P961*BF961</f>
        <v>0</v>
      </c>
      <c r="U961" s="5">
        <f>+$P961*BG961</f>
        <v>0</v>
      </c>
      <c r="V961" s="5">
        <f>+$P961*BH961</f>
        <v>0</v>
      </c>
      <c r="W961" s="5">
        <f>+$P961*BI961</f>
        <v>0</v>
      </c>
      <c r="X961" s="5">
        <f>+$P961*BJ961</f>
        <v>0</v>
      </c>
      <c r="Y961" s="5">
        <f>+$P961*BK961</f>
        <v>0</v>
      </c>
      <c r="Z961" s="5">
        <f>+$P961*BL961</f>
        <v>0</v>
      </c>
      <c r="AA961" s="5">
        <f>+$P961*BM961</f>
        <v>0</v>
      </c>
      <c r="AB961" s="5">
        <f>+$P961*BN961</f>
        <v>0</v>
      </c>
      <c r="AC961" s="5">
        <v>0</v>
      </c>
      <c r="AD961" s="5">
        <f>+$AC961*BC961</f>
        <v>0</v>
      </c>
      <c r="AE961" s="5">
        <f>+$AC961*BD961</f>
        <v>0</v>
      </c>
      <c r="AF961" s="5">
        <f>+$AC961*BE961</f>
        <v>0</v>
      </c>
      <c r="AG961" s="5">
        <f>+$AC961*BF961</f>
        <v>0</v>
      </c>
      <c r="AH961" s="5">
        <f>+$AC961*BG961</f>
        <v>0</v>
      </c>
      <c r="AI961" s="5">
        <f>+$AC961*BH961</f>
        <v>0</v>
      </c>
      <c r="AJ961" s="5">
        <f>+$AC961*BI961</f>
        <v>0</v>
      </c>
      <c r="AK961" s="5">
        <f>+$AC961*BJ961</f>
        <v>0</v>
      </c>
      <c r="AL961" s="5">
        <f>+$AC961*BK961</f>
        <v>0</v>
      </c>
      <c r="AM961" s="5">
        <f>+$AC961*BL961</f>
        <v>0</v>
      </c>
      <c r="AN961" s="5">
        <f>+$AC961*BM961</f>
        <v>0</v>
      </c>
      <c r="AO961" s="5">
        <f>+$AC961*BN961</f>
        <v>0</v>
      </c>
      <c r="AP961" s="5">
        <f>+AC961+P961+C961</f>
        <v>0</v>
      </c>
      <c r="AQ961" s="1">
        <v>6.8669805780531528</v>
      </c>
      <c r="AR961" s="1">
        <v>8.2122639702528026</v>
      </c>
      <c r="AS961" s="1">
        <v>7.2679137953381687</v>
      </c>
      <c r="AT961" s="1">
        <v>5.5051650398783876</v>
      </c>
      <c r="AU961" s="1">
        <v>7.9838002941133075</v>
      </c>
      <c r="AV961" s="1">
        <v>6.5427154833459369</v>
      </c>
      <c r="AW961" s="1">
        <v>6.5137286735492284</v>
      </c>
      <c r="AX961" s="1">
        <v>4.4234271206340576</v>
      </c>
      <c r="AY961" s="1">
        <v>6.5568466306079252</v>
      </c>
      <c r="AZ961" s="1">
        <v>5.7101705363037087</v>
      </c>
      <c r="BA961" s="1">
        <v>5.8303005677922517</v>
      </c>
      <c r="BB961" s="1">
        <v>5.6945780711570224</v>
      </c>
      <c r="BC961" s="2">
        <v>8.9181565948742242E-2</v>
      </c>
      <c r="BD961" s="2">
        <v>0.10665277883445198</v>
      </c>
      <c r="BE961" s="2">
        <v>9.438849084854764E-2</v>
      </c>
      <c r="BF961" s="2">
        <v>7.149564986855049E-2</v>
      </c>
      <c r="BG961" s="2">
        <v>0.10368571810536763</v>
      </c>
      <c r="BH961" s="2">
        <v>8.4970330952544637E-2</v>
      </c>
      <c r="BI961" s="2">
        <v>8.4593878877262704E-2</v>
      </c>
      <c r="BJ961" s="2">
        <v>5.7447105462779965E-2</v>
      </c>
      <c r="BK961" s="2">
        <v>8.5153852345557474E-2</v>
      </c>
      <c r="BL961" s="2">
        <v>7.4158058913035174E-2</v>
      </c>
      <c r="BM961" s="2">
        <v>7.5718189192107169E-2</v>
      </c>
      <c r="BN961" s="2">
        <v>7.3955559365675619E-2</v>
      </c>
    </row>
    <row r="962" spans="1:66" x14ac:dyDescent="0.25">
      <c r="A962" s="8">
        <v>20001</v>
      </c>
      <c r="B962" s="8" t="s">
        <v>34</v>
      </c>
      <c r="C962" s="5">
        <v>0</v>
      </c>
      <c r="D962" s="5">
        <f>+$C962*BC962</f>
        <v>0</v>
      </c>
      <c r="E962" s="5">
        <f>+$C962*BD962</f>
        <v>0</v>
      </c>
      <c r="F962" s="5">
        <f>+$C962*BE962</f>
        <v>0</v>
      </c>
      <c r="G962" s="5">
        <f>+$C962*BF962</f>
        <v>0</v>
      </c>
      <c r="H962" s="5">
        <f>+$C962*BG962</f>
        <v>0</v>
      </c>
      <c r="I962" s="5">
        <f>+$C962*BH962</f>
        <v>0</v>
      </c>
      <c r="J962" s="5">
        <f>+$C962*BI962</f>
        <v>0</v>
      </c>
      <c r="K962" s="5">
        <f>+$C962*BJ962</f>
        <v>0</v>
      </c>
      <c r="L962" s="5">
        <f>+$C962*BK962</f>
        <v>0</v>
      </c>
      <c r="M962" s="5">
        <f>+$C962*BL962</f>
        <v>0</v>
      </c>
      <c r="N962" s="5">
        <f>+$C962*BM962</f>
        <v>0</v>
      </c>
      <c r="O962" s="5">
        <f>+$C962*BN962</f>
        <v>0</v>
      </c>
      <c r="P962" s="5">
        <v>500</v>
      </c>
      <c r="Q962" s="5">
        <f>+$P962*BC962</f>
        <v>44.590782974371123</v>
      </c>
      <c r="R962" s="5">
        <f>+$P962*BD962</f>
        <v>53.32638941722599</v>
      </c>
      <c r="S962" s="5">
        <f>+$P962*BE962</f>
        <v>47.194245424273824</v>
      </c>
      <c r="T962" s="5">
        <f>+$P962*BF962</f>
        <v>35.747824934275243</v>
      </c>
      <c r="U962" s="5">
        <f>+$P962*BG962</f>
        <v>51.842859052683814</v>
      </c>
      <c r="V962" s="5">
        <f>+$P962*BH962</f>
        <v>42.485165476272321</v>
      </c>
      <c r="W962" s="5">
        <f>+$P962*BI962</f>
        <v>42.296939438631355</v>
      </c>
      <c r="X962" s="5">
        <f>+$P962*BJ962</f>
        <v>28.723552731389983</v>
      </c>
      <c r="Y962" s="5">
        <f>+$P962*BK962</f>
        <v>42.576926172778734</v>
      </c>
      <c r="Z962" s="5">
        <f>+$P962*BL962</f>
        <v>37.079029456517588</v>
      </c>
      <c r="AA962" s="5">
        <f>+$P962*BM962</f>
        <v>37.859094596053588</v>
      </c>
      <c r="AB962" s="5">
        <f>+$P962*BN962</f>
        <v>36.977779682837813</v>
      </c>
      <c r="AC962" s="5">
        <v>0</v>
      </c>
      <c r="AD962" s="5">
        <f>+$AC962*BC962</f>
        <v>0</v>
      </c>
      <c r="AE962" s="5">
        <f>+$AC962*BD962</f>
        <v>0</v>
      </c>
      <c r="AF962" s="5">
        <f>+$AC962*BE962</f>
        <v>0</v>
      </c>
      <c r="AG962" s="5">
        <f>+$AC962*BF962</f>
        <v>0</v>
      </c>
      <c r="AH962" s="5">
        <f>+$AC962*BG962</f>
        <v>0</v>
      </c>
      <c r="AI962" s="5">
        <f>+$AC962*BH962</f>
        <v>0</v>
      </c>
      <c r="AJ962" s="5">
        <f>+$AC962*BI962</f>
        <v>0</v>
      </c>
      <c r="AK962" s="5">
        <f>+$AC962*BJ962</f>
        <v>0</v>
      </c>
      <c r="AL962" s="5">
        <f>+$AC962*BK962</f>
        <v>0</v>
      </c>
      <c r="AM962" s="5">
        <f>+$AC962*BL962</f>
        <v>0</v>
      </c>
      <c r="AN962" s="5">
        <f>+$AC962*BM962</f>
        <v>0</v>
      </c>
      <c r="AO962" s="5">
        <f>+$AC962*BN962</f>
        <v>0</v>
      </c>
      <c r="AP962" s="5">
        <f>+AC962+P962+C962</f>
        <v>500</v>
      </c>
      <c r="AQ962" s="1">
        <v>32.47100816193705</v>
      </c>
      <c r="AR962" s="1">
        <v>38.832276773623967</v>
      </c>
      <c r="AS962" s="1">
        <v>34.366849517956197</v>
      </c>
      <c r="AT962" s="1">
        <v>26.031566117139235</v>
      </c>
      <c r="AU962" s="1">
        <v>37.751969962164353</v>
      </c>
      <c r="AV962" s="1">
        <v>30.937697499821503</v>
      </c>
      <c r="AW962" s="1">
        <v>30.800631299211354</v>
      </c>
      <c r="AX962" s="1">
        <v>20.916491098998186</v>
      </c>
      <c r="AY962" s="1">
        <v>31.004517639017479</v>
      </c>
      <c r="AZ962" s="1">
        <v>27.000949250236108</v>
      </c>
      <c r="BA962" s="1">
        <v>27.568992684846222</v>
      </c>
      <c r="BB962" s="1">
        <v>26.927219165042494</v>
      </c>
      <c r="BC962" s="2">
        <v>8.9181565948742242E-2</v>
      </c>
      <c r="BD962" s="2">
        <v>0.10665277883445198</v>
      </c>
      <c r="BE962" s="2">
        <v>9.438849084854764E-2</v>
      </c>
      <c r="BF962" s="2">
        <v>7.149564986855049E-2</v>
      </c>
      <c r="BG962" s="2">
        <v>0.10368571810536763</v>
      </c>
      <c r="BH962" s="2">
        <v>8.4970330952544637E-2</v>
      </c>
      <c r="BI962" s="2">
        <v>8.4593878877262704E-2</v>
      </c>
      <c r="BJ962" s="2">
        <v>5.7447105462779965E-2</v>
      </c>
      <c r="BK962" s="2">
        <v>8.5153852345557474E-2</v>
      </c>
      <c r="BL962" s="2">
        <v>7.4158058913035174E-2</v>
      </c>
      <c r="BM962" s="2">
        <v>7.5718189192107169E-2</v>
      </c>
      <c r="BN962" s="2">
        <v>7.3955559365675619E-2</v>
      </c>
    </row>
    <row r="963" spans="1:66" x14ac:dyDescent="0.25">
      <c r="A963" s="8">
        <v>20106</v>
      </c>
      <c r="B963" s="8" t="s">
        <v>33</v>
      </c>
      <c r="C963" s="5">
        <v>0</v>
      </c>
      <c r="D963" s="5">
        <f>+$C963*BC963</f>
        <v>0</v>
      </c>
      <c r="E963" s="5">
        <f>+$C963*BD963</f>
        <v>0</v>
      </c>
      <c r="F963" s="5">
        <f>+$C963*BE963</f>
        <v>0</v>
      </c>
      <c r="G963" s="5">
        <f>+$C963*BF963</f>
        <v>0</v>
      </c>
      <c r="H963" s="5">
        <f>+$C963*BG963</f>
        <v>0</v>
      </c>
      <c r="I963" s="5">
        <f>+$C963*BH963</f>
        <v>0</v>
      </c>
      <c r="J963" s="5">
        <f>+$C963*BI963</f>
        <v>0</v>
      </c>
      <c r="K963" s="5">
        <f>+$C963*BJ963</f>
        <v>0</v>
      </c>
      <c r="L963" s="5">
        <f>+$C963*BK963</f>
        <v>0</v>
      </c>
      <c r="M963" s="5">
        <f>+$C963*BL963</f>
        <v>0</v>
      </c>
      <c r="N963" s="5">
        <f>+$C963*BM963</f>
        <v>0</v>
      </c>
      <c r="O963" s="5">
        <f>+$C963*BN963</f>
        <v>0</v>
      </c>
      <c r="P963" s="5">
        <v>500</v>
      </c>
      <c r="Q963" s="5">
        <f>+$P963*BC963</f>
        <v>44.590782974371123</v>
      </c>
      <c r="R963" s="5">
        <f>+$P963*BD963</f>
        <v>53.32638941722599</v>
      </c>
      <c r="S963" s="5">
        <f>+$P963*BE963</f>
        <v>47.194245424273824</v>
      </c>
      <c r="T963" s="5">
        <f>+$P963*BF963</f>
        <v>35.747824934275243</v>
      </c>
      <c r="U963" s="5">
        <f>+$P963*BG963</f>
        <v>51.842859052683814</v>
      </c>
      <c r="V963" s="5">
        <f>+$P963*BH963</f>
        <v>42.485165476272321</v>
      </c>
      <c r="W963" s="5">
        <f>+$P963*BI963</f>
        <v>42.296939438631355</v>
      </c>
      <c r="X963" s="5">
        <f>+$P963*BJ963</f>
        <v>28.723552731389983</v>
      </c>
      <c r="Y963" s="5">
        <f>+$P963*BK963</f>
        <v>42.576926172778734</v>
      </c>
      <c r="Z963" s="5">
        <f>+$P963*BL963</f>
        <v>37.079029456517588</v>
      </c>
      <c r="AA963" s="5">
        <f>+$P963*BM963</f>
        <v>37.859094596053588</v>
      </c>
      <c r="AB963" s="5">
        <f>+$P963*BN963</f>
        <v>36.977779682837813</v>
      </c>
      <c r="AC963" s="5">
        <v>0</v>
      </c>
      <c r="AD963" s="5">
        <f>+$AC963*BC963</f>
        <v>0</v>
      </c>
      <c r="AE963" s="5">
        <f>+$AC963*BD963</f>
        <v>0</v>
      </c>
      <c r="AF963" s="5">
        <f>+$AC963*BE963</f>
        <v>0</v>
      </c>
      <c r="AG963" s="5">
        <f>+$AC963*BF963</f>
        <v>0</v>
      </c>
      <c r="AH963" s="5">
        <f>+$AC963*BG963</f>
        <v>0</v>
      </c>
      <c r="AI963" s="5">
        <f>+$AC963*BH963</f>
        <v>0</v>
      </c>
      <c r="AJ963" s="5">
        <f>+$AC963*BI963</f>
        <v>0</v>
      </c>
      <c r="AK963" s="5">
        <f>+$AC963*BJ963</f>
        <v>0</v>
      </c>
      <c r="AL963" s="5">
        <f>+$AC963*BK963</f>
        <v>0</v>
      </c>
      <c r="AM963" s="5">
        <f>+$AC963*BL963</f>
        <v>0</v>
      </c>
      <c r="AN963" s="5">
        <f>+$AC963*BM963</f>
        <v>0</v>
      </c>
      <c r="AO963" s="5">
        <f>+$AC963*BN963</f>
        <v>0</v>
      </c>
      <c r="AP963" s="5">
        <f>+AC963+P963+C963</f>
        <v>500</v>
      </c>
      <c r="AQ963" s="1">
        <v>37.434854122644055</v>
      </c>
      <c r="AR963" s="1">
        <v>44.768570443549578</v>
      </c>
      <c r="AS963" s="1">
        <v>39.620512918586364</v>
      </c>
      <c r="AT963" s="1">
        <v>30.011013988822761</v>
      </c>
      <c r="AU963" s="1">
        <v>43.523117031909123</v>
      </c>
      <c r="AV963" s="1">
        <v>35.667146120640147</v>
      </c>
      <c r="AW963" s="1">
        <v>35.509126597519803</v>
      </c>
      <c r="AX963" s="1">
        <v>24.113996989056524</v>
      </c>
      <c r="AY963" s="1">
        <v>35.744181060571215</v>
      </c>
      <c r="AZ963" s="1">
        <v>31.128586809335651</v>
      </c>
      <c r="BA963" s="1">
        <v>31.783467095278912</v>
      </c>
      <c r="BB963" s="1">
        <v>31.043585599336005</v>
      </c>
      <c r="BC963" s="2">
        <v>8.9181565948742242E-2</v>
      </c>
      <c r="BD963" s="2">
        <v>0.10665277883445198</v>
      </c>
      <c r="BE963" s="2">
        <v>9.438849084854764E-2</v>
      </c>
      <c r="BF963" s="2">
        <v>7.149564986855049E-2</v>
      </c>
      <c r="BG963" s="2">
        <v>0.10368571810536763</v>
      </c>
      <c r="BH963" s="2">
        <v>8.4970330952544637E-2</v>
      </c>
      <c r="BI963" s="2">
        <v>8.4593878877262704E-2</v>
      </c>
      <c r="BJ963" s="2">
        <v>5.7447105462779965E-2</v>
      </c>
      <c r="BK963" s="2">
        <v>8.5153852345557474E-2</v>
      </c>
      <c r="BL963" s="2">
        <v>7.4158058913035174E-2</v>
      </c>
      <c r="BM963" s="2">
        <v>7.5718189192107169E-2</v>
      </c>
      <c r="BN963" s="2">
        <v>7.3955559365675619E-2</v>
      </c>
    </row>
    <row r="964" spans="1:66" x14ac:dyDescent="0.25">
      <c r="A964" s="8">
        <v>20117</v>
      </c>
      <c r="B964" s="8" t="s">
        <v>32</v>
      </c>
      <c r="C964" s="5">
        <v>0</v>
      </c>
      <c r="D964" s="5">
        <f>+$C964*BC964</f>
        <v>0</v>
      </c>
      <c r="E964" s="5">
        <f>+$C964*BD964</f>
        <v>0</v>
      </c>
      <c r="F964" s="5">
        <f>+$C964*BE964</f>
        <v>0</v>
      </c>
      <c r="G964" s="5">
        <f>+$C964*BF964</f>
        <v>0</v>
      </c>
      <c r="H964" s="5">
        <f>+$C964*BG964</f>
        <v>0</v>
      </c>
      <c r="I964" s="5">
        <f>+$C964*BH964</f>
        <v>0</v>
      </c>
      <c r="J964" s="5">
        <f>+$C964*BI964</f>
        <v>0</v>
      </c>
      <c r="K964" s="5">
        <f>+$C964*BJ964</f>
        <v>0</v>
      </c>
      <c r="L964" s="5">
        <f>+$C964*BK964</f>
        <v>0</v>
      </c>
      <c r="M964" s="5">
        <f>+$C964*BL964</f>
        <v>0</v>
      </c>
      <c r="N964" s="5">
        <f>+$C964*BM964</f>
        <v>0</v>
      </c>
      <c r="O964" s="5">
        <f>+$C964*BN964</f>
        <v>0</v>
      </c>
      <c r="P964" s="5">
        <v>0</v>
      </c>
      <c r="Q964" s="5">
        <f>+$P964*BC964</f>
        <v>0</v>
      </c>
      <c r="R964" s="5">
        <f>+$P964*BD964</f>
        <v>0</v>
      </c>
      <c r="S964" s="5">
        <f>+$P964*BE964</f>
        <v>0</v>
      </c>
      <c r="T964" s="5">
        <f>+$P964*BF964</f>
        <v>0</v>
      </c>
      <c r="U964" s="5">
        <f>+$P964*BG964</f>
        <v>0</v>
      </c>
      <c r="V964" s="5">
        <f>+$P964*BH964</f>
        <v>0</v>
      </c>
      <c r="W964" s="5">
        <f>+$P964*BI964</f>
        <v>0</v>
      </c>
      <c r="X964" s="5">
        <f>+$P964*BJ964</f>
        <v>0</v>
      </c>
      <c r="Y964" s="5">
        <f>+$P964*BK964</f>
        <v>0</v>
      </c>
      <c r="Z964" s="5">
        <f>+$P964*BL964</f>
        <v>0</v>
      </c>
      <c r="AA964" s="5">
        <f>+$P964*BM964</f>
        <v>0</v>
      </c>
      <c r="AB964" s="5">
        <f>+$P964*BN964</f>
        <v>0</v>
      </c>
      <c r="AC964" s="5">
        <v>0</v>
      </c>
      <c r="AD964" s="5">
        <f>+$AC964*BC964</f>
        <v>0</v>
      </c>
      <c r="AE964" s="5">
        <f>+$AC964*BD964</f>
        <v>0</v>
      </c>
      <c r="AF964" s="5">
        <f>+$AC964*BE964</f>
        <v>0</v>
      </c>
      <c r="AG964" s="5">
        <f>+$AC964*BF964</f>
        <v>0</v>
      </c>
      <c r="AH964" s="5">
        <f>+$AC964*BG964</f>
        <v>0</v>
      </c>
      <c r="AI964" s="5">
        <f>+$AC964*BH964</f>
        <v>0</v>
      </c>
      <c r="AJ964" s="5">
        <f>+$AC964*BI964</f>
        <v>0</v>
      </c>
      <c r="AK964" s="5">
        <f>+$AC964*BJ964</f>
        <v>0</v>
      </c>
      <c r="AL964" s="5">
        <f>+$AC964*BK964</f>
        <v>0</v>
      </c>
      <c r="AM964" s="5">
        <f>+$AC964*BL964</f>
        <v>0</v>
      </c>
      <c r="AN964" s="5">
        <f>+$AC964*BM964</f>
        <v>0</v>
      </c>
      <c r="AO964" s="5">
        <f>+$AC964*BN964</f>
        <v>0</v>
      </c>
      <c r="AP964" s="5">
        <f>+AC964+P964+C964</f>
        <v>0</v>
      </c>
      <c r="AQ964" s="1">
        <v>60.074308091259859</v>
      </c>
      <c r="AR964" s="1">
        <v>71.843231572905879</v>
      </c>
      <c r="AS964" s="1">
        <v>63.581786428416969</v>
      </c>
      <c r="AT964" s="1">
        <v>48.160756673153244</v>
      </c>
      <c r="AU964" s="1">
        <v>69.844566058701531</v>
      </c>
      <c r="AV964" s="1">
        <v>57.237544395591215</v>
      </c>
      <c r="AW964" s="1">
        <v>56.98395950154395</v>
      </c>
      <c r="AX964" s="1">
        <v>38.697404287626917</v>
      </c>
      <c r="AY964" s="1">
        <v>57.36116770930974</v>
      </c>
      <c r="AZ964" s="1">
        <v>49.954203328880929</v>
      </c>
      <c r="BA964" s="1">
        <v>51.005135167208849</v>
      </c>
      <c r="BB964" s="1">
        <v>49.81779598878768</v>
      </c>
      <c r="BC964" s="2">
        <v>8.9181565948742242E-2</v>
      </c>
      <c r="BD964" s="2">
        <v>0.10665277883445198</v>
      </c>
      <c r="BE964" s="2">
        <v>9.438849084854764E-2</v>
      </c>
      <c r="BF964" s="2">
        <v>7.149564986855049E-2</v>
      </c>
      <c r="BG964" s="2">
        <v>0.10368571810536763</v>
      </c>
      <c r="BH964" s="2">
        <v>8.4970330952544637E-2</v>
      </c>
      <c r="BI964" s="2">
        <v>8.4593878877262704E-2</v>
      </c>
      <c r="BJ964" s="2">
        <v>5.7447105462779965E-2</v>
      </c>
      <c r="BK964" s="2">
        <v>8.5153852345557474E-2</v>
      </c>
      <c r="BL964" s="2">
        <v>7.4158058913035174E-2</v>
      </c>
      <c r="BM964" s="2">
        <v>7.5718189192107169E-2</v>
      </c>
      <c r="BN964" s="2">
        <v>7.3955559365675619E-2</v>
      </c>
    </row>
    <row r="965" spans="1:66" x14ac:dyDescent="0.25">
      <c r="A965" s="8">
        <v>20119</v>
      </c>
      <c r="B965" s="8" t="s">
        <v>31</v>
      </c>
      <c r="C965" s="5">
        <v>0</v>
      </c>
      <c r="D965" s="5">
        <f>+$C965*BC965</f>
        <v>0</v>
      </c>
      <c r="E965" s="5">
        <f>+$C965*BD965</f>
        <v>0</v>
      </c>
      <c r="F965" s="5">
        <f>+$C965*BE965</f>
        <v>0</v>
      </c>
      <c r="G965" s="5">
        <f>+$C965*BF965</f>
        <v>0</v>
      </c>
      <c r="H965" s="5">
        <f>+$C965*BG965</f>
        <v>0</v>
      </c>
      <c r="I965" s="5">
        <f>+$C965*BH965</f>
        <v>0</v>
      </c>
      <c r="J965" s="5">
        <f>+$C965*BI965</f>
        <v>0</v>
      </c>
      <c r="K965" s="5">
        <f>+$C965*BJ965</f>
        <v>0</v>
      </c>
      <c r="L965" s="5">
        <f>+$C965*BK965</f>
        <v>0</v>
      </c>
      <c r="M965" s="5">
        <f>+$C965*BL965</f>
        <v>0</v>
      </c>
      <c r="N965" s="5">
        <f>+$C965*BM965</f>
        <v>0</v>
      </c>
      <c r="O965" s="5">
        <f>+$C965*BN965</f>
        <v>0</v>
      </c>
      <c r="P965" s="5">
        <v>0</v>
      </c>
      <c r="Q965" s="5">
        <f>+$P965*BC965</f>
        <v>0</v>
      </c>
      <c r="R965" s="5">
        <f>+$P965*BD965</f>
        <v>0</v>
      </c>
      <c r="S965" s="5">
        <f>+$P965*BE965</f>
        <v>0</v>
      </c>
      <c r="T965" s="5">
        <f>+$P965*BF965</f>
        <v>0</v>
      </c>
      <c r="U965" s="5">
        <f>+$P965*BG965</f>
        <v>0</v>
      </c>
      <c r="V965" s="5">
        <f>+$P965*BH965</f>
        <v>0</v>
      </c>
      <c r="W965" s="5">
        <f>+$P965*BI965</f>
        <v>0</v>
      </c>
      <c r="X965" s="5">
        <f>+$P965*BJ965</f>
        <v>0</v>
      </c>
      <c r="Y965" s="5">
        <f>+$P965*BK965</f>
        <v>0</v>
      </c>
      <c r="Z965" s="5">
        <f>+$P965*BL965</f>
        <v>0</v>
      </c>
      <c r="AA965" s="5">
        <f>+$P965*BM965</f>
        <v>0</v>
      </c>
      <c r="AB965" s="5">
        <f>+$P965*BN965</f>
        <v>0</v>
      </c>
      <c r="AC965" s="5">
        <v>0</v>
      </c>
      <c r="AD965" s="5">
        <f>+$AC965*BC965</f>
        <v>0</v>
      </c>
      <c r="AE965" s="5">
        <f>+$AC965*BD965</f>
        <v>0</v>
      </c>
      <c r="AF965" s="5">
        <f>+$AC965*BE965</f>
        <v>0</v>
      </c>
      <c r="AG965" s="5">
        <f>+$AC965*BF965</f>
        <v>0</v>
      </c>
      <c r="AH965" s="5">
        <f>+$AC965*BG965</f>
        <v>0</v>
      </c>
      <c r="AI965" s="5">
        <f>+$AC965*BH965</f>
        <v>0</v>
      </c>
      <c r="AJ965" s="5">
        <f>+$AC965*BI965</f>
        <v>0</v>
      </c>
      <c r="AK965" s="5">
        <f>+$AC965*BJ965</f>
        <v>0</v>
      </c>
      <c r="AL965" s="5">
        <f>+$AC965*BK965</f>
        <v>0</v>
      </c>
      <c r="AM965" s="5">
        <f>+$AC965*BL965</f>
        <v>0</v>
      </c>
      <c r="AN965" s="5">
        <f>+$AC965*BM965</f>
        <v>0</v>
      </c>
      <c r="AO965" s="5">
        <f>+$AC965*BN965</f>
        <v>0</v>
      </c>
      <c r="AP965" s="5">
        <f>+AC965+P965+C965</f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2">
        <v>8.9181565948742242E-2</v>
      </c>
      <c r="BD965" s="2">
        <v>0.10665277883445198</v>
      </c>
      <c r="BE965" s="2">
        <v>9.438849084854764E-2</v>
      </c>
      <c r="BF965" s="2">
        <v>7.149564986855049E-2</v>
      </c>
      <c r="BG965" s="2">
        <v>0.10368571810536763</v>
      </c>
      <c r="BH965" s="2">
        <v>8.4970330952544637E-2</v>
      </c>
      <c r="BI965" s="2">
        <v>8.4593878877262704E-2</v>
      </c>
      <c r="BJ965" s="2">
        <v>5.7447105462779965E-2</v>
      </c>
      <c r="BK965" s="2">
        <v>8.5153852345557474E-2</v>
      </c>
      <c r="BL965" s="2">
        <v>7.4158058913035174E-2</v>
      </c>
      <c r="BM965" s="2">
        <v>7.5718189192107169E-2</v>
      </c>
      <c r="BN965" s="2">
        <v>7.3955559365675619E-2</v>
      </c>
    </row>
    <row r="966" spans="1:66" x14ac:dyDescent="0.25">
      <c r="A966" s="8">
        <v>20207</v>
      </c>
      <c r="B966" s="8" t="s">
        <v>30</v>
      </c>
      <c r="C966" s="5">
        <v>0</v>
      </c>
      <c r="D966" s="5">
        <f>+$C966*BC966</f>
        <v>0</v>
      </c>
      <c r="E966" s="5">
        <f>+$C966*BD966</f>
        <v>0</v>
      </c>
      <c r="F966" s="5">
        <f>+$C966*BE966</f>
        <v>0</v>
      </c>
      <c r="G966" s="5">
        <f>+$C966*BF966</f>
        <v>0</v>
      </c>
      <c r="H966" s="5">
        <f>+$C966*BG966</f>
        <v>0</v>
      </c>
      <c r="I966" s="5">
        <f>+$C966*BH966</f>
        <v>0</v>
      </c>
      <c r="J966" s="5">
        <f>+$C966*BI966</f>
        <v>0</v>
      </c>
      <c r="K966" s="5">
        <f>+$C966*BJ966</f>
        <v>0</v>
      </c>
      <c r="L966" s="5">
        <f>+$C966*BK966</f>
        <v>0</v>
      </c>
      <c r="M966" s="5">
        <f>+$C966*BL966</f>
        <v>0</v>
      </c>
      <c r="N966" s="5">
        <f>+$C966*BM966</f>
        <v>0</v>
      </c>
      <c r="O966" s="5">
        <f>+$C966*BN966</f>
        <v>0</v>
      </c>
      <c r="P966" s="5">
        <v>0</v>
      </c>
      <c r="Q966" s="5">
        <f>+$P966*BC966</f>
        <v>0</v>
      </c>
      <c r="R966" s="5">
        <f>+$P966*BD966</f>
        <v>0</v>
      </c>
      <c r="S966" s="5">
        <f>+$P966*BE966</f>
        <v>0</v>
      </c>
      <c r="T966" s="5">
        <f>+$P966*BF966</f>
        <v>0</v>
      </c>
      <c r="U966" s="5">
        <f>+$P966*BG966</f>
        <v>0</v>
      </c>
      <c r="V966" s="5">
        <f>+$P966*BH966</f>
        <v>0</v>
      </c>
      <c r="W966" s="5">
        <f>+$P966*BI966</f>
        <v>0</v>
      </c>
      <c r="X966" s="5">
        <f>+$P966*BJ966</f>
        <v>0</v>
      </c>
      <c r="Y966" s="5">
        <f>+$P966*BK966</f>
        <v>0</v>
      </c>
      <c r="Z966" s="5">
        <f>+$P966*BL966</f>
        <v>0</v>
      </c>
      <c r="AA966" s="5">
        <f>+$P966*BM966</f>
        <v>0</v>
      </c>
      <c r="AB966" s="5">
        <f>+$P966*BN966</f>
        <v>0</v>
      </c>
      <c r="AC966" s="5">
        <v>0</v>
      </c>
      <c r="AD966" s="5">
        <f>+$AC966*BC966</f>
        <v>0</v>
      </c>
      <c r="AE966" s="5">
        <f>+$AC966*BD966</f>
        <v>0</v>
      </c>
      <c r="AF966" s="5">
        <f>+$AC966*BE966</f>
        <v>0</v>
      </c>
      <c r="AG966" s="5">
        <f>+$AC966*BF966</f>
        <v>0</v>
      </c>
      <c r="AH966" s="5">
        <f>+$AC966*BG966</f>
        <v>0</v>
      </c>
      <c r="AI966" s="5">
        <f>+$AC966*BH966</f>
        <v>0</v>
      </c>
      <c r="AJ966" s="5">
        <f>+$AC966*BI966</f>
        <v>0</v>
      </c>
      <c r="AK966" s="5">
        <f>+$AC966*BJ966</f>
        <v>0</v>
      </c>
      <c r="AL966" s="5">
        <f>+$AC966*BK966</f>
        <v>0</v>
      </c>
      <c r="AM966" s="5">
        <f>+$AC966*BL966</f>
        <v>0</v>
      </c>
      <c r="AN966" s="5">
        <f>+$AC966*BM966</f>
        <v>0</v>
      </c>
      <c r="AO966" s="5">
        <f>+$AC966*BN966</f>
        <v>0</v>
      </c>
      <c r="AP966" s="5">
        <f>+AC966+P966+C966</f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2">
        <v>8.9181565948742242E-2</v>
      </c>
      <c r="BD966" s="2">
        <v>0.10665277883445198</v>
      </c>
      <c r="BE966" s="2">
        <v>9.438849084854764E-2</v>
      </c>
      <c r="BF966" s="2">
        <v>7.149564986855049E-2</v>
      </c>
      <c r="BG966" s="2">
        <v>0.10368571810536763</v>
      </c>
      <c r="BH966" s="2">
        <v>8.4970330952544637E-2</v>
      </c>
      <c r="BI966" s="2">
        <v>8.4593878877262704E-2</v>
      </c>
      <c r="BJ966" s="2">
        <v>5.7447105462779965E-2</v>
      </c>
      <c r="BK966" s="2">
        <v>8.5153852345557474E-2</v>
      </c>
      <c r="BL966" s="2">
        <v>7.4158058913035174E-2</v>
      </c>
      <c r="BM966" s="2">
        <v>7.5718189192107169E-2</v>
      </c>
      <c r="BN966" s="2">
        <v>7.3955559365675619E-2</v>
      </c>
    </row>
    <row r="967" spans="1:66" x14ac:dyDescent="0.25">
      <c r="A967" s="8">
        <v>20315</v>
      </c>
      <c r="B967" s="8" t="s">
        <v>29</v>
      </c>
      <c r="C967" s="5">
        <v>0</v>
      </c>
      <c r="D967" s="5">
        <f>+$C967*BC967</f>
        <v>0</v>
      </c>
      <c r="E967" s="5">
        <f>+$C967*BD967</f>
        <v>0</v>
      </c>
      <c r="F967" s="5">
        <f>+$C967*BE967</f>
        <v>0</v>
      </c>
      <c r="G967" s="5">
        <f>+$C967*BF967</f>
        <v>0</v>
      </c>
      <c r="H967" s="5">
        <f>+$C967*BG967</f>
        <v>0</v>
      </c>
      <c r="I967" s="5">
        <f>+$C967*BH967</f>
        <v>0</v>
      </c>
      <c r="J967" s="5">
        <f>+$C967*BI967</f>
        <v>0</v>
      </c>
      <c r="K967" s="5">
        <f>+$C967*BJ967</f>
        <v>0</v>
      </c>
      <c r="L967" s="5">
        <f>+$C967*BK967</f>
        <v>0</v>
      </c>
      <c r="M967" s="5">
        <f>+$C967*BL967</f>
        <v>0</v>
      </c>
      <c r="N967" s="5">
        <f>+$C967*BM967</f>
        <v>0</v>
      </c>
      <c r="O967" s="5">
        <f>+$C967*BN967</f>
        <v>0</v>
      </c>
      <c r="P967" s="5">
        <v>0</v>
      </c>
      <c r="Q967" s="5">
        <f>+$P967*BC967</f>
        <v>0</v>
      </c>
      <c r="R967" s="5">
        <f>+$P967*BD967</f>
        <v>0</v>
      </c>
      <c r="S967" s="5">
        <f>+$P967*BE967</f>
        <v>0</v>
      </c>
      <c r="T967" s="5">
        <f>+$P967*BF967</f>
        <v>0</v>
      </c>
      <c r="U967" s="5">
        <f>+$P967*BG967</f>
        <v>0</v>
      </c>
      <c r="V967" s="5">
        <f>+$P967*BH967</f>
        <v>0</v>
      </c>
      <c r="W967" s="5">
        <f>+$P967*BI967</f>
        <v>0</v>
      </c>
      <c r="X967" s="5">
        <f>+$P967*BJ967</f>
        <v>0</v>
      </c>
      <c r="Y967" s="5">
        <f>+$P967*BK967</f>
        <v>0</v>
      </c>
      <c r="Z967" s="5">
        <f>+$P967*BL967</f>
        <v>0</v>
      </c>
      <c r="AA967" s="5">
        <f>+$P967*BM967</f>
        <v>0</v>
      </c>
      <c r="AB967" s="5">
        <f>+$P967*BN967</f>
        <v>0</v>
      </c>
      <c r="AC967" s="5">
        <v>0</v>
      </c>
      <c r="AD967" s="5">
        <f>+$AC967*BC967</f>
        <v>0</v>
      </c>
      <c r="AE967" s="5">
        <f>+$AC967*BD967</f>
        <v>0</v>
      </c>
      <c r="AF967" s="5">
        <f>+$AC967*BE967</f>
        <v>0</v>
      </c>
      <c r="AG967" s="5">
        <f>+$AC967*BF967</f>
        <v>0</v>
      </c>
      <c r="AH967" s="5">
        <f>+$AC967*BG967</f>
        <v>0</v>
      </c>
      <c r="AI967" s="5">
        <f>+$AC967*BH967</f>
        <v>0</v>
      </c>
      <c r="AJ967" s="5">
        <f>+$AC967*BI967</f>
        <v>0</v>
      </c>
      <c r="AK967" s="5">
        <f>+$AC967*BJ967</f>
        <v>0</v>
      </c>
      <c r="AL967" s="5">
        <f>+$AC967*BK967</f>
        <v>0</v>
      </c>
      <c r="AM967" s="5">
        <f>+$AC967*BL967</f>
        <v>0</v>
      </c>
      <c r="AN967" s="5">
        <f>+$AC967*BM967</f>
        <v>0</v>
      </c>
      <c r="AO967" s="5">
        <f>+$AC967*BN967</f>
        <v>0</v>
      </c>
      <c r="AP967" s="5">
        <f>+AC967+P967+C967</f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2">
        <v>8.9181565948742242E-2</v>
      </c>
      <c r="BD967" s="2">
        <v>0.10665277883445198</v>
      </c>
      <c r="BE967" s="2">
        <v>9.438849084854764E-2</v>
      </c>
      <c r="BF967" s="2">
        <v>7.149564986855049E-2</v>
      </c>
      <c r="BG967" s="2">
        <v>0.10368571810536763</v>
      </c>
      <c r="BH967" s="2">
        <v>8.4970330952544637E-2</v>
      </c>
      <c r="BI967" s="2">
        <v>8.4593878877262704E-2</v>
      </c>
      <c r="BJ967" s="2">
        <v>5.7447105462779965E-2</v>
      </c>
      <c r="BK967" s="2">
        <v>8.5153852345557474E-2</v>
      </c>
      <c r="BL967" s="2">
        <v>7.4158058913035174E-2</v>
      </c>
      <c r="BM967" s="2">
        <v>7.5718189192107169E-2</v>
      </c>
      <c r="BN967" s="2">
        <v>7.3955559365675619E-2</v>
      </c>
    </row>
    <row r="968" spans="1:66" x14ac:dyDescent="0.25">
      <c r="A968" s="8">
        <v>20512</v>
      </c>
      <c r="B968" s="8" t="s">
        <v>28</v>
      </c>
      <c r="C968" s="5">
        <v>0</v>
      </c>
      <c r="D968" s="5">
        <f>+$C968*BC968</f>
        <v>0</v>
      </c>
      <c r="E968" s="5">
        <f>+$C968*BD968</f>
        <v>0</v>
      </c>
      <c r="F968" s="5">
        <f>+$C968*BE968</f>
        <v>0</v>
      </c>
      <c r="G968" s="5">
        <f>+$C968*BF968</f>
        <v>0</v>
      </c>
      <c r="H968" s="5">
        <f>+$C968*BG968</f>
        <v>0</v>
      </c>
      <c r="I968" s="5">
        <f>+$C968*BH968</f>
        <v>0</v>
      </c>
      <c r="J968" s="5">
        <f>+$C968*BI968</f>
        <v>0</v>
      </c>
      <c r="K968" s="5">
        <f>+$C968*BJ968</f>
        <v>0</v>
      </c>
      <c r="L968" s="5">
        <f>+$C968*BK968</f>
        <v>0</v>
      </c>
      <c r="M968" s="5">
        <f>+$C968*BL968</f>
        <v>0</v>
      </c>
      <c r="N968" s="5">
        <f>+$C968*BM968</f>
        <v>0</v>
      </c>
      <c r="O968" s="5">
        <f>+$C968*BN968</f>
        <v>0</v>
      </c>
      <c r="P968" s="5">
        <v>0</v>
      </c>
      <c r="Q968" s="5">
        <f>+$P968*BC968</f>
        <v>0</v>
      </c>
      <c r="R968" s="5">
        <f>+$P968*BD968</f>
        <v>0</v>
      </c>
      <c r="S968" s="5">
        <f>+$P968*BE968</f>
        <v>0</v>
      </c>
      <c r="T968" s="5">
        <f>+$P968*BF968</f>
        <v>0</v>
      </c>
      <c r="U968" s="5">
        <f>+$P968*BG968</f>
        <v>0</v>
      </c>
      <c r="V968" s="5">
        <f>+$P968*BH968</f>
        <v>0</v>
      </c>
      <c r="W968" s="5">
        <f>+$P968*BI968</f>
        <v>0</v>
      </c>
      <c r="X968" s="5">
        <f>+$P968*BJ968</f>
        <v>0</v>
      </c>
      <c r="Y968" s="5">
        <f>+$P968*BK968</f>
        <v>0</v>
      </c>
      <c r="Z968" s="5">
        <f>+$P968*BL968</f>
        <v>0</v>
      </c>
      <c r="AA968" s="5">
        <f>+$P968*BM968</f>
        <v>0</v>
      </c>
      <c r="AB968" s="5">
        <f>+$P968*BN968</f>
        <v>0</v>
      </c>
      <c r="AC968" s="5">
        <v>0</v>
      </c>
      <c r="AD968" s="5">
        <f>+$AC968*BC968</f>
        <v>0</v>
      </c>
      <c r="AE968" s="5">
        <f>+$AC968*BD968</f>
        <v>0</v>
      </c>
      <c r="AF968" s="5">
        <f>+$AC968*BE968</f>
        <v>0</v>
      </c>
      <c r="AG968" s="5">
        <f>+$AC968*BF968</f>
        <v>0</v>
      </c>
      <c r="AH968" s="5">
        <f>+$AC968*BG968</f>
        <v>0</v>
      </c>
      <c r="AI968" s="5">
        <f>+$AC968*BH968</f>
        <v>0</v>
      </c>
      <c r="AJ968" s="5">
        <f>+$AC968*BI968</f>
        <v>0</v>
      </c>
      <c r="AK968" s="5">
        <f>+$AC968*BJ968</f>
        <v>0</v>
      </c>
      <c r="AL968" s="5">
        <f>+$AC968*BK968</f>
        <v>0</v>
      </c>
      <c r="AM968" s="5">
        <f>+$AC968*BL968</f>
        <v>0</v>
      </c>
      <c r="AN968" s="5">
        <f>+$AC968*BM968</f>
        <v>0</v>
      </c>
      <c r="AO968" s="5">
        <f>+$AC968*BN968</f>
        <v>0</v>
      </c>
      <c r="AP968" s="5">
        <f>+AC968+P968+C968</f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2">
        <v>8.9181565948742242E-2</v>
      </c>
      <c r="BD968" s="2">
        <v>0.10665277883445198</v>
      </c>
      <c r="BE968" s="2">
        <v>9.438849084854764E-2</v>
      </c>
      <c r="BF968" s="2">
        <v>7.149564986855049E-2</v>
      </c>
      <c r="BG968" s="2">
        <v>0.10368571810536763</v>
      </c>
      <c r="BH968" s="2">
        <v>8.4970330952544637E-2</v>
      </c>
      <c r="BI968" s="2">
        <v>8.4593878877262704E-2</v>
      </c>
      <c r="BJ968" s="2">
        <v>5.7447105462779965E-2</v>
      </c>
      <c r="BK968" s="2">
        <v>8.5153852345557474E-2</v>
      </c>
      <c r="BL968" s="2">
        <v>7.4158058913035174E-2</v>
      </c>
      <c r="BM968" s="2">
        <v>7.5718189192107169E-2</v>
      </c>
      <c r="BN968" s="2">
        <v>7.3955559365675619E-2</v>
      </c>
    </row>
    <row r="969" spans="1:66" x14ac:dyDescent="0.25">
      <c r="A969" s="8">
        <v>20940</v>
      </c>
      <c r="B969" s="8" t="s">
        <v>27</v>
      </c>
      <c r="C969" s="5">
        <v>0</v>
      </c>
      <c r="D969" s="5">
        <f>+$C969*BC969</f>
        <v>0</v>
      </c>
      <c r="E969" s="5">
        <f>+$C969*BD969</f>
        <v>0</v>
      </c>
      <c r="F969" s="5">
        <f>+$C969*BE969</f>
        <v>0</v>
      </c>
      <c r="G969" s="5">
        <f>+$C969*BF969</f>
        <v>0</v>
      </c>
      <c r="H969" s="5">
        <f>+$C969*BG969</f>
        <v>0</v>
      </c>
      <c r="I969" s="5">
        <f>+$C969*BH969</f>
        <v>0</v>
      </c>
      <c r="J969" s="5">
        <f>+$C969*BI969</f>
        <v>0</v>
      </c>
      <c r="K969" s="5">
        <f>+$C969*BJ969</f>
        <v>0</v>
      </c>
      <c r="L969" s="5">
        <f>+$C969*BK969</f>
        <v>0</v>
      </c>
      <c r="M969" s="5">
        <f>+$C969*BL969</f>
        <v>0</v>
      </c>
      <c r="N969" s="5">
        <f>+$C969*BM969</f>
        <v>0</v>
      </c>
      <c r="O969" s="5">
        <f>+$C969*BN969</f>
        <v>0</v>
      </c>
      <c r="P969" s="5">
        <v>0</v>
      </c>
      <c r="Q969" s="5">
        <f>+$P969*BC969</f>
        <v>0</v>
      </c>
      <c r="R969" s="5">
        <f>+$P969*BD969</f>
        <v>0</v>
      </c>
      <c r="S969" s="5">
        <f>+$P969*BE969</f>
        <v>0</v>
      </c>
      <c r="T969" s="5">
        <f>+$P969*BF969</f>
        <v>0</v>
      </c>
      <c r="U969" s="5">
        <f>+$P969*BG969</f>
        <v>0</v>
      </c>
      <c r="V969" s="5">
        <f>+$P969*BH969</f>
        <v>0</v>
      </c>
      <c r="W969" s="5">
        <f>+$P969*BI969</f>
        <v>0</v>
      </c>
      <c r="X969" s="5">
        <f>+$P969*BJ969</f>
        <v>0</v>
      </c>
      <c r="Y969" s="5">
        <f>+$P969*BK969</f>
        <v>0</v>
      </c>
      <c r="Z969" s="5">
        <f>+$P969*BL969</f>
        <v>0</v>
      </c>
      <c r="AA969" s="5">
        <f>+$P969*BM969</f>
        <v>0</v>
      </c>
      <c r="AB969" s="5">
        <f>+$P969*BN969</f>
        <v>0</v>
      </c>
      <c r="AC969" s="5">
        <v>0</v>
      </c>
      <c r="AD969" s="5">
        <f>+$AC969*BC969</f>
        <v>0</v>
      </c>
      <c r="AE969" s="5">
        <f>+$AC969*BD969</f>
        <v>0</v>
      </c>
      <c r="AF969" s="5">
        <f>+$AC969*BE969</f>
        <v>0</v>
      </c>
      <c r="AG969" s="5">
        <f>+$AC969*BF969</f>
        <v>0</v>
      </c>
      <c r="AH969" s="5">
        <f>+$AC969*BG969</f>
        <v>0</v>
      </c>
      <c r="AI969" s="5">
        <f>+$AC969*BH969</f>
        <v>0</v>
      </c>
      <c r="AJ969" s="5">
        <f>+$AC969*BI969</f>
        <v>0</v>
      </c>
      <c r="AK969" s="5">
        <f>+$AC969*BJ969</f>
        <v>0</v>
      </c>
      <c r="AL969" s="5">
        <f>+$AC969*BK969</f>
        <v>0</v>
      </c>
      <c r="AM969" s="5">
        <f>+$AC969*BL969</f>
        <v>0</v>
      </c>
      <c r="AN969" s="5">
        <f>+$AC969*BM969</f>
        <v>0</v>
      </c>
      <c r="AO969" s="5">
        <f>+$AC969*BN969</f>
        <v>0</v>
      </c>
      <c r="AP969" s="5">
        <f>+AC969+P969+C969</f>
        <v>0</v>
      </c>
      <c r="AQ969" s="1">
        <v>11.605197176909828</v>
      </c>
      <c r="AR969" s="1">
        <v>13.878726109727236</v>
      </c>
      <c r="AS969" s="1">
        <v>12.282774314121504</v>
      </c>
      <c r="AT969" s="1">
        <v>9.3037289173944746</v>
      </c>
      <c r="AU969" s="1">
        <v>13.492622497051489</v>
      </c>
      <c r="AV969" s="1">
        <v>11.057189166854632</v>
      </c>
      <c r="AW969" s="1">
        <v>11.008201458298196</v>
      </c>
      <c r="AX969" s="1">
        <v>7.4755918338715563</v>
      </c>
      <c r="AY969" s="1">
        <v>11.081070805727393</v>
      </c>
      <c r="AZ969" s="1">
        <v>9.6501882063532669</v>
      </c>
      <c r="BA969" s="1">
        <v>9.8532079595689055</v>
      </c>
      <c r="BB969" s="1">
        <v>9.6238369402553676</v>
      </c>
      <c r="BC969" s="2">
        <v>8.9181565948742242E-2</v>
      </c>
      <c r="BD969" s="2">
        <v>0.10665277883445198</v>
      </c>
      <c r="BE969" s="2">
        <v>9.438849084854764E-2</v>
      </c>
      <c r="BF969" s="2">
        <v>7.149564986855049E-2</v>
      </c>
      <c r="BG969" s="2">
        <v>0.10368571810536763</v>
      </c>
      <c r="BH969" s="2">
        <v>8.4970330952544637E-2</v>
      </c>
      <c r="BI969" s="2">
        <v>8.4593878877262704E-2</v>
      </c>
      <c r="BJ969" s="2">
        <v>5.7447105462779965E-2</v>
      </c>
      <c r="BK969" s="2">
        <v>8.5153852345557474E-2</v>
      </c>
      <c r="BL969" s="2">
        <v>7.4158058913035174E-2</v>
      </c>
      <c r="BM969" s="2">
        <v>7.5718189192107169E-2</v>
      </c>
      <c r="BN969" s="2">
        <v>7.3955559365675619E-2</v>
      </c>
    </row>
    <row r="970" spans="1:66" x14ac:dyDescent="0.25">
      <c r="A970" s="8">
        <v>22400</v>
      </c>
      <c r="B970" s="8" t="s">
        <v>26</v>
      </c>
      <c r="C970" s="5">
        <v>0</v>
      </c>
      <c r="D970" s="5">
        <f>+$C970*BC970</f>
        <v>0</v>
      </c>
      <c r="E970" s="5">
        <f>+$C970*BD970</f>
        <v>0</v>
      </c>
      <c r="F970" s="5">
        <f>+$C970*BE970</f>
        <v>0</v>
      </c>
      <c r="G970" s="5">
        <f>+$C970*BF970</f>
        <v>0</v>
      </c>
      <c r="H970" s="5">
        <f>+$C970*BG970</f>
        <v>0</v>
      </c>
      <c r="I970" s="5">
        <f>+$C970*BH970</f>
        <v>0</v>
      </c>
      <c r="J970" s="5">
        <f>+$C970*BI970</f>
        <v>0</v>
      </c>
      <c r="K970" s="5">
        <f>+$C970*BJ970</f>
        <v>0</v>
      </c>
      <c r="L970" s="5">
        <f>+$C970*BK970</f>
        <v>0</v>
      </c>
      <c r="M970" s="5">
        <f>+$C970*BL970</f>
        <v>0</v>
      </c>
      <c r="N970" s="5">
        <f>+$C970*BM970</f>
        <v>0</v>
      </c>
      <c r="O970" s="5">
        <f>+$C970*BN970</f>
        <v>0</v>
      </c>
      <c r="P970" s="5">
        <v>0</v>
      </c>
      <c r="Q970" s="5">
        <f>+$P970*BC970</f>
        <v>0</v>
      </c>
      <c r="R970" s="5">
        <f>+$P970*BD970</f>
        <v>0</v>
      </c>
      <c r="S970" s="5">
        <f>+$P970*BE970</f>
        <v>0</v>
      </c>
      <c r="T970" s="5">
        <f>+$P970*BF970</f>
        <v>0</v>
      </c>
      <c r="U970" s="5">
        <f>+$P970*BG970</f>
        <v>0</v>
      </c>
      <c r="V970" s="5">
        <f>+$P970*BH970</f>
        <v>0</v>
      </c>
      <c r="W970" s="5">
        <f>+$P970*BI970</f>
        <v>0</v>
      </c>
      <c r="X970" s="5">
        <f>+$P970*BJ970</f>
        <v>0</v>
      </c>
      <c r="Y970" s="5">
        <f>+$P970*BK970</f>
        <v>0</v>
      </c>
      <c r="Z970" s="5">
        <f>+$P970*BL970</f>
        <v>0</v>
      </c>
      <c r="AA970" s="5">
        <f>+$P970*BM970</f>
        <v>0</v>
      </c>
      <c r="AB970" s="5">
        <f>+$P970*BN970</f>
        <v>0</v>
      </c>
      <c r="AC970" s="5">
        <v>0</v>
      </c>
      <c r="AD970" s="5">
        <f>+$AC970*BC970</f>
        <v>0</v>
      </c>
      <c r="AE970" s="5">
        <f>+$AC970*BD970</f>
        <v>0</v>
      </c>
      <c r="AF970" s="5">
        <f>+$AC970*BE970</f>
        <v>0</v>
      </c>
      <c r="AG970" s="5">
        <f>+$AC970*BF970</f>
        <v>0</v>
      </c>
      <c r="AH970" s="5">
        <f>+$AC970*BG970</f>
        <v>0</v>
      </c>
      <c r="AI970" s="5">
        <f>+$AC970*BH970</f>
        <v>0</v>
      </c>
      <c r="AJ970" s="5">
        <f>+$AC970*BI970</f>
        <v>0</v>
      </c>
      <c r="AK970" s="5">
        <f>+$AC970*BJ970</f>
        <v>0</v>
      </c>
      <c r="AL970" s="5">
        <f>+$AC970*BK970</f>
        <v>0</v>
      </c>
      <c r="AM970" s="5">
        <f>+$AC970*BL970</f>
        <v>0</v>
      </c>
      <c r="AN970" s="5">
        <f>+$AC970*BM970</f>
        <v>0</v>
      </c>
      <c r="AO970" s="5">
        <f>+$AC970*BN970</f>
        <v>0</v>
      </c>
      <c r="AP970" s="5">
        <f>+AC970+P970+C970</f>
        <v>0</v>
      </c>
      <c r="AQ970" s="1">
        <v>12.772583875178867</v>
      </c>
      <c r="AR970" s="1">
        <v>15.274810984670216</v>
      </c>
      <c r="AS970" s="1">
        <v>13.518319659328995</v>
      </c>
      <c r="AT970" s="1">
        <v>10.239606974173803</v>
      </c>
      <c r="AU970" s="1">
        <v>14.849868547050754</v>
      </c>
      <c r="AV970" s="1">
        <v>12.169450799023446</v>
      </c>
      <c r="AW970" s="1">
        <v>12.115535332801567</v>
      </c>
      <c r="AX970" s="1">
        <v>8.2275744443793482</v>
      </c>
      <c r="AY970" s="1">
        <v>12.195734732930744</v>
      </c>
      <c r="AZ970" s="1">
        <v>10.6209171975249</v>
      </c>
      <c r="BA970" s="1">
        <v>10.844359056093591</v>
      </c>
      <c r="BB970" s="1">
        <v>10.591915212352065</v>
      </c>
      <c r="BC970" s="2">
        <v>8.9181565948742242E-2</v>
      </c>
      <c r="BD970" s="2">
        <v>0.10665277883445198</v>
      </c>
      <c r="BE970" s="2">
        <v>9.438849084854764E-2</v>
      </c>
      <c r="BF970" s="2">
        <v>7.149564986855049E-2</v>
      </c>
      <c r="BG970" s="2">
        <v>0.10368571810536763</v>
      </c>
      <c r="BH970" s="2">
        <v>8.4970330952544637E-2</v>
      </c>
      <c r="BI970" s="2">
        <v>8.4593878877262704E-2</v>
      </c>
      <c r="BJ970" s="2">
        <v>5.7447105462779965E-2</v>
      </c>
      <c r="BK970" s="2">
        <v>8.5153852345557474E-2</v>
      </c>
      <c r="BL970" s="2">
        <v>7.4158058913035174E-2</v>
      </c>
      <c r="BM970" s="2">
        <v>7.5718189192107169E-2</v>
      </c>
      <c r="BN970" s="2">
        <v>7.3955559365675619E-2</v>
      </c>
    </row>
    <row r="971" spans="1:66" x14ac:dyDescent="0.25">
      <c r="A971" s="8">
        <v>22418</v>
      </c>
      <c r="B971" s="8" t="s">
        <v>25</v>
      </c>
      <c r="C971" s="5">
        <v>0</v>
      </c>
      <c r="D971" s="5">
        <f>+$C971*BC971</f>
        <v>0</v>
      </c>
      <c r="E971" s="5">
        <f>+$C971*BD971</f>
        <v>0</v>
      </c>
      <c r="F971" s="5">
        <f>+$C971*BE971</f>
        <v>0</v>
      </c>
      <c r="G971" s="5">
        <f>+$C971*BF971</f>
        <v>0</v>
      </c>
      <c r="H971" s="5">
        <f>+$C971*BG971</f>
        <v>0</v>
      </c>
      <c r="I971" s="5">
        <f>+$C971*BH971</f>
        <v>0</v>
      </c>
      <c r="J971" s="5">
        <f>+$C971*BI971</f>
        <v>0</v>
      </c>
      <c r="K971" s="5">
        <f>+$C971*BJ971</f>
        <v>0</v>
      </c>
      <c r="L971" s="5">
        <f>+$C971*BK971</f>
        <v>0</v>
      </c>
      <c r="M971" s="5">
        <f>+$C971*BL971</f>
        <v>0</v>
      </c>
      <c r="N971" s="5">
        <f>+$C971*BM971</f>
        <v>0</v>
      </c>
      <c r="O971" s="5">
        <f>+$C971*BN971</f>
        <v>0</v>
      </c>
      <c r="P971" s="5">
        <v>0</v>
      </c>
      <c r="Q971" s="5">
        <f>+$P971*BC971</f>
        <v>0</v>
      </c>
      <c r="R971" s="5">
        <f>+$P971*BD971</f>
        <v>0</v>
      </c>
      <c r="S971" s="5">
        <f>+$P971*BE971</f>
        <v>0</v>
      </c>
      <c r="T971" s="5">
        <f>+$P971*BF971</f>
        <v>0</v>
      </c>
      <c r="U971" s="5">
        <f>+$P971*BG971</f>
        <v>0</v>
      </c>
      <c r="V971" s="5">
        <f>+$P971*BH971</f>
        <v>0</v>
      </c>
      <c r="W971" s="5">
        <f>+$P971*BI971</f>
        <v>0</v>
      </c>
      <c r="X971" s="5">
        <f>+$P971*BJ971</f>
        <v>0</v>
      </c>
      <c r="Y971" s="5">
        <f>+$P971*BK971</f>
        <v>0</v>
      </c>
      <c r="Z971" s="5">
        <f>+$P971*BL971</f>
        <v>0</v>
      </c>
      <c r="AA971" s="5">
        <f>+$P971*BM971</f>
        <v>0</v>
      </c>
      <c r="AB971" s="5">
        <f>+$P971*BN971</f>
        <v>0</v>
      </c>
      <c r="AC971" s="5">
        <v>0</v>
      </c>
      <c r="AD971" s="5">
        <f>+$AC971*BC971</f>
        <v>0</v>
      </c>
      <c r="AE971" s="5">
        <f>+$AC971*BD971</f>
        <v>0</v>
      </c>
      <c r="AF971" s="5">
        <f>+$AC971*BE971</f>
        <v>0</v>
      </c>
      <c r="AG971" s="5">
        <f>+$AC971*BF971</f>
        <v>0</v>
      </c>
      <c r="AH971" s="5">
        <f>+$AC971*BG971</f>
        <v>0</v>
      </c>
      <c r="AI971" s="5">
        <f>+$AC971*BH971</f>
        <v>0</v>
      </c>
      <c r="AJ971" s="5">
        <f>+$AC971*BI971</f>
        <v>0</v>
      </c>
      <c r="AK971" s="5">
        <f>+$AC971*BJ971</f>
        <v>0</v>
      </c>
      <c r="AL971" s="5">
        <f>+$AC971*BK971</f>
        <v>0</v>
      </c>
      <c r="AM971" s="5">
        <f>+$AC971*BL971</f>
        <v>0</v>
      </c>
      <c r="AN971" s="5">
        <f>+$AC971*BM971</f>
        <v>0</v>
      </c>
      <c r="AO971" s="5">
        <f>+$AC971*BN971</f>
        <v>0</v>
      </c>
      <c r="AP971" s="5">
        <f>+AC971+P971+C971</f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2">
        <v>8.9181565948742242E-2</v>
      </c>
      <c r="BD971" s="2">
        <v>0.10665277883445198</v>
      </c>
      <c r="BE971" s="2">
        <v>9.438849084854764E-2</v>
      </c>
      <c r="BF971" s="2">
        <v>7.149564986855049E-2</v>
      </c>
      <c r="BG971" s="2">
        <v>0.10368571810536763</v>
      </c>
      <c r="BH971" s="2">
        <v>8.4970330952544637E-2</v>
      </c>
      <c r="BI971" s="2">
        <v>8.4593878877262704E-2</v>
      </c>
      <c r="BJ971" s="2">
        <v>5.7447105462779965E-2</v>
      </c>
      <c r="BK971" s="2">
        <v>8.5153852345557474E-2</v>
      </c>
      <c r="BL971" s="2">
        <v>7.4158058913035174E-2</v>
      </c>
      <c r="BM971" s="2">
        <v>7.5718189192107169E-2</v>
      </c>
      <c r="BN971" s="2">
        <v>7.3955559365675619E-2</v>
      </c>
    </row>
    <row r="972" spans="1:66" x14ac:dyDescent="0.25">
      <c r="A972" s="8">
        <v>23120</v>
      </c>
      <c r="B972" s="8" t="s">
        <v>24</v>
      </c>
      <c r="C972" s="5">
        <v>0</v>
      </c>
      <c r="D972" s="5">
        <f>+$C972*BC972</f>
        <v>0</v>
      </c>
      <c r="E972" s="5">
        <f>+$C972*BD972</f>
        <v>0</v>
      </c>
      <c r="F972" s="5">
        <f>+$C972*BE972</f>
        <v>0</v>
      </c>
      <c r="G972" s="5">
        <f>+$C972*BF972</f>
        <v>0</v>
      </c>
      <c r="H972" s="5">
        <f>+$C972*BG972</f>
        <v>0</v>
      </c>
      <c r="I972" s="5">
        <f>+$C972*BH972</f>
        <v>0</v>
      </c>
      <c r="J972" s="5">
        <f>+$C972*BI972</f>
        <v>0</v>
      </c>
      <c r="K972" s="5">
        <f>+$C972*BJ972</f>
        <v>0</v>
      </c>
      <c r="L972" s="5">
        <f>+$C972*BK972</f>
        <v>0</v>
      </c>
      <c r="M972" s="5">
        <f>+$C972*BL972</f>
        <v>0</v>
      </c>
      <c r="N972" s="5">
        <f>+$C972*BM972</f>
        <v>0</v>
      </c>
      <c r="O972" s="5">
        <f>+$C972*BN972</f>
        <v>0</v>
      </c>
      <c r="P972" s="5">
        <v>0</v>
      </c>
      <c r="Q972" s="5">
        <f>+$P972*BC972</f>
        <v>0</v>
      </c>
      <c r="R972" s="5">
        <f>+$P972*BD972</f>
        <v>0</v>
      </c>
      <c r="S972" s="5">
        <f>+$P972*BE972</f>
        <v>0</v>
      </c>
      <c r="T972" s="5">
        <f>+$P972*BF972</f>
        <v>0</v>
      </c>
      <c r="U972" s="5">
        <f>+$P972*BG972</f>
        <v>0</v>
      </c>
      <c r="V972" s="5">
        <f>+$P972*BH972</f>
        <v>0</v>
      </c>
      <c r="W972" s="5">
        <f>+$P972*BI972</f>
        <v>0</v>
      </c>
      <c r="X972" s="5">
        <f>+$P972*BJ972</f>
        <v>0</v>
      </c>
      <c r="Y972" s="5">
        <f>+$P972*BK972</f>
        <v>0</v>
      </c>
      <c r="Z972" s="5">
        <f>+$P972*BL972</f>
        <v>0</v>
      </c>
      <c r="AA972" s="5">
        <f>+$P972*BM972</f>
        <v>0</v>
      </c>
      <c r="AB972" s="5">
        <f>+$P972*BN972</f>
        <v>0</v>
      </c>
      <c r="AC972" s="5">
        <v>0</v>
      </c>
      <c r="AD972" s="5">
        <f>+$AC972*BC972</f>
        <v>0</v>
      </c>
      <c r="AE972" s="5">
        <f>+$AC972*BD972</f>
        <v>0</v>
      </c>
      <c r="AF972" s="5">
        <f>+$AC972*BE972</f>
        <v>0</v>
      </c>
      <c r="AG972" s="5">
        <f>+$AC972*BF972</f>
        <v>0</v>
      </c>
      <c r="AH972" s="5">
        <f>+$AC972*BG972</f>
        <v>0</v>
      </c>
      <c r="AI972" s="5">
        <f>+$AC972*BH972</f>
        <v>0</v>
      </c>
      <c r="AJ972" s="5">
        <f>+$AC972*BI972</f>
        <v>0</v>
      </c>
      <c r="AK972" s="5">
        <f>+$AC972*BJ972</f>
        <v>0</v>
      </c>
      <c r="AL972" s="5">
        <f>+$AC972*BK972</f>
        <v>0</v>
      </c>
      <c r="AM972" s="5">
        <f>+$AC972*BL972</f>
        <v>0</v>
      </c>
      <c r="AN972" s="5">
        <f>+$AC972*BM972</f>
        <v>0</v>
      </c>
      <c r="AO972" s="5">
        <f>+$AC972*BN972</f>
        <v>0</v>
      </c>
      <c r="AP972" s="5">
        <f>+AC972+P972+C972</f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2">
        <v>8.9181565948742242E-2</v>
      </c>
      <c r="BD972" s="2">
        <v>0.10665277883445198</v>
      </c>
      <c r="BE972" s="2">
        <v>9.438849084854764E-2</v>
      </c>
      <c r="BF972" s="2">
        <v>7.149564986855049E-2</v>
      </c>
      <c r="BG972" s="2">
        <v>0.10368571810536763</v>
      </c>
      <c r="BH972" s="2">
        <v>8.4970330952544637E-2</v>
      </c>
      <c r="BI972" s="2">
        <v>8.4593878877262704E-2</v>
      </c>
      <c r="BJ972" s="2">
        <v>5.7447105462779965E-2</v>
      </c>
      <c r="BK972" s="2">
        <v>8.5153852345557474E-2</v>
      </c>
      <c r="BL972" s="2">
        <v>7.4158058913035174E-2</v>
      </c>
      <c r="BM972" s="2">
        <v>7.5718189192107169E-2</v>
      </c>
      <c r="BN972" s="2">
        <v>7.3955559365675619E-2</v>
      </c>
    </row>
    <row r="973" spans="1:66" x14ac:dyDescent="0.25">
      <c r="A973" s="8">
        <v>23201</v>
      </c>
      <c r="B973" s="8" t="s">
        <v>23</v>
      </c>
      <c r="C973" s="5">
        <v>0</v>
      </c>
      <c r="D973" s="5">
        <f>+$C973*BC973</f>
        <v>0</v>
      </c>
      <c r="E973" s="5">
        <f>+$C973*BD973</f>
        <v>0</v>
      </c>
      <c r="F973" s="5">
        <f>+$C973*BE973</f>
        <v>0</v>
      </c>
      <c r="G973" s="5">
        <f>+$C973*BF973</f>
        <v>0</v>
      </c>
      <c r="H973" s="5">
        <f>+$C973*BG973</f>
        <v>0</v>
      </c>
      <c r="I973" s="5">
        <f>+$C973*BH973</f>
        <v>0</v>
      </c>
      <c r="J973" s="5">
        <f>+$C973*BI973</f>
        <v>0</v>
      </c>
      <c r="K973" s="5">
        <f>+$C973*BJ973</f>
        <v>0</v>
      </c>
      <c r="L973" s="5">
        <f>+$C973*BK973</f>
        <v>0</v>
      </c>
      <c r="M973" s="5">
        <f>+$C973*BL973</f>
        <v>0</v>
      </c>
      <c r="N973" s="5">
        <f>+$C973*BM973</f>
        <v>0</v>
      </c>
      <c r="O973" s="5">
        <f>+$C973*BN973</f>
        <v>0</v>
      </c>
      <c r="P973" s="5">
        <v>500</v>
      </c>
      <c r="Q973" s="5">
        <f>+$P973*BC973</f>
        <v>44.590782974371123</v>
      </c>
      <c r="R973" s="5">
        <f>+$P973*BD973</f>
        <v>53.32638941722599</v>
      </c>
      <c r="S973" s="5">
        <f>+$P973*BE973</f>
        <v>47.194245424273824</v>
      </c>
      <c r="T973" s="5">
        <f>+$P973*BF973</f>
        <v>35.747824934275243</v>
      </c>
      <c r="U973" s="5">
        <f>+$P973*BG973</f>
        <v>51.842859052683814</v>
      </c>
      <c r="V973" s="5">
        <f>+$P973*BH973</f>
        <v>42.485165476272321</v>
      </c>
      <c r="W973" s="5">
        <f>+$P973*BI973</f>
        <v>42.296939438631355</v>
      </c>
      <c r="X973" s="5">
        <f>+$P973*BJ973</f>
        <v>28.723552731389983</v>
      </c>
      <c r="Y973" s="5">
        <f>+$P973*BK973</f>
        <v>42.576926172778734</v>
      </c>
      <c r="Z973" s="5">
        <f>+$P973*BL973</f>
        <v>37.079029456517588</v>
      </c>
      <c r="AA973" s="5">
        <f>+$P973*BM973</f>
        <v>37.859094596053588</v>
      </c>
      <c r="AB973" s="5">
        <f>+$P973*BN973</f>
        <v>36.977779682837813</v>
      </c>
      <c r="AC973" s="5">
        <v>0</v>
      </c>
      <c r="AD973" s="5">
        <f>+$AC973*BC973</f>
        <v>0</v>
      </c>
      <c r="AE973" s="5">
        <f>+$AC973*BD973</f>
        <v>0</v>
      </c>
      <c r="AF973" s="5">
        <f>+$AC973*BE973</f>
        <v>0</v>
      </c>
      <c r="AG973" s="5">
        <f>+$AC973*BF973</f>
        <v>0</v>
      </c>
      <c r="AH973" s="5">
        <f>+$AC973*BG973</f>
        <v>0</v>
      </c>
      <c r="AI973" s="5">
        <f>+$AC973*BH973</f>
        <v>0</v>
      </c>
      <c r="AJ973" s="5">
        <f>+$AC973*BI973</f>
        <v>0</v>
      </c>
      <c r="AK973" s="5">
        <f>+$AC973*BJ973</f>
        <v>0</v>
      </c>
      <c r="AL973" s="5">
        <f>+$AC973*BK973</f>
        <v>0</v>
      </c>
      <c r="AM973" s="5">
        <f>+$AC973*BL973</f>
        <v>0</v>
      </c>
      <c r="AN973" s="5">
        <f>+$AC973*BM973</f>
        <v>0</v>
      </c>
      <c r="AO973" s="5">
        <f>+$AC973*BN973</f>
        <v>0</v>
      </c>
      <c r="AP973" s="5">
        <f>+AC973+P973+C973</f>
        <v>500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2">
        <v>8.9181565948742242E-2</v>
      </c>
      <c r="BD973" s="2">
        <v>0.10665277883445198</v>
      </c>
      <c r="BE973" s="2">
        <v>9.438849084854764E-2</v>
      </c>
      <c r="BF973" s="2">
        <v>7.149564986855049E-2</v>
      </c>
      <c r="BG973" s="2">
        <v>0.10368571810536763</v>
      </c>
      <c r="BH973" s="2">
        <v>8.4970330952544637E-2</v>
      </c>
      <c r="BI973" s="2">
        <v>8.4593878877262704E-2</v>
      </c>
      <c r="BJ973" s="2">
        <v>5.7447105462779965E-2</v>
      </c>
      <c r="BK973" s="2">
        <v>8.5153852345557474E-2</v>
      </c>
      <c r="BL973" s="2">
        <v>7.4158058913035174E-2</v>
      </c>
      <c r="BM973" s="2">
        <v>7.5718189192107169E-2</v>
      </c>
      <c r="BN973" s="2">
        <v>7.3955559365675619E-2</v>
      </c>
    </row>
    <row r="974" spans="1:66" x14ac:dyDescent="0.25">
      <c r="A974" s="8">
        <v>24150</v>
      </c>
      <c r="B974" s="8" t="s">
        <v>22</v>
      </c>
      <c r="C974" s="5">
        <v>0</v>
      </c>
      <c r="D974" s="5">
        <f>+$C974*BC974</f>
        <v>0</v>
      </c>
      <c r="E974" s="5">
        <f>+$C974*BD974</f>
        <v>0</v>
      </c>
      <c r="F974" s="5">
        <f>+$C974*BE974</f>
        <v>0</v>
      </c>
      <c r="G974" s="5">
        <f>+$C974*BF974</f>
        <v>0</v>
      </c>
      <c r="H974" s="5">
        <f>+$C974*BG974</f>
        <v>0</v>
      </c>
      <c r="I974" s="5">
        <f>+$C974*BH974</f>
        <v>0</v>
      </c>
      <c r="J974" s="5">
        <f>+$C974*BI974</f>
        <v>0</v>
      </c>
      <c r="K974" s="5">
        <f>+$C974*BJ974</f>
        <v>0</v>
      </c>
      <c r="L974" s="5">
        <f>+$C974*BK974</f>
        <v>0</v>
      </c>
      <c r="M974" s="5">
        <f>+$C974*BL974</f>
        <v>0</v>
      </c>
      <c r="N974" s="5">
        <f>+$C974*BM974</f>
        <v>0</v>
      </c>
      <c r="O974" s="5">
        <f>+$C974*BN974</f>
        <v>0</v>
      </c>
      <c r="P974" s="5">
        <v>0</v>
      </c>
      <c r="Q974" s="5">
        <f>+$P974*BC974</f>
        <v>0</v>
      </c>
      <c r="R974" s="5">
        <f>+$P974*BD974</f>
        <v>0</v>
      </c>
      <c r="S974" s="5">
        <f>+$P974*BE974</f>
        <v>0</v>
      </c>
      <c r="T974" s="5">
        <f>+$P974*BF974</f>
        <v>0</v>
      </c>
      <c r="U974" s="5">
        <f>+$P974*BG974</f>
        <v>0</v>
      </c>
      <c r="V974" s="5">
        <f>+$P974*BH974</f>
        <v>0</v>
      </c>
      <c r="W974" s="5">
        <f>+$P974*BI974</f>
        <v>0</v>
      </c>
      <c r="X974" s="5">
        <f>+$P974*BJ974</f>
        <v>0</v>
      </c>
      <c r="Y974" s="5">
        <f>+$P974*BK974</f>
        <v>0</v>
      </c>
      <c r="Z974" s="5">
        <f>+$P974*BL974</f>
        <v>0</v>
      </c>
      <c r="AA974" s="5">
        <f>+$P974*BM974</f>
        <v>0</v>
      </c>
      <c r="AB974" s="5">
        <f>+$P974*BN974</f>
        <v>0</v>
      </c>
      <c r="AC974" s="5">
        <v>0</v>
      </c>
      <c r="AD974" s="5">
        <f>+$AC974*BC974</f>
        <v>0</v>
      </c>
      <c r="AE974" s="5">
        <f>+$AC974*BD974</f>
        <v>0</v>
      </c>
      <c r="AF974" s="5">
        <f>+$AC974*BE974</f>
        <v>0</v>
      </c>
      <c r="AG974" s="5">
        <f>+$AC974*BF974</f>
        <v>0</v>
      </c>
      <c r="AH974" s="5">
        <f>+$AC974*BG974</f>
        <v>0</v>
      </c>
      <c r="AI974" s="5">
        <f>+$AC974*BH974</f>
        <v>0</v>
      </c>
      <c r="AJ974" s="5">
        <f>+$AC974*BI974</f>
        <v>0</v>
      </c>
      <c r="AK974" s="5">
        <f>+$AC974*BJ974</f>
        <v>0</v>
      </c>
      <c r="AL974" s="5">
        <f>+$AC974*BK974</f>
        <v>0</v>
      </c>
      <c r="AM974" s="5">
        <f>+$AC974*BL974</f>
        <v>0</v>
      </c>
      <c r="AN974" s="5">
        <f>+$AC974*BM974</f>
        <v>0</v>
      </c>
      <c r="AO974" s="5">
        <f>+$AC974*BN974</f>
        <v>0</v>
      </c>
      <c r="AP974" s="5">
        <f>+AC974+P974+C974</f>
        <v>0</v>
      </c>
      <c r="AQ974" s="1">
        <v>32.419996306214379</v>
      </c>
      <c r="AR974" s="1">
        <v>38.771271384130671</v>
      </c>
      <c r="AS974" s="1">
        <v>34.312859301190834</v>
      </c>
      <c r="AT974" s="1">
        <v>25.990670605414429</v>
      </c>
      <c r="AU974" s="1">
        <v>37.692661731408094</v>
      </c>
      <c r="AV974" s="1">
        <v>30.889094470516653</v>
      </c>
      <c r="AW974" s="1">
        <v>30.752243600493564</v>
      </c>
      <c r="AX974" s="1">
        <v>20.883631354673479</v>
      </c>
      <c r="AY974" s="1">
        <v>30.955809635475823</v>
      </c>
      <c r="AZ974" s="1">
        <v>26.958530840537858</v>
      </c>
      <c r="BA974" s="1">
        <v>27.525681880628341</v>
      </c>
      <c r="BB974" s="1">
        <v>26.884916585085332</v>
      </c>
      <c r="BC974" s="2">
        <v>8.9181565948742242E-2</v>
      </c>
      <c r="BD974" s="2">
        <v>0.10665277883445198</v>
      </c>
      <c r="BE974" s="2">
        <v>9.438849084854764E-2</v>
      </c>
      <c r="BF974" s="2">
        <v>7.149564986855049E-2</v>
      </c>
      <c r="BG974" s="2">
        <v>0.10368571810536763</v>
      </c>
      <c r="BH974" s="2">
        <v>8.4970330952544637E-2</v>
      </c>
      <c r="BI974" s="2">
        <v>8.4593878877262704E-2</v>
      </c>
      <c r="BJ974" s="2">
        <v>5.7447105462779965E-2</v>
      </c>
      <c r="BK974" s="2">
        <v>8.5153852345557474E-2</v>
      </c>
      <c r="BL974" s="2">
        <v>7.4158058913035174E-2</v>
      </c>
      <c r="BM974" s="2">
        <v>7.5718189192107169E-2</v>
      </c>
      <c r="BN974" s="2">
        <v>7.3955559365675619E-2</v>
      </c>
    </row>
    <row r="975" spans="1:66" x14ac:dyDescent="0.25">
      <c r="A975" s="8">
        <v>27000</v>
      </c>
      <c r="B975" s="8" t="s">
        <v>21</v>
      </c>
      <c r="C975" s="5">
        <v>0</v>
      </c>
      <c r="D975" s="5">
        <f>+$C975*BC975</f>
        <v>0</v>
      </c>
      <c r="E975" s="5">
        <f>+$C975*BD975</f>
        <v>0</v>
      </c>
      <c r="F975" s="5">
        <f>+$C975*BE975</f>
        <v>0</v>
      </c>
      <c r="G975" s="5">
        <f>+$C975*BF975</f>
        <v>0</v>
      </c>
      <c r="H975" s="5">
        <f>+$C975*BG975</f>
        <v>0</v>
      </c>
      <c r="I975" s="5">
        <f>+$C975*BH975</f>
        <v>0</v>
      </c>
      <c r="J975" s="5">
        <f>+$C975*BI975</f>
        <v>0</v>
      </c>
      <c r="K975" s="5">
        <f>+$C975*BJ975</f>
        <v>0</v>
      </c>
      <c r="L975" s="5">
        <f>+$C975*BK975</f>
        <v>0</v>
      </c>
      <c r="M975" s="5">
        <f>+$C975*BL975</f>
        <v>0</v>
      </c>
      <c r="N975" s="5">
        <f>+$C975*BM975</f>
        <v>0</v>
      </c>
      <c r="O975" s="5">
        <f>+$C975*BN975</f>
        <v>0</v>
      </c>
      <c r="P975" s="5">
        <v>0</v>
      </c>
      <c r="Q975" s="5">
        <f>+$P975*BC975</f>
        <v>0</v>
      </c>
      <c r="R975" s="5">
        <f>+$P975*BD975</f>
        <v>0</v>
      </c>
      <c r="S975" s="5">
        <f>+$P975*BE975</f>
        <v>0</v>
      </c>
      <c r="T975" s="5">
        <f>+$P975*BF975</f>
        <v>0</v>
      </c>
      <c r="U975" s="5">
        <f>+$P975*BG975</f>
        <v>0</v>
      </c>
      <c r="V975" s="5">
        <f>+$P975*BH975</f>
        <v>0</v>
      </c>
      <c r="W975" s="5">
        <f>+$P975*BI975</f>
        <v>0</v>
      </c>
      <c r="X975" s="5">
        <f>+$P975*BJ975</f>
        <v>0</v>
      </c>
      <c r="Y975" s="5">
        <f>+$P975*BK975</f>
        <v>0</v>
      </c>
      <c r="Z975" s="5">
        <f>+$P975*BL975</f>
        <v>0</v>
      </c>
      <c r="AA975" s="5">
        <f>+$P975*BM975</f>
        <v>0</v>
      </c>
      <c r="AB975" s="5">
        <f>+$P975*BN975</f>
        <v>0</v>
      </c>
      <c r="AC975" s="5">
        <v>0</v>
      </c>
      <c r="AD975" s="5">
        <f>+$AC975*BC975</f>
        <v>0</v>
      </c>
      <c r="AE975" s="5">
        <f>+$AC975*BD975</f>
        <v>0</v>
      </c>
      <c r="AF975" s="5">
        <f>+$AC975*BE975</f>
        <v>0</v>
      </c>
      <c r="AG975" s="5">
        <f>+$AC975*BF975</f>
        <v>0</v>
      </c>
      <c r="AH975" s="5">
        <f>+$AC975*BG975</f>
        <v>0</v>
      </c>
      <c r="AI975" s="5">
        <f>+$AC975*BH975</f>
        <v>0</v>
      </c>
      <c r="AJ975" s="5">
        <f>+$AC975*BI975</f>
        <v>0</v>
      </c>
      <c r="AK975" s="5">
        <f>+$AC975*BJ975</f>
        <v>0</v>
      </c>
      <c r="AL975" s="5">
        <f>+$AC975*BK975</f>
        <v>0</v>
      </c>
      <c r="AM975" s="5">
        <f>+$AC975*BL975</f>
        <v>0</v>
      </c>
      <c r="AN975" s="5">
        <f>+$AC975*BM975</f>
        <v>0</v>
      </c>
      <c r="AO975" s="5">
        <f>+$AC975*BN975</f>
        <v>0</v>
      </c>
      <c r="AP975" s="5">
        <f>+AC975+P975+C975</f>
        <v>0</v>
      </c>
      <c r="AQ975" s="1">
        <v>8.1815168601376147</v>
      </c>
      <c r="AR975" s="1">
        <v>9.784325930272626</v>
      </c>
      <c r="AS975" s="1">
        <v>8.659200150445761</v>
      </c>
      <c r="AT975" s="1">
        <v>6.5590109189408228</v>
      </c>
      <c r="AU975" s="1">
        <v>9.5121277789864269</v>
      </c>
      <c r="AV975" s="1">
        <v>7.7951781615864455</v>
      </c>
      <c r="AW975" s="1">
        <v>7.7606424482000813</v>
      </c>
      <c r="AX975" s="1">
        <v>5.2701974551554347</v>
      </c>
      <c r="AY975" s="1">
        <v>7.8120144141814434</v>
      </c>
      <c r="AZ975" s="1">
        <v>6.8032603246818475</v>
      </c>
      <c r="BA975" s="1">
        <v>6.9463866764839119</v>
      </c>
      <c r="BB975" s="1">
        <v>6.7846830162070821</v>
      </c>
      <c r="BC975" s="2">
        <v>8.9181565948742242E-2</v>
      </c>
      <c r="BD975" s="2">
        <v>0.10665277883445198</v>
      </c>
      <c r="BE975" s="2">
        <v>9.438849084854764E-2</v>
      </c>
      <c r="BF975" s="2">
        <v>7.149564986855049E-2</v>
      </c>
      <c r="BG975" s="2">
        <v>0.10368571810536763</v>
      </c>
      <c r="BH975" s="2">
        <v>8.4970330952544637E-2</v>
      </c>
      <c r="BI975" s="2">
        <v>8.4593878877262704E-2</v>
      </c>
      <c r="BJ975" s="2">
        <v>5.7447105462779965E-2</v>
      </c>
      <c r="BK975" s="2">
        <v>8.5153852345557474E-2</v>
      </c>
      <c r="BL975" s="2">
        <v>7.4158058913035174E-2</v>
      </c>
      <c r="BM975" s="2">
        <v>7.5718189192107169E-2</v>
      </c>
      <c r="BN975" s="2">
        <v>7.3955559365675619E-2</v>
      </c>
    </row>
    <row r="976" spans="1:66" x14ac:dyDescent="0.25">
      <c r="A976" s="8">
        <v>27016</v>
      </c>
      <c r="B976" s="8" t="s">
        <v>20</v>
      </c>
      <c r="C976" s="5">
        <v>0</v>
      </c>
      <c r="D976" s="5">
        <f>+$C976*BC976</f>
        <v>0</v>
      </c>
      <c r="E976" s="5">
        <f>+$C976*BD976</f>
        <v>0</v>
      </c>
      <c r="F976" s="5">
        <f>+$C976*BE976</f>
        <v>0</v>
      </c>
      <c r="G976" s="5">
        <f>+$C976*BF976</f>
        <v>0</v>
      </c>
      <c r="H976" s="5">
        <f>+$C976*BG976</f>
        <v>0</v>
      </c>
      <c r="I976" s="5">
        <f>+$C976*BH976</f>
        <v>0</v>
      </c>
      <c r="J976" s="5">
        <f>+$C976*BI976</f>
        <v>0</v>
      </c>
      <c r="K976" s="5">
        <f>+$C976*BJ976</f>
        <v>0</v>
      </c>
      <c r="L976" s="5">
        <f>+$C976*BK976</f>
        <v>0</v>
      </c>
      <c r="M976" s="5">
        <f>+$C976*BL976</f>
        <v>0</v>
      </c>
      <c r="N976" s="5">
        <f>+$C976*BM976</f>
        <v>0</v>
      </c>
      <c r="O976" s="5">
        <f>+$C976*BN976</f>
        <v>0</v>
      </c>
      <c r="P976" s="5">
        <v>0</v>
      </c>
      <c r="Q976" s="5">
        <f>+$P976*BC976</f>
        <v>0</v>
      </c>
      <c r="R976" s="5">
        <f>+$P976*BD976</f>
        <v>0</v>
      </c>
      <c r="S976" s="5">
        <f>+$P976*BE976</f>
        <v>0</v>
      </c>
      <c r="T976" s="5">
        <f>+$P976*BF976</f>
        <v>0</v>
      </c>
      <c r="U976" s="5">
        <f>+$P976*BG976</f>
        <v>0</v>
      </c>
      <c r="V976" s="5">
        <f>+$P976*BH976</f>
        <v>0</v>
      </c>
      <c r="W976" s="5">
        <f>+$P976*BI976</f>
        <v>0</v>
      </c>
      <c r="X976" s="5">
        <f>+$P976*BJ976</f>
        <v>0</v>
      </c>
      <c r="Y976" s="5">
        <f>+$P976*BK976</f>
        <v>0</v>
      </c>
      <c r="Z976" s="5">
        <f>+$P976*BL976</f>
        <v>0</v>
      </c>
      <c r="AA976" s="5">
        <f>+$P976*BM976</f>
        <v>0</v>
      </c>
      <c r="AB976" s="5">
        <f>+$P976*BN976</f>
        <v>0</v>
      </c>
      <c r="AC976" s="5">
        <v>0</v>
      </c>
      <c r="AD976" s="5">
        <f>+$AC976*BC976</f>
        <v>0</v>
      </c>
      <c r="AE976" s="5">
        <f>+$AC976*BD976</f>
        <v>0</v>
      </c>
      <c r="AF976" s="5">
        <f>+$AC976*BE976</f>
        <v>0</v>
      </c>
      <c r="AG976" s="5">
        <f>+$AC976*BF976</f>
        <v>0</v>
      </c>
      <c r="AH976" s="5">
        <f>+$AC976*BG976</f>
        <v>0</v>
      </c>
      <c r="AI976" s="5">
        <f>+$AC976*BH976</f>
        <v>0</v>
      </c>
      <c r="AJ976" s="5">
        <f>+$AC976*BI976</f>
        <v>0</v>
      </c>
      <c r="AK976" s="5">
        <f>+$AC976*BJ976</f>
        <v>0</v>
      </c>
      <c r="AL976" s="5">
        <f>+$AC976*BK976</f>
        <v>0</v>
      </c>
      <c r="AM976" s="5">
        <f>+$AC976*BL976</f>
        <v>0</v>
      </c>
      <c r="AN976" s="5">
        <f>+$AC976*BM976</f>
        <v>0</v>
      </c>
      <c r="AO976" s="5">
        <f>+$AC976*BN976</f>
        <v>0</v>
      </c>
      <c r="AP976" s="5">
        <f>+AC976+P976+C976</f>
        <v>0</v>
      </c>
      <c r="AQ976" s="1">
        <v>34.276043056739596</v>
      </c>
      <c r="AR976" s="1">
        <v>40.990929017233277</v>
      </c>
      <c r="AS976" s="1">
        <v>36.277272572730801</v>
      </c>
      <c r="AT976" s="1">
        <v>27.478638070478699</v>
      </c>
      <c r="AU976" s="1">
        <v>39.850568896616998</v>
      </c>
      <c r="AV976" s="1">
        <v>32.657496998301006</v>
      </c>
      <c r="AW976" s="1">
        <v>32.512811407687153</v>
      </c>
      <c r="AX976" s="1">
        <v>22.079220513564852</v>
      </c>
      <c r="AY976" s="1">
        <v>32.728031610491563</v>
      </c>
      <c r="AZ976" s="1">
        <v>28.501908362635941</v>
      </c>
      <c r="BA976" s="1">
        <v>29.10152883409447</v>
      </c>
      <c r="BB976" s="1">
        <v>28.424079686603768</v>
      </c>
      <c r="BC976" s="2">
        <v>8.9181565948742242E-2</v>
      </c>
      <c r="BD976" s="2">
        <v>0.10665277883445198</v>
      </c>
      <c r="BE976" s="2">
        <v>9.438849084854764E-2</v>
      </c>
      <c r="BF976" s="2">
        <v>7.149564986855049E-2</v>
      </c>
      <c r="BG976" s="2">
        <v>0.10368571810536763</v>
      </c>
      <c r="BH976" s="2">
        <v>8.4970330952544637E-2</v>
      </c>
      <c r="BI976" s="2">
        <v>8.4593878877262704E-2</v>
      </c>
      <c r="BJ976" s="2">
        <v>5.7447105462779965E-2</v>
      </c>
      <c r="BK976" s="2">
        <v>8.5153852345557474E-2</v>
      </c>
      <c r="BL976" s="2">
        <v>7.4158058913035174E-2</v>
      </c>
      <c r="BM976" s="2">
        <v>7.5718189192107169E-2</v>
      </c>
      <c r="BN976" s="2">
        <v>7.3955559365675619E-2</v>
      </c>
    </row>
    <row r="977" spans="1:66" x14ac:dyDescent="0.25">
      <c r="A977" s="8">
        <v>27028</v>
      </c>
      <c r="B977" s="8" t="s">
        <v>19</v>
      </c>
      <c r="C977" s="5">
        <v>0</v>
      </c>
      <c r="D977" s="5">
        <f>+$C977*BC977</f>
        <v>0</v>
      </c>
      <c r="E977" s="5">
        <f>+$C977*BD977</f>
        <v>0</v>
      </c>
      <c r="F977" s="5">
        <f>+$C977*BE977</f>
        <v>0</v>
      </c>
      <c r="G977" s="5">
        <f>+$C977*BF977</f>
        <v>0</v>
      </c>
      <c r="H977" s="5">
        <f>+$C977*BG977</f>
        <v>0</v>
      </c>
      <c r="I977" s="5">
        <f>+$C977*BH977</f>
        <v>0</v>
      </c>
      <c r="J977" s="5">
        <f>+$C977*BI977</f>
        <v>0</v>
      </c>
      <c r="K977" s="5">
        <f>+$C977*BJ977</f>
        <v>0</v>
      </c>
      <c r="L977" s="5">
        <f>+$C977*BK977</f>
        <v>0</v>
      </c>
      <c r="M977" s="5">
        <f>+$C977*BL977</f>
        <v>0</v>
      </c>
      <c r="N977" s="5">
        <f>+$C977*BM977</f>
        <v>0</v>
      </c>
      <c r="O977" s="5">
        <f>+$C977*BN977</f>
        <v>0</v>
      </c>
      <c r="P977" s="5">
        <v>0</v>
      </c>
      <c r="Q977" s="5">
        <f>+$P977*BC977</f>
        <v>0</v>
      </c>
      <c r="R977" s="5">
        <f>+$P977*BD977</f>
        <v>0</v>
      </c>
      <c r="S977" s="5">
        <f>+$P977*BE977</f>
        <v>0</v>
      </c>
      <c r="T977" s="5">
        <f>+$P977*BF977</f>
        <v>0</v>
      </c>
      <c r="U977" s="5">
        <f>+$P977*BG977</f>
        <v>0</v>
      </c>
      <c r="V977" s="5">
        <f>+$P977*BH977</f>
        <v>0</v>
      </c>
      <c r="W977" s="5">
        <f>+$P977*BI977</f>
        <v>0</v>
      </c>
      <c r="X977" s="5">
        <f>+$P977*BJ977</f>
        <v>0</v>
      </c>
      <c r="Y977" s="5">
        <f>+$P977*BK977</f>
        <v>0</v>
      </c>
      <c r="Z977" s="5">
        <f>+$P977*BL977</f>
        <v>0</v>
      </c>
      <c r="AA977" s="5">
        <f>+$P977*BM977</f>
        <v>0</v>
      </c>
      <c r="AB977" s="5">
        <f>+$P977*BN977</f>
        <v>0</v>
      </c>
      <c r="AC977" s="5">
        <v>0</v>
      </c>
      <c r="AD977" s="5">
        <f>+$AC977*BC977</f>
        <v>0</v>
      </c>
      <c r="AE977" s="5">
        <f>+$AC977*BD977</f>
        <v>0</v>
      </c>
      <c r="AF977" s="5">
        <f>+$AC977*BE977</f>
        <v>0</v>
      </c>
      <c r="AG977" s="5">
        <f>+$AC977*BF977</f>
        <v>0</v>
      </c>
      <c r="AH977" s="5">
        <f>+$AC977*BG977</f>
        <v>0</v>
      </c>
      <c r="AI977" s="5">
        <f>+$AC977*BH977</f>
        <v>0</v>
      </c>
      <c r="AJ977" s="5">
        <f>+$AC977*BI977</f>
        <v>0</v>
      </c>
      <c r="AK977" s="5">
        <f>+$AC977*BJ977</f>
        <v>0</v>
      </c>
      <c r="AL977" s="5">
        <f>+$AC977*BK977</f>
        <v>0</v>
      </c>
      <c r="AM977" s="5">
        <f>+$AC977*BL977</f>
        <v>0</v>
      </c>
      <c r="AN977" s="5">
        <f>+$AC977*BM977</f>
        <v>0</v>
      </c>
      <c r="AO977" s="5">
        <f>+$AC977*BN977</f>
        <v>0</v>
      </c>
      <c r="AP977" s="5">
        <f>+AC977+P977+C977</f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2">
        <v>8.9181565948742242E-2</v>
      </c>
      <c r="BD977" s="2">
        <v>0.10665277883445198</v>
      </c>
      <c r="BE977" s="2">
        <v>9.438849084854764E-2</v>
      </c>
      <c r="BF977" s="2">
        <v>7.149564986855049E-2</v>
      </c>
      <c r="BG977" s="2">
        <v>0.10368571810536763</v>
      </c>
      <c r="BH977" s="2">
        <v>8.4970330952544637E-2</v>
      </c>
      <c r="BI977" s="2">
        <v>8.4593878877262704E-2</v>
      </c>
      <c r="BJ977" s="2">
        <v>5.7447105462779965E-2</v>
      </c>
      <c r="BK977" s="2">
        <v>8.5153852345557474E-2</v>
      </c>
      <c r="BL977" s="2">
        <v>7.4158058913035174E-2</v>
      </c>
      <c r="BM977" s="2">
        <v>7.5718189192107169E-2</v>
      </c>
      <c r="BN977" s="2">
        <v>7.3955559365675619E-2</v>
      </c>
    </row>
    <row r="978" spans="1:66" x14ac:dyDescent="0.25">
      <c r="A978" s="8">
        <v>27121</v>
      </c>
      <c r="B978" s="8" t="s">
        <v>18</v>
      </c>
      <c r="C978" s="5">
        <v>0</v>
      </c>
      <c r="D978" s="5">
        <f>+$C978*BC978</f>
        <v>0</v>
      </c>
      <c r="E978" s="5">
        <f>+$C978*BD978</f>
        <v>0</v>
      </c>
      <c r="F978" s="5">
        <f>+$C978*BE978</f>
        <v>0</v>
      </c>
      <c r="G978" s="5">
        <f>+$C978*BF978</f>
        <v>0</v>
      </c>
      <c r="H978" s="5">
        <f>+$C978*BG978</f>
        <v>0</v>
      </c>
      <c r="I978" s="5">
        <f>+$C978*BH978</f>
        <v>0</v>
      </c>
      <c r="J978" s="5">
        <f>+$C978*BI978</f>
        <v>0</v>
      </c>
      <c r="K978" s="5">
        <f>+$C978*BJ978</f>
        <v>0</v>
      </c>
      <c r="L978" s="5">
        <f>+$C978*BK978</f>
        <v>0</v>
      </c>
      <c r="M978" s="5">
        <f>+$C978*BL978</f>
        <v>0</v>
      </c>
      <c r="N978" s="5">
        <f>+$C978*BM978</f>
        <v>0</v>
      </c>
      <c r="O978" s="5">
        <f>+$C978*BN978</f>
        <v>0</v>
      </c>
      <c r="P978" s="5">
        <v>0</v>
      </c>
      <c r="Q978" s="5">
        <f>+$P978*BC978</f>
        <v>0</v>
      </c>
      <c r="R978" s="5">
        <f>+$P978*BD978</f>
        <v>0</v>
      </c>
      <c r="S978" s="5">
        <f>+$P978*BE978</f>
        <v>0</v>
      </c>
      <c r="T978" s="5">
        <f>+$P978*BF978</f>
        <v>0</v>
      </c>
      <c r="U978" s="5">
        <f>+$P978*BG978</f>
        <v>0</v>
      </c>
      <c r="V978" s="5">
        <f>+$P978*BH978</f>
        <v>0</v>
      </c>
      <c r="W978" s="5">
        <f>+$P978*BI978</f>
        <v>0</v>
      </c>
      <c r="X978" s="5">
        <f>+$P978*BJ978</f>
        <v>0</v>
      </c>
      <c r="Y978" s="5">
        <f>+$P978*BK978</f>
        <v>0</v>
      </c>
      <c r="Z978" s="5">
        <f>+$P978*BL978</f>
        <v>0</v>
      </c>
      <c r="AA978" s="5">
        <f>+$P978*BM978</f>
        <v>0</v>
      </c>
      <c r="AB978" s="5">
        <f>+$P978*BN978</f>
        <v>0</v>
      </c>
      <c r="AC978" s="5">
        <v>0</v>
      </c>
      <c r="AD978" s="5">
        <f>+$AC978*BC978</f>
        <v>0</v>
      </c>
      <c r="AE978" s="5">
        <f>+$AC978*BD978</f>
        <v>0</v>
      </c>
      <c r="AF978" s="5">
        <f>+$AC978*BE978</f>
        <v>0</v>
      </c>
      <c r="AG978" s="5">
        <f>+$AC978*BF978</f>
        <v>0</v>
      </c>
      <c r="AH978" s="5">
        <f>+$AC978*BG978</f>
        <v>0</v>
      </c>
      <c r="AI978" s="5">
        <f>+$AC978*BH978</f>
        <v>0</v>
      </c>
      <c r="AJ978" s="5">
        <f>+$AC978*BI978</f>
        <v>0</v>
      </c>
      <c r="AK978" s="5">
        <f>+$AC978*BJ978</f>
        <v>0</v>
      </c>
      <c r="AL978" s="5">
        <f>+$AC978*BK978</f>
        <v>0</v>
      </c>
      <c r="AM978" s="5">
        <f>+$AC978*BL978</f>
        <v>0</v>
      </c>
      <c r="AN978" s="5">
        <f>+$AC978*BM978</f>
        <v>0</v>
      </c>
      <c r="AO978" s="5">
        <f>+$AC978*BN978</f>
        <v>0</v>
      </c>
      <c r="AP978" s="5">
        <f>+AC978+P978+C978</f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2">
        <v>8.9181565948742242E-2</v>
      </c>
      <c r="BD978" s="2">
        <v>0.10665277883445198</v>
      </c>
      <c r="BE978" s="2">
        <v>9.438849084854764E-2</v>
      </c>
      <c r="BF978" s="2">
        <v>7.149564986855049E-2</v>
      </c>
      <c r="BG978" s="2">
        <v>0.10368571810536763</v>
      </c>
      <c r="BH978" s="2">
        <v>8.4970330952544637E-2</v>
      </c>
      <c r="BI978" s="2">
        <v>8.4593878877262704E-2</v>
      </c>
      <c r="BJ978" s="2">
        <v>5.7447105462779965E-2</v>
      </c>
      <c r="BK978" s="2">
        <v>8.5153852345557474E-2</v>
      </c>
      <c r="BL978" s="2">
        <v>7.4158058913035174E-2</v>
      </c>
      <c r="BM978" s="2">
        <v>7.5718189192107169E-2</v>
      </c>
      <c r="BN978" s="2">
        <v>7.3955559365675619E-2</v>
      </c>
    </row>
    <row r="979" spans="1:66" x14ac:dyDescent="0.25">
      <c r="A979" s="8">
        <v>27126</v>
      </c>
      <c r="B979" s="8" t="s">
        <v>17</v>
      </c>
      <c r="C979" s="5">
        <v>0</v>
      </c>
      <c r="D979" s="5">
        <f>+$C979*BC979</f>
        <v>0</v>
      </c>
      <c r="E979" s="5">
        <f>+$C979*BD979</f>
        <v>0</v>
      </c>
      <c r="F979" s="5">
        <f>+$C979*BE979</f>
        <v>0</v>
      </c>
      <c r="G979" s="5">
        <f>+$C979*BF979</f>
        <v>0</v>
      </c>
      <c r="H979" s="5">
        <f>+$C979*BG979</f>
        <v>0</v>
      </c>
      <c r="I979" s="5">
        <f>+$C979*BH979</f>
        <v>0</v>
      </c>
      <c r="J979" s="5">
        <f>+$C979*BI979</f>
        <v>0</v>
      </c>
      <c r="K979" s="5">
        <f>+$C979*BJ979</f>
        <v>0</v>
      </c>
      <c r="L979" s="5">
        <f>+$C979*BK979</f>
        <v>0</v>
      </c>
      <c r="M979" s="5">
        <f>+$C979*BL979</f>
        <v>0</v>
      </c>
      <c r="N979" s="5">
        <f>+$C979*BM979</f>
        <v>0</v>
      </c>
      <c r="O979" s="5">
        <f>+$C979*BN979</f>
        <v>0</v>
      </c>
      <c r="P979" s="5">
        <v>0</v>
      </c>
      <c r="Q979" s="5">
        <f>+$P979*BC979</f>
        <v>0</v>
      </c>
      <c r="R979" s="5">
        <f>+$P979*BD979</f>
        <v>0</v>
      </c>
      <c r="S979" s="5">
        <f>+$P979*BE979</f>
        <v>0</v>
      </c>
      <c r="T979" s="5">
        <f>+$P979*BF979</f>
        <v>0</v>
      </c>
      <c r="U979" s="5">
        <f>+$P979*BG979</f>
        <v>0</v>
      </c>
      <c r="V979" s="5">
        <f>+$P979*BH979</f>
        <v>0</v>
      </c>
      <c r="W979" s="5">
        <f>+$P979*BI979</f>
        <v>0</v>
      </c>
      <c r="X979" s="5">
        <f>+$P979*BJ979</f>
        <v>0</v>
      </c>
      <c r="Y979" s="5">
        <f>+$P979*BK979</f>
        <v>0</v>
      </c>
      <c r="Z979" s="5">
        <f>+$P979*BL979</f>
        <v>0</v>
      </c>
      <c r="AA979" s="5">
        <f>+$P979*BM979</f>
        <v>0</v>
      </c>
      <c r="AB979" s="5">
        <f>+$P979*BN979</f>
        <v>0</v>
      </c>
      <c r="AC979" s="5">
        <v>0</v>
      </c>
      <c r="AD979" s="5">
        <f>+$AC979*BC979</f>
        <v>0</v>
      </c>
      <c r="AE979" s="5">
        <f>+$AC979*BD979</f>
        <v>0</v>
      </c>
      <c r="AF979" s="5">
        <f>+$AC979*BE979</f>
        <v>0</v>
      </c>
      <c r="AG979" s="5">
        <f>+$AC979*BF979</f>
        <v>0</v>
      </c>
      <c r="AH979" s="5">
        <f>+$AC979*BG979</f>
        <v>0</v>
      </c>
      <c r="AI979" s="5">
        <f>+$AC979*BH979</f>
        <v>0</v>
      </c>
      <c r="AJ979" s="5">
        <f>+$AC979*BI979</f>
        <v>0</v>
      </c>
      <c r="AK979" s="5">
        <f>+$AC979*BJ979</f>
        <v>0</v>
      </c>
      <c r="AL979" s="5">
        <f>+$AC979*BK979</f>
        <v>0</v>
      </c>
      <c r="AM979" s="5">
        <f>+$AC979*BL979</f>
        <v>0</v>
      </c>
      <c r="AN979" s="5">
        <f>+$AC979*BM979</f>
        <v>0</v>
      </c>
      <c r="AO979" s="5">
        <f>+$AC979*BN979</f>
        <v>0</v>
      </c>
      <c r="AP979" s="5">
        <f>+AC979+P979+C979</f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2">
        <v>8.9181565948742242E-2</v>
      </c>
      <c r="BD979" s="2">
        <v>0.10665277883445198</v>
      </c>
      <c r="BE979" s="2">
        <v>9.438849084854764E-2</v>
      </c>
      <c r="BF979" s="2">
        <v>7.149564986855049E-2</v>
      </c>
      <c r="BG979" s="2">
        <v>0.10368571810536763</v>
      </c>
      <c r="BH979" s="2">
        <v>8.4970330952544637E-2</v>
      </c>
      <c r="BI979" s="2">
        <v>8.4593878877262704E-2</v>
      </c>
      <c r="BJ979" s="2">
        <v>5.7447105462779965E-2</v>
      </c>
      <c r="BK979" s="2">
        <v>8.5153852345557474E-2</v>
      </c>
      <c r="BL979" s="2">
        <v>7.4158058913035174E-2</v>
      </c>
      <c r="BM979" s="2">
        <v>7.5718189192107169E-2</v>
      </c>
      <c r="BN979" s="2">
        <v>7.3955559365675619E-2</v>
      </c>
    </row>
    <row r="980" spans="1:66" x14ac:dyDescent="0.25">
      <c r="A980" s="8">
        <v>27129</v>
      </c>
      <c r="B980" s="8" t="s">
        <v>16</v>
      </c>
      <c r="C980" s="5">
        <v>0</v>
      </c>
      <c r="D980" s="5">
        <f>+$C980*BC980</f>
        <v>0</v>
      </c>
      <c r="E980" s="5">
        <f>+$C980*BD980</f>
        <v>0</v>
      </c>
      <c r="F980" s="5">
        <f>+$C980*BE980</f>
        <v>0</v>
      </c>
      <c r="G980" s="5">
        <f>+$C980*BF980</f>
        <v>0</v>
      </c>
      <c r="H980" s="5">
        <f>+$C980*BG980</f>
        <v>0</v>
      </c>
      <c r="I980" s="5">
        <f>+$C980*BH980</f>
        <v>0</v>
      </c>
      <c r="J980" s="5">
        <f>+$C980*BI980</f>
        <v>0</v>
      </c>
      <c r="K980" s="5">
        <f>+$C980*BJ980</f>
        <v>0</v>
      </c>
      <c r="L980" s="5">
        <f>+$C980*BK980</f>
        <v>0</v>
      </c>
      <c r="M980" s="5">
        <f>+$C980*BL980</f>
        <v>0</v>
      </c>
      <c r="N980" s="5">
        <f>+$C980*BM980</f>
        <v>0</v>
      </c>
      <c r="O980" s="5">
        <f>+$C980*BN980</f>
        <v>0</v>
      </c>
      <c r="P980" s="5">
        <v>2000</v>
      </c>
      <c r="Q980" s="5">
        <f>+$P980*BC980</f>
        <v>178.36313189748449</v>
      </c>
      <c r="R980" s="5">
        <f>+$P980*BD980</f>
        <v>213.30555766890396</v>
      </c>
      <c r="S980" s="5">
        <f>+$P980*BE980</f>
        <v>188.77698169709529</v>
      </c>
      <c r="T980" s="5">
        <f>+$P980*BF980</f>
        <v>142.99129973710097</v>
      </c>
      <c r="U980" s="5">
        <f>+$P980*BG980</f>
        <v>207.37143621073525</v>
      </c>
      <c r="V980" s="5">
        <f>+$P980*BH980</f>
        <v>169.94066190508929</v>
      </c>
      <c r="W980" s="5">
        <f>+$P980*BI980</f>
        <v>169.18775775452542</v>
      </c>
      <c r="X980" s="5">
        <f>+$P980*BJ980</f>
        <v>114.89421092555993</v>
      </c>
      <c r="Y980" s="5">
        <f>+$P980*BK980</f>
        <v>170.30770469111494</v>
      </c>
      <c r="Z980" s="5">
        <f>+$P980*BL980</f>
        <v>148.31611782607035</v>
      </c>
      <c r="AA980" s="5">
        <f>+$P980*BM980</f>
        <v>151.43637838421435</v>
      </c>
      <c r="AB980" s="5">
        <f>+$P980*BN980</f>
        <v>147.91111873135125</v>
      </c>
      <c r="AC980" s="5">
        <v>0</v>
      </c>
      <c r="AD980" s="5">
        <f>+$AC980*BC980</f>
        <v>0</v>
      </c>
      <c r="AE980" s="5">
        <f>+$AC980*BD980</f>
        <v>0</v>
      </c>
      <c r="AF980" s="5">
        <f>+$AC980*BE980</f>
        <v>0</v>
      </c>
      <c r="AG980" s="5">
        <f>+$AC980*BF980</f>
        <v>0</v>
      </c>
      <c r="AH980" s="5">
        <f>+$AC980*BG980</f>
        <v>0</v>
      </c>
      <c r="AI980" s="5">
        <f>+$AC980*BH980</f>
        <v>0</v>
      </c>
      <c r="AJ980" s="5">
        <f>+$AC980*BI980</f>
        <v>0</v>
      </c>
      <c r="AK980" s="5">
        <f>+$AC980*BJ980</f>
        <v>0</v>
      </c>
      <c r="AL980" s="5">
        <f>+$AC980*BK980</f>
        <v>0</v>
      </c>
      <c r="AM980" s="5">
        <f>+$AC980*BL980</f>
        <v>0</v>
      </c>
      <c r="AN980" s="5">
        <f>+$AC980*BM980</f>
        <v>0</v>
      </c>
      <c r="AO980" s="5">
        <f>+$AC980*BN980</f>
        <v>0</v>
      </c>
      <c r="AP980" s="5">
        <f>+AC980+P980+C980</f>
        <v>2000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2">
        <v>8.9181565948742242E-2</v>
      </c>
      <c r="BD980" s="2">
        <v>0.10665277883445198</v>
      </c>
      <c r="BE980" s="2">
        <v>9.438849084854764E-2</v>
      </c>
      <c r="BF980" s="2">
        <v>7.149564986855049E-2</v>
      </c>
      <c r="BG980" s="2">
        <v>0.10368571810536763</v>
      </c>
      <c r="BH980" s="2">
        <v>8.4970330952544637E-2</v>
      </c>
      <c r="BI980" s="2">
        <v>8.4593878877262704E-2</v>
      </c>
      <c r="BJ980" s="2">
        <v>5.7447105462779965E-2</v>
      </c>
      <c r="BK980" s="2">
        <v>8.5153852345557474E-2</v>
      </c>
      <c r="BL980" s="2">
        <v>7.4158058913035174E-2</v>
      </c>
      <c r="BM980" s="2">
        <v>7.5718189192107169E-2</v>
      </c>
      <c r="BN980" s="2">
        <v>7.3955559365675619E-2</v>
      </c>
    </row>
    <row r="981" spans="1:66" x14ac:dyDescent="0.25">
      <c r="A981" s="8">
        <v>27131</v>
      </c>
      <c r="B981" s="8" t="s">
        <v>15</v>
      </c>
      <c r="C981" s="5">
        <v>0</v>
      </c>
      <c r="D981" s="5">
        <f>+$C981*BC981</f>
        <v>0</v>
      </c>
      <c r="E981" s="5">
        <f>+$C981*BD981</f>
        <v>0</v>
      </c>
      <c r="F981" s="5">
        <f>+$C981*BE981</f>
        <v>0</v>
      </c>
      <c r="G981" s="5">
        <f>+$C981*BF981</f>
        <v>0</v>
      </c>
      <c r="H981" s="5">
        <f>+$C981*BG981</f>
        <v>0</v>
      </c>
      <c r="I981" s="5">
        <f>+$C981*BH981</f>
        <v>0</v>
      </c>
      <c r="J981" s="5">
        <f>+$C981*BI981</f>
        <v>0</v>
      </c>
      <c r="K981" s="5">
        <f>+$C981*BJ981</f>
        <v>0</v>
      </c>
      <c r="L981" s="5">
        <f>+$C981*BK981</f>
        <v>0</v>
      </c>
      <c r="M981" s="5">
        <f>+$C981*BL981</f>
        <v>0</v>
      </c>
      <c r="N981" s="5">
        <f>+$C981*BM981</f>
        <v>0</v>
      </c>
      <c r="O981" s="5">
        <f>+$C981*BN981</f>
        <v>0</v>
      </c>
      <c r="P981" s="5">
        <v>1000</v>
      </c>
      <c r="Q981" s="5">
        <f>+$P981*BC981</f>
        <v>89.181565948742247</v>
      </c>
      <c r="R981" s="5">
        <f>+$P981*BD981</f>
        <v>106.65277883445198</v>
      </c>
      <c r="S981" s="5">
        <f>+$P981*BE981</f>
        <v>94.388490848547647</v>
      </c>
      <c r="T981" s="5">
        <f>+$P981*BF981</f>
        <v>71.495649868550487</v>
      </c>
      <c r="U981" s="5">
        <f>+$P981*BG981</f>
        <v>103.68571810536763</v>
      </c>
      <c r="V981" s="5">
        <f>+$P981*BH981</f>
        <v>84.970330952544643</v>
      </c>
      <c r="W981" s="5">
        <f>+$P981*BI981</f>
        <v>84.593878877262711</v>
      </c>
      <c r="X981" s="5">
        <f>+$P981*BJ981</f>
        <v>57.447105462779966</v>
      </c>
      <c r="Y981" s="5">
        <f>+$P981*BK981</f>
        <v>85.153852345557468</v>
      </c>
      <c r="Z981" s="5">
        <f>+$P981*BL981</f>
        <v>74.158058913035177</v>
      </c>
      <c r="AA981" s="5">
        <f>+$P981*BM981</f>
        <v>75.718189192107175</v>
      </c>
      <c r="AB981" s="5">
        <f>+$P981*BN981</f>
        <v>73.955559365675626</v>
      </c>
      <c r="AC981" s="5">
        <v>0</v>
      </c>
      <c r="AD981" s="5">
        <f>+$AC981*BC981</f>
        <v>0</v>
      </c>
      <c r="AE981" s="5">
        <f>+$AC981*BD981</f>
        <v>0</v>
      </c>
      <c r="AF981" s="5">
        <f>+$AC981*BE981</f>
        <v>0</v>
      </c>
      <c r="AG981" s="5">
        <f>+$AC981*BF981</f>
        <v>0</v>
      </c>
      <c r="AH981" s="5">
        <f>+$AC981*BG981</f>
        <v>0</v>
      </c>
      <c r="AI981" s="5">
        <f>+$AC981*BH981</f>
        <v>0</v>
      </c>
      <c r="AJ981" s="5">
        <f>+$AC981*BI981</f>
        <v>0</v>
      </c>
      <c r="AK981" s="5">
        <f>+$AC981*BJ981</f>
        <v>0</v>
      </c>
      <c r="AL981" s="5">
        <f>+$AC981*BK981</f>
        <v>0</v>
      </c>
      <c r="AM981" s="5">
        <f>+$AC981*BL981</f>
        <v>0</v>
      </c>
      <c r="AN981" s="5">
        <f>+$AC981*BM981</f>
        <v>0</v>
      </c>
      <c r="AO981" s="5">
        <f>+$AC981*BN981</f>
        <v>0</v>
      </c>
      <c r="AP981" s="5">
        <f>+AC981+P981+C981</f>
        <v>1000</v>
      </c>
      <c r="AQ981" s="1">
        <v>77.577260587491907</v>
      </c>
      <c r="AR981" s="1">
        <v>92.775119252513093</v>
      </c>
      <c r="AS981" s="1">
        <v>82.106660419334617</v>
      </c>
      <c r="AT981" s="1">
        <v>62.192635907654697</v>
      </c>
      <c r="AU981" s="1">
        <v>90.194132465497191</v>
      </c>
      <c r="AV981" s="1">
        <v>73.913991488999528</v>
      </c>
      <c r="AW981" s="1">
        <v>73.586523357753279</v>
      </c>
      <c r="AX981" s="1">
        <v>49.972088099963038</v>
      </c>
      <c r="AY981" s="1">
        <v>74.073633078353538</v>
      </c>
      <c r="AZ981" s="1">
        <v>64.508612287271035</v>
      </c>
      <c r="BA981" s="1">
        <v>65.865738414430183</v>
      </c>
      <c r="BB981" s="1">
        <v>64.332461981013907</v>
      </c>
      <c r="BC981" s="2">
        <v>8.9181565948742242E-2</v>
      </c>
      <c r="BD981" s="2">
        <v>0.10665277883445198</v>
      </c>
      <c r="BE981" s="2">
        <v>9.438849084854764E-2</v>
      </c>
      <c r="BF981" s="2">
        <v>7.149564986855049E-2</v>
      </c>
      <c r="BG981" s="2">
        <v>0.10368571810536763</v>
      </c>
      <c r="BH981" s="2">
        <v>8.4970330952544637E-2</v>
      </c>
      <c r="BI981" s="2">
        <v>8.4593878877262704E-2</v>
      </c>
      <c r="BJ981" s="2">
        <v>5.7447105462779965E-2</v>
      </c>
      <c r="BK981" s="2">
        <v>8.5153852345557474E-2</v>
      </c>
      <c r="BL981" s="2">
        <v>7.4158058913035174E-2</v>
      </c>
      <c r="BM981" s="2">
        <v>7.5718189192107169E-2</v>
      </c>
      <c r="BN981" s="2">
        <v>7.3955559365675619E-2</v>
      </c>
    </row>
    <row r="982" spans="1:66" x14ac:dyDescent="0.25">
      <c r="A982" s="8">
        <v>27301</v>
      </c>
      <c r="B982" s="8" t="s">
        <v>14</v>
      </c>
      <c r="C982" s="5">
        <v>0</v>
      </c>
      <c r="D982" s="5">
        <f>+$C982*BC982</f>
        <v>0</v>
      </c>
      <c r="E982" s="5">
        <f>+$C982*BD982</f>
        <v>0</v>
      </c>
      <c r="F982" s="5">
        <f>+$C982*BE982</f>
        <v>0</v>
      </c>
      <c r="G982" s="5">
        <f>+$C982*BF982</f>
        <v>0</v>
      </c>
      <c r="H982" s="5">
        <f>+$C982*BG982</f>
        <v>0</v>
      </c>
      <c r="I982" s="5">
        <f>+$C982*BH982</f>
        <v>0</v>
      </c>
      <c r="J982" s="5">
        <f>+$C982*BI982</f>
        <v>0</v>
      </c>
      <c r="K982" s="5">
        <f>+$C982*BJ982</f>
        <v>0</v>
      </c>
      <c r="L982" s="5">
        <f>+$C982*BK982</f>
        <v>0</v>
      </c>
      <c r="M982" s="5">
        <f>+$C982*BL982</f>
        <v>0</v>
      </c>
      <c r="N982" s="5">
        <f>+$C982*BM982</f>
        <v>0</v>
      </c>
      <c r="O982" s="5">
        <f>+$C982*BN982</f>
        <v>0</v>
      </c>
      <c r="P982" s="5">
        <v>2000</v>
      </c>
      <c r="Q982" s="5">
        <f>+$P982*BC982</f>
        <v>178.36313189748449</v>
      </c>
      <c r="R982" s="5">
        <f>+$P982*BD982</f>
        <v>213.30555766890396</v>
      </c>
      <c r="S982" s="5">
        <f>+$P982*BE982</f>
        <v>188.77698169709529</v>
      </c>
      <c r="T982" s="5">
        <f>+$P982*BF982</f>
        <v>142.99129973710097</v>
      </c>
      <c r="U982" s="5">
        <f>+$P982*BG982</f>
        <v>207.37143621073525</v>
      </c>
      <c r="V982" s="5">
        <f>+$P982*BH982</f>
        <v>169.94066190508929</v>
      </c>
      <c r="W982" s="5">
        <f>+$P982*BI982</f>
        <v>169.18775775452542</v>
      </c>
      <c r="X982" s="5">
        <f>+$P982*BJ982</f>
        <v>114.89421092555993</v>
      </c>
      <c r="Y982" s="5">
        <f>+$P982*BK982</f>
        <v>170.30770469111494</v>
      </c>
      <c r="Z982" s="5">
        <f>+$P982*BL982</f>
        <v>148.31611782607035</v>
      </c>
      <c r="AA982" s="5">
        <f>+$P982*BM982</f>
        <v>151.43637838421435</v>
      </c>
      <c r="AB982" s="5">
        <f>+$P982*BN982</f>
        <v>147.91111873135125</v>
      </c>
      <c r="AC982" s="5">
        <v>0</v>
      </c>
      <c r="AD982" s="5">
        <f>+$AC982*BC982</f>
        <v>0</v>
      </c>
      <c r="AE982" s="5">
        <f>+$AC982*BD982</f>
        <v>0</v>
      </c>
      <c r="AF982" s="5">
        <f>+$AC982*BE982</f>
        <v>0</v>
      </c>
      <c r="AG982" s="5">
        <f>+$AC982*BF982</f>
        <v>0</v>
      </c>
      <c r="AH982" s="5">
        <f>+$AC982*BG982</f>
        <v>0</v>
      </c>
      <c r="AI982" s="5">
        <f>+$AC982*BH982</f>
        <v>0</v>
      </c>
      <c r="AJ982" s="5">
        <f>+$AC982*BI982</f>
        <v>0</v>
      </c>
      <c r="AK982" s="5">
        <f>+$AC982*BJ982</f>
        <v>0</v>
      </c>
      <c r="AL982" s="5">
        <f>+$AC982*BK982</f>
        <v>0</v>
      </c>
      <c r="AM982" s="5">
        <f>+$AC982*BL982</f>
        <v>0</v>
      </c>
      <c r="AN982" s="5">
        <f>+$AC982*BM982</f>
        <v>0</v>
      </c>
      <c r="AO982" s="5">
        <f>+$AC982*BN982</f>
        <v>0</v>
      </c>
      <c r="AP982" s="5">
        <f>+AC982+P982+C982</f>
        <v>2000</v>
      </c>
      <c r="AQ982" s="1">
        <v>132.04222654370778</v>
      </c>
      <c r="AR982" s="1">
        <v>157.91010434228963</v>
      </c>
      <c r="AS982" s="1">
        <v>139.75159955035966</v>
      </c>
      <c r="AT982" s="1">
        <v>105.85645919537586</v>
      </c>
      <c r="AU982" s="1">
        <v>153.51707422680732</v>
      </c>
      <c r="AV982" s="1">
        <v>125.8070720083376</v>
      </c>
      <c r="AW982" s="1">
        <v>125.24969706567518</v>
      </c>
      <c r="AX982" s="1">
        <v>85.056184348192019</v>
      </c>
      <c r="AY982" s="1">
        <v>126.07879378283241</v>
      </c>
      <c r="AZ982" s="1">
        <v>109.79842202663988</v>
      </c>
      <c r="BA982" s="1">
        <v>112.10835091783389</v>
      </c>
      <c r="BB982" s="1">
        <v>109.49860119681934</v>
      </c>
      <c r="BC982" s="2">
        <v>8.9181565948742242E-2</v>
      </c>
      <c r="BD982" s="2">
        <v>0.10665277883445198</v>
      </c>
      <c r="BE982" s="2">
        <v>9.438849084854764E-2</v>
      </c>
      <c r="BF982" s="2">
        <v>7.149564986855049E-2</v>
      </c>
      <c r="BG982" s="2">
        <v>0.10368571810536763</v>
      </c>
      <c r="BH982" s="2">
        <v>8.4970330952544637E-2</v>
      </c>
      <c r="BI982" s="2">
        <v>8.4593878877262704E-2</v>
      </c>
      <c r="BJ982" s="2">
        <v>5.7447105462779965E-2</v>
      </c>
      <c r="BK982" s="2">
        <v>8.5153852345557474E-2</v>
      </c>
      <c r="BL982" s="2">
        <v>7.4158058913035174E-2</v>
      </c>
      <c r="BM982" s="2">
        <v>7.5718189192107169E-2</v>
      </c>
      <c r="BN982" s="2">
        <v>7.3955559365675619E-2</v>
      </c>
    </row>
    <row r="983" spans="1:66" x14ac:dyDescent="0.25">
      <c r="A983" s="8">
        <v>27307</v>
      </c>
      <c r="B983" s="8" t="s">
        <v>13</v>
      </c>
      <c r="C983" s="5">
        <v>0</v>
      </c>
      <c r="D983" s="5">
        <f>+$C983*BC983</f>
        <v>0</v>
      </c>
      <c r="E983" s="5">
        <f>+$C983*BD983</f>
        <v>0</v>
      </c>
      <c r="F983" s="5">
        <f>+$C983*BE983</f>
        <v>0</v>
      </c>
      <c r="G983" s="5">
        <f>+$C983*BF983</f>
        <v>0</v>
      </c>
      <c r="H983" s="5">
        <f>+$C983*BG983</f>
        <v>0</v>
      </c>
      <c r="I983" s="5">
        <f>+$C983*BH983</f>
        <v>0</v>
      </c>
      <c r="J983" s="5">
        <f>+$C983*BI983</f>
        <v>0</v>
      </c>
      <c r="K983" s="5">
        <f>+$C983*BJ983</f>
        <v>0</v>
      </c>
      <c r="L983" s="5">
        <f>+$C983*BK983</f>
        <v>0</v>
      </c>
      <c r="M983" s="5">
        <f>+$C983*BL983</f>
        <v>0</v>
      </c>
      <c r="N983" s="5">
        <f>+$C983*BM983</f>
        <v>0</v>
      </c>
      <c r="O983" s="5">
        <f>+$C983*BN983</f>
        <v>0</v>
      </c>
      <c r="P983" s="5">
        <v>1000</v>
      </c>
      <c r="Q983" s="5">
        <f>+$P983*BC983</f>
        <v>89.181565948742247</v>
      </c>
      <c r="R983" s="5">
        <f>+$P983*BD983</f>
        <v>106.65277883445198</v>
      </c>
      <c r="S983" s="5">
        <f>+$P983*BE983</f>
        <v>94.388490848547647</v>
      </c>
      <c r="T983" s="5">
        <f>+$P983*BF983</f>
        <v>71.495649868550487</v>
      </c>
      <c r="U983" s="5">
        <f>+$P983*BG983</f>
        <v>103.68571810536763</v>
      </c>
      <c r="V983" s="5">
        <f>+$P983*BH983</f>
        <v>84.970330952544643</v>
      </c>
      <c r="W983" s="5">
        <f>+$P983*BI983</f>
        <v>84.593878877262711</v>
      </c>
      <c r="X983" s="5">
        <f>+$P983*BJ983</f>
        <v>57.447105462779966</v>
      </c>
      <c r="Y983" s="5">
        <f>+$P983*BK983</f>
        <v>85.153852345557468</v>
      </c>
      <c r="Z983" s="5">
        <f>+$P983*BL983</f>
        <v>74.158058913035177</v>
      </c>
      <c r="AA983" s="5">
        <f>+$P983*BM983</f>
        <v>75.718189192107175</v>
      </c>
      <c r="AB983" s="5">
        <f>+$P983*BN983</f>
        <v>73.955559365675626</v>
      </c>
      <c r="AC983" s="5">
        <v>0</v>
      </c>
      <c r="AD983" s="5">
        <f>+$AC983*BC983</f>
        <v>0</v>
      </c>
      <c r="AE983" s="5">
        <f>+$AC983*BD983</f>
        <v>0</v>
      </c>
      <c r="AF983" s="5">
        <f>+$AC983*BE983</f>
        <v>0</v>
      </c>
      <c r="AG983" s="5">
        <f>+$AC983*BF983</f>
        <v>0</v>
      </c>
      <c r="AH983" s="5">
        <f>+$AC983*BG983</f>
        <v>0</v>
      </c>
      <c r="AI983" s="5">
        <f>+$AC983*BH983</f>
        <v>0</v>
      </c>
      <c r="AJ983" s="5">
        <f>+$AC983*BI983</f>
        <v>0</v>
      </c>
      <c r="AK983" s="5">
        <f>+$AC983*BJ983</f>
        <v>0</v>
      </c>
      <c r="AL983" s="5">
        <f>+$AC983*BK983</f>
        <v>0</v>
      </c>
      <c r="AM983" s="5">
        <f>+$AC983*BL983</f>
        <v>0</v>
      </c>
      <c r="AN983" s="5">
        <f>+$AC983*BM983</f>
        <v>0</v>
      </c>
      <c r="AO983" s="5">
        <f>+$AC983*BN983</f>
        <v>0</v>
      </c>
      <c r="AP983" s="5">
        <f>+AC983+P983+C983</f>
        <v>1000</v>
      </c>
      <c r="AQ983" s="1">
        <v>102.53383000258792</v>
      </c>
      <c r="AR983" s="1">
        <v>122.62083288154611</v>
      </c>
      <c r="AS983" s="1">
        <v>108.52033569839217</v>
      </c>
      <c r="AT983" s="1">
        <v>82.199978566869859</v>
      </c>
      <c r="AU983" s="1">
        <v>119.20954382010325</v>
      </c>
      <c r="AV983" s="1">
        <v>97.692088902759608</v>
      </c>
      <c r="AW983" s="1">
        <v>97.259274422766453</v>
      </c>
      <c r="AX983" s="1">
        <v>66.048086092667376</v>
      </c>
      <c r="AY983" s="1">
        <v>97.903087118734319</v>
      </c>
      <c r="AZ983" s="1">
        <v>85.261003493494783</v>
      </c>
      <c r="BA983" s="1">
        <v>87.054716477949441</v>
      </c>
      <c r="BB983" s="1">
        <v>85.028185713904563</v>
      </c>
      <c r="BC983" s="2">
        <v>8.9181565948742242E-2</v>
      </c>
      <c r="BD983" s="2">
        <v>0.10665277883445198</v>
      </c>
      <c r="BE983" s="2">
        <v>9.438849084854764E-2</v>
      </c>
      <c r="BF983" s="2">
        <v>7.149564986855049E-2</v>
      </c>
      <c r="BG983" s="2">
        <v>0.10368571810536763</v>
      </c>
      <c r="BH983" s="2">
        <v>8.4970330952544637E-2</v>
      </c>
      <c r="BI983" s="2">
        <v>8.4593878877262704E-2</v>
      </c>
      <c r="BJ983" s="2">
        <v>5.7447105462779965E-2</v>
      </c>
      <c r="BK983" s="2">
        <v>8.5153852345557474E-2</v>
      </c>
      <c r="BL983" s="2">
        <v>7.4158058913035174E-2</v>
      </c>
      <c r="BM983" s="2">
        <v>7.5718189192107169E-2</v>
      </c>
      <c r="BN983" s="2">
        <v>7.3955559365675619E-2</v>
      </c>
    </row>
    <row r="984" spans="1:66" x14ac:dyDescent="0.25">
      <c r="A984" s="8">
        <v>28011</v>
      </c>
      <c r="B984" s="8" t="s">
        <v>12</v>
      </c>
      <c r="C984" s="5">
        <v>0</v>
      </c>
      <c r="D984" s="5">
        <f>+$C984*BC984</f>
        <v>0</v>
      </c>
      <c r="E984" s="5">
        <f>+$C984*BD984</f>
        <v>0</v>
      </c>
      <c r="F984" s="5">
        <f>+$C984*BE984</f>
        <v>0</v>
      </c>
      <c r="G984" s="5">
        <f>+$C984*BF984</f>
        <v>0</v>
      </c>
      <c r="H984" s="5">
        <f>+$C984*BG984</f>
        <v>0</v>
      </c>
      <c r="I984" s="5">
        <f>+$C984*BH984</f>
        <v>0</v>
      </c>
      <c r="J984" s="5">
        <f>+$C984*BI984</f>
        <v>0</v>
      </c>
      <c r="K984" s="5">
        <f>+$C984*BJ984</f>
        <v>0</v>
      </c>
      <c r="L984" s="5">
        <f>+$C984*BK984</f>
        <v>0</v>
      </c>
      <c r="M984" s="5">
        <f>+$C984*BL984</f>
        <v>0</v>
      </c>
      <c r="N984" s="5">
        <f>+$C984*BM984</f>
        <v>0</v>
      </c>
      <c r="O984" s="5">
        <f>+$C984*BN984</f>
        <v>0</v>
      </c>
      <c r="P984" s="5">
        <v>0</v>
      </c>
      <c r="Q984" s="5">
        <f>+$P984*BC984</f>
        <v>0</v>
      </c>
      <c r="R984" s="5">
        <f>+$P984*BD984</f>
        <v>0</v>
      </c>
      <c r="S984" s="5">
        <f>+$P984*BE984</f>
        <v>0</v>
      </c>
      <c r="T984" s="5">
        <f>+$P984*BF984</f>
        <v>0</v>
      </c>
      <c r="U984" s="5">
        <f>+$P984*BG984</f>
        <v>0</v>
      </c>
      <c r="V984" s="5">
        <f>+$P984*BH984</f>
        <v>0</v>
      </c>
      <c r="W984" s="5">
        <f>+$P984*BI984</f>
        <v>0</v>
      </c>
      <c r="X984" s="5">
        <f>+$P984*BJ984</f>
        <v>0</v>
      </c>
      <c r="Y984" s="5">
        <f>+$P984*BK984</f>
        <v>0</v>
      </c>
      <c r="Z984" s="5">
        <f>+$P984*BL984</f>
        <v>0</v>
      </c>
      <c r="AA984" s="5">
        <f>+$P984*BM984</f>
        <v>0</v>
      </c>
      <c r="AB984" s="5">
        <f>+$P984*BN984</f>
        <v>0</v>
      </c>
      <c r="AC984" s="5">
        <v>0</v>
      </c>
      <c r="AD984" s="5">
        <f>+$AC984*BC984</f>
        <v>0</v>
      </c>
      <c r="AE984" s="5">
        <f>+$AC984*BD984</f>
        <v>0</v>
      </c>
      <c r="AF984" s="5">
        <f>+$AC984*BE984</f>
        <v>0</v>
      </c>
      <c r="AG984" s="5">
        <f>+$AC984*BF984</f>
        <v>0</v>
      </c>
      <c r="AH984" s="5">
        <f>+$AC984*BG984</f>
        <v>0</v>
      </c>
      <c r="AI984" s="5">
        <f>+$AC984*BH984</f>
        <v>0</v>
      </c>
      <c r="AJ984" s="5">
        <f>+$AC984*BI984</f>
        <v>0</v>
      </c>
      <c r="AK984" s="5">
        <f>+$AC984*BJ984</f>
        <v>0</v>
      </c>
      <c r="AL984" s="5">
        <f>+$AC984*BK984</f>
        <v>0</v>
      </c>
      <c r="AM984" s="5">
        <f>+$AC984*BL984</f>
        <v>0</v>
      </c>
      <c r="AN984" s="5">
        <f>+$AC984*BM984</f>
        <v>0</v>
      </c>
      <c r="AO984" s="5">
        <f>+$AC984*BN984</f>
        <v>0</v>
      </c>
      <c r="AP984" s="5">
        <f>+AC984+P984+C984</f>
        <v>0</v>
      </c>
      <c r="AQ984" s="1">
        <v>28.939418150366858</v>
      </c>
      <c r="AR984" s="1">
        <v>34.608826731779672</v>
      </c>
      <c r="AS984" s="1">
        <v>30.629065280353711</v>
      </c>
      <c r="AT984" s="1">
        <v>23.200338382344633</v>
      </c>
      <c r="AU984" s="1">
        <v>33.646015525191793</v>
      </c>
      <c r="AV984" s="1">
        <v>27.572872394100735</v>
      </c>
      <c r="AW984" s="1">
        <v>27.450713695671748</v>
      </c>
      <c r="AX984" s="1">
        <v>18.641585722672097</v>
      </c>
      <c r="AY984" s="1">
        <v>27.632425086133399</v>
      </c>
      <c r="AZ984" s="1">
        <v>24.064290117279914</v>
      </c>
      <c r="BA984" s="1">
        <v>24.570552392838778</v>
      </c>
      <c r="BB984" s="1">
        <v>23.998579014161738</v>
      </c>
      <c r="BC984" s="2">
        <v>8.9181565948742242E-2</v>
      </c>
      <c r="BD984" s="2">
        <v>0.10665277883445198</v>
      </c>
      <c r="BE984" s="2">
        <v>9.438849084854764E-2</v>
      </c>
      <c r="BF984" s="2">
        <v>7.149564986855049E-2</v>
      </c>
      <c r="BG984" s="2">
        <v>0.10368571810536763</v>
      </c>
      <c r="BH984" s="2">
        <v>8.4970330952544637E-2</v>
      </c>
      <c r="BI984" s="2">
        <v>8.4593878877262704E-2</v>
      </c>
      <c r="BJ984" s="2">
        <v>5.7447105462779965E-2</v>
      </c>
      <c r="BK984" s="2">
        <v>8.5153852345557474E-2</v>
      </c>
      <c r="BL984" s="2">
        <v>7.4158058913035174E-2</v>
      </c>
      <c r="BM984" s="2">
        <v>7.5718189192107169E-2</v>
      </c>
      <c r="BN984" s="2">
        <v>7.3955559365675619E-2</v>
      </c>
    </row>
    <row r="985" spans="1:66" x14ac:dyDescent="0.25">
      <c r="A985" s="8">
        <v>29005</v>
      </c>
      <c r="B985" s="8" t="s">
        <v>11</v>
      </c>
      <c r="C985" s="5">
        <v>0</v>
      </c>
      <c r="D985" s="5">
        <f>+$C985*BC985</f>
        <v>0</v>
      </c>
      <c r="E985" s="5">
        <f>+$C985*BD985</f>
        <v>0</v>
      </c>
      <c r="F985" s="5">
        <f>+$C985*BE985</f>
        <v>0</v>
      </c>
      <c r="G985" s="5">
        <f>+$C985*BF985</f>
        <v>0</v>
      </c>
      <c r="H985" s="5">
        <f>+$C985*BG985</f>
        <v>0</v>
      </c>
      <c r="I985" s="5">
        <f>+$C985*BH985</f>
        <v>0</v>
      </c>
      <c r="J985" s="5">
        <f>+$C985*BI985</f>
        <v>0</v>
      </c>
      <c r="K985" s="5">
        <f>+$C985*BJ985</f>
        <v>0</v>
      </c>
      <c r="L985" s="5">
        <f>+$C985*BK985</f>
        <v>0</v>
      </c>
      <c r="M985" s="5">
        <f>+$C985*BL985</f>
        <v>0</v>
      </c>
      <c r="N985" s="5">
        <f>+$C985*BM985</f>
        <v>0</v>
      </c>
      <c r="O985" s="5">
        <f>+$C985*BN985</f>
        <v>0</v>
      </c>
      <c r="P985" s="5">
        <v>0</v>
      </c>
      <c r="Q985" s="5">
        <f>+$P985*BC985</f>
        <v>0</v>
      </c>
      <c r="R985" s="5">
        <f>+$P985*BD985</f>
        <v>0</v>
      </c>
      <c r="S985" s="5">
        <f>+$P985*BE985</f>
        <v>0</v>
      </c>
      <c r="T985" s="5">
        <f>+$P985*BF985</f>
        <v>0</v>
      </c>
      <c r="U985" s="5">
        <f>+$P985*BG985</f>
        <v>0</v>
      </c>
      <c r="V985" s="5">
        <f>+$P985*BH985</f>
        <v>0</v>
      </c>
      <c r="W985" s="5">
        <f>+$P985*BI985</f>
        <v>0</v>
      </c>
      <c r="X985" s="5">
        <f>+$P985*BJ985</f>
        <v>0</v>
      </c>
      <c r="Y985" s="5">
        <f>+$P985*BK985</f>
        <v>0</v>
      </c>
      <c r="Z985" s="5">
        <f>+$P985*BL985</f>
        <v>0</v>
      </c>
      <c r="AA985" s="5">
        <f>+$P985*BM985</f>
        <v>0</v>
      </c>
      <c r="AB985" s="5">
        <f>+$P985*BN985</f>
        <v>0</v>
      </c>
      <c r="AC985" s="5">
        <v>0</v>
      </c>
      <c r="AD985" s="5">
        <f>+$AC985*BC985</f>
        <v>0</v>
      </c>
      <c r="AE985" s="5">
        <f>+$AC985*BD985</f>
        <v>0</v>
      </c>
      <c r="AF985" s="5">
        <f>+$AC985*BE985</f>
        <v>0</v>
      </c>
      <c r="AG985" s="5">
        <f>+$AC985*BF985</f>
        <v>0</v>
      </c>
      <c r="AH985" s="5">
        <f>+$AC985*BG985</f>
        <v>0</v>
      </c>
      <c r="AI985" s="5">
        <f>+$AC985*BH985</f>
        <v>0</v>
      </c>
      <c r="AJ985" s="5">
        <f>+$AC985*BI985</f>
        <v>0</v>
      </c>
      <c r="AK985" s="5">
        <f>+$AC985*BJ985</f>
        <v>0</v>
      </c>
      <c r="AL985" s="5">
        <f>+$AC985*BK985</f>
        <v>0</v>
      </c>
      <c r="AM985" s="5">
        <f>+$AC985*BL985</f>
        <v>0</v>
      </c>
      <c r="AN985" s="5">
        <f>+$AC985*BM985</f>
        <v>0</v>
      </c>
      <c r="AO985" s="5">
        <f>+$AC985*BN985</f>
        <v>0</v>
      </c>
      <c r="AP985" s="5">
        <f>+AC985+P985+C985</f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2">
        <v>8.9181565948742242E-2</v>
      </c>
      <c r="BD985" s="2">
        <v>0.10665277883445198</v>
      </c>
      <c r="BE985" s="2">
        <v>9.438849084854764E-2</v>
      </c>
      <c r="BF985" s="2">
        <v>7.149564986855049E-2</v>
      </c>
      <c r="BG985" s="2">
        <v>0.10368571810536763</v>
      </c>
      <c r="BH985" s="2">
        <v>8.4970330952544637E-2</v>
      </c>
      <c r="BI985" s="2">
        <v>8.4593878877262704E-2</v>
      </c>
      <c r="BJ985" s="2">
        <v>5.7447105462779965E-2</v>
      </c>
      <c r="BK985" s="2">
        <v>8.5153852345557474E-2</v>
      </c>
      <c r="BL985" s="2">
        <v>7.4158058913035174E-2</v>
      </c>
      <c r="BM985" s="2">
        <v>7.5718189192107169E-2</v>
      </c>
      <c r="BN985" s="2">
        <v>7.3955559365675619E-2</v>
      </c>
    </row>
    <row r="986" spans="1:66" x14ac:dyDescent="0.25">
      <c r="A986" s="8">
        <v>29310</v>
      </c>
      <c r="B986" s="8" t="s">
        <v>10</v>
      </c>
      <c r="C986" s="5">
        <v>0</v>
      </c>
      <c r="D986" s="5">
        <f>+$C986*BC986</f>
        <v>0</v>
      </c>
      <c r="E986" s="5">
        <f>+$C986*BD986</f>
        <v>0</v>
      </c>
      <c r="F986" s="5">
        <f>+$C986*BE986</f>
        <v>0</v>
      </c>
      <c r="G986" s="5">
        <f>+$C986*BF986</f>
        <v>0</v>
      </c>
      <c r="H986" s="5">
        <f>+$C986*BG986</f>
        <v>0</v>
      </c>
      <c r="I986" s="5">
        <f>+$C986*BH986</f>
        <v>0</v>
      </c>
      <c r="J986" s="5">
        <f>+$C986*BI986</f>
        <v>0</v>
      </c>
      <c r="K986" s="5">
        <f>+$C986*BJ986</f>
        <v>0</v>
      </c>
      <c r="L986" s="5">
        <f>+$C986*BK986</f>
        <v>0</v>
      </c>
      <c r="M986" s="5">
        <f>+$C986*BL986</f>
        <v>0</v>
      </c>
      <c r="N986" s="5">
        <f>+$C986*BM986</f>
        <v>0</v>
      </c>
      <c r="O986" s="5">
        <f>+$C986*BN986</f>
        <v>0</v>
      </c>
      <c r="P986" s="5">
        <v>0</v>
      </c>
      <c r="Q986" s="5">
        <f>+$P986*BC986</f>
        <v>0</v>
      </c>
      <c r="R986" s="5">
        <f>+$P986*BD986</f>
        <v>0</v>
      </c>
      <c r="S986" s="5">
        <f>+$P986*BE986</f>
        <v>0</v>
      </c>
      <c r="T986" s="5">
        <f>+$P986*BF986</f>
        <v>0</v>
      </c>
      <c r="U986" s="5">
        <f>+$P986*BG986</f>
        <v>0</v>
      </c>
      <c r="V986" s="5">
        <f>+$P986*BH986</f>
        <v>0</v>
      </c>
      <c r="W986" s="5">
        <f>+$P986*BI986</f>
        <v>0</v>
      </c>
      <c r="X986" s="5">
        <f>+$P986*BJ986</f>
        <v>0</v>
      </c>
      <c r="Y986" s="5">
        <f>+$P986*BK986</f>
        <v>0</v>
      </c>
      <c r="Z986" s="5">
        <f>+$P986*BL986</f>
        <v>0</v>
      </c>
      <c r="AA986" s="5">
        <f>+$P986*BM986</f>
        <v>0</v>
      </c>
      <c r="AB986" s="5">
        <f>+$P986*BN986</f>
        <v>0</v>
      </c>
      <c r="AC986" s="5">
        <v>0</v>
      </c>
      <c r="AD986" s="5">
        <f>+$AC986*BC986</f>
        <v>0</v>
      </c>
      <c r="AE986" s="5">
        <f>+$AC986*BD986</f>
        <v>0</v>
      </c>
      <c r="AF986" s="5">
        <f>+$AC986*BE986</f>
        <v>0</v>
      </c>
      <c r="AG986" s="5">
        <f>+$AC986*BF986</f>
        <v>0</v>
      </c>
      <c r="AH986" s="5">
        <f>+$AC986*BG986</f>
        <v>0</v>
      </c>
      <c r="AI986" s="5">
        <f>+$AC986*BH986</f>
        <v>0</v>
      </c>
      <c r="AJ986" s="5">
        <f>+$AC986*BI986</f>
        <v>0</v>
      </c>
      <c r="AK986" s="5">
        <f>+$AC986*BJ986</f>
        <v>0</v>
      </c>
      <c r="AL986" s="5">
        <f>+$AC986*BK986</f>
        <v>0</v>
      </c>
      <c r="AM986" s="5">
        <f>+$AC986*BL986</f>
        <v>0</v>
      </c>
      <c r="AN986" s="5">
        <f>+$AC986*BM986</f>
        <v>0</v>
      </c>
      <c r="AO986" s="5">
        <f>+$AC986*BN986</f>
        <v>0</v>
      </c>
      <c r="AP986" s="5">
        <f>+AC986+P986+C986</f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2">
        <v>8.9181565948742242E-2</v>
      </c>
      <c r="BD986" s="2">
        <v>0.10665277883445198</v>
      </c>
      <c r="BE986" s="2">
        <v>9.438849084854764E-2</v>
      </c>
      <c r="BF986" s="2">
        <v>7.149564986855049E-2</v>
      </c>
      <c r="BG986" s="2">
        <v>0.10368571810536763</v>
      </c>
      <c r="BH986" s="2">
        <v>8.4970330952544637E-2</v>
      </c>
      <c r="BI986" s="2">
        <v>8.4593878877262704E-2</v>
      </c>
      <c r="BJ986" s="2">
        <v>5.7447105462779965E-2</v>
      </c>
      <c r="BK986" s="2">
        <v>8.5153852345557474E-2</v>
      </c>
      <c r="BL986" s="2">
        <v>7.4158058913035174E-2</v>
      </c>
      <c r="BM986" s="2">
        <v>7.5718189192107169E-2</v>
      </c>
      <c r="BN986" s="2">
        <v>7.3955559365675619E-2</v>
      </c>
    </row>
    <row r="987" spans="1:66" x14ac:dyDescent="0.25">
      <c r="A987" s="8">
        <v>29539</v>
      </c>
      <c r="B987" s="8" t="s">
        <v>9</v>
      </c>
      <c r="C987" s="5">
        <v>0</v>
      </c>
      <c r="D987" s="5">
        <f>+$C987*BC987</f>
        <v>0</v>
      </c>
      <c r="E987" s="5">
        <f>+$C987*BD987</f>
        <v>0</v>
      </c>
      <c r="F987" s="5">
        <f>+$C987*BE987</f>
        <v>0</v>
      </c>
      <c r="G987" s="5">
        <f>+$C987*BF987</f>
        <v>0</v>
      </c>
      <c r="H987" s="5">
        <f>+$C987*BG987</f>
        <v>0</v>
      </c>
      <c r="I987" s="5">
        <f>+$C987*BH987</f>
        <v>0</v>
      </c>
      <c r="J987" s="5">
        <f>+$C987*BI987</f>
        <v>0</v>
      </c>
      <c r="K987" s="5">
        <f>+$C987*BJ987</f>
        <v>0</v>
      </c>
      <c r="L987" s="5">
        <f>+$C987*BK987</f>
        <v>0</v>
      </c>
      <c r="M987" s="5">
        <f>+$C987*BL987</f>
        <v>0</v>
      </c>
      <c r="N987" s="5">
        <f>+$C987*BM987</f>
        <v>0</v>
      </c>
      <c r="O987" s="5">
        <f>+$C987*BN987</f>
        <v>0</v>
      </c>
      <c r="P987" s="5">
        <v>0</v>
      </c>
      <c r="Q987" s="5">
        <f>+$P987*BC987</f>
        <v>0</v>
      </c>
      <c r="R987" s="5">
        <f>+$P987*BD987</f>
        <v>0</v>
      </c>
      <c r="S987" s="5">
        <f>+$P987*BE987</f>
        <v>0</v>
      </c>
      <c r="T987" s="5">
        <f>+$P987*BF987</f>
        <v>0</v>
      </c>
      <c r="U987" s="5">
        <f>+$P987*BG987</f>
        <v>0</v>
      </c>
      <c r="V987" s="5">
        <f>+$P987*BH987</f>
        <v>0</v>
      </c>
      <c r="W987" s="5">
        <f>+$P987*BI987</f>
        <v>0</v>
      </c>
      <c r="X987" s="5">
        <f>+$P987*BJ987</f>
        <v>0</v>
      </c>
      <c r="Y987" s="5">
        <f>+$P987*BK987</f>
        <v>0</v>
      </c>
      <c r="Z987" s="5">
        <f>+$P987*BL987</f>
        <v>0</v>
      </c>
      <c r="AA987" s="5">
        <f>+$P987*BM987</f>
        <v>0</v>
      </c>
      <c r="AB987" s="5">
        <f>+$P987*BN987</f>
        <v>0</v>
      </c>
      <c r="AC987" s="5">
        <v>0</v>
      </c>
      <c r="AD987" s="5">
        <f>+$AC987*BC987</f>
        <v>0</v>
      </c>
      <c r="AE987" s="5">
        <f>+$AC987*BD987</f>
        <v>0</v>
      </c>
      <c r="AF987" s="5">
        <f>+$AC987*BE987</f>
        <v>0</v>
      </c>
      <c r="AG987" s="5">
        <f>+$AC987*BF987</f>
        <v>0</v>
      </c>
      <c r="AH987" s="5">
        <f>+$AC987*BG987</f>
        <v>0</v>
      </c>
      <c r="AI987" s="5">
        <f>+$AC987*BH987</f>
        <v>0</v>
      </c>
      <c r="AJ987" s="5">
        <f>+$AC987*BI987</f>
        <v>0</v>
      </c>
      <c r="AK987" s="5">
        <f>+$AC987*BJ987</f>
        <v>0</v>
      </c>
      <c r="AL987" s="5">
        <f>+$AC987*BK987</f>
        <v>0</v>
      </c>
      <c r="AM987" s="5">
        <f>+$AC987*BL987</f>
        <v>0</v>
      </c>
      <c r="AN987" s="5">
        <f>+$AC987*BM987</f>
        <v>0</v>
      </c>
      <c r="AO987" s="5">
        <f>+$AC987*BN987</f>
        <v>0</v>
      </c>
      <c r="AP987" s="5">
        <f>+AC987+P987+C987</f>
        <v>0</v>
      </c>
      <c r="AQ987" s="1">
        <v>18.638947283287131</v>
      </c>
      <c r="AR987" s="1">
        <v>22.290430776400466</v>
      </c>
      <c r="AS987" s="1">
        <v>19.72719458734646</v>
      </c>
      <c r="AT987" s="1">
        <v>14.942590822527054</v>
      </c>
      <c r="AU987" s="1">
        <v>21.670315084021837</v>
      </c>
      <c r="AV987" s="1">
        <v>17.758799169081833</v>
      </c>
      <c r="AW987" s="1">
        <v>17.680120685347909</v>
      </c>
      <c r="AX987" s="1">
        <v>12.006445041721014</v>
      </c>
      <c r="AY987" s="1">
        <v>17.797155140221513</v>
      </c>
      <c r="AZ987" s="1">
        <v>15.499034312824353</v>
      </c>
      <c r="BA987" s="1">
        <v>15.825101541150401</v>
      </c>
      <c r="BB987" s="1">
        <v>15.456711907426206</v>
      </c>
      <c r="BC987" s="2">
        <v>8.9181565948742242E-2</v>
      </c>
      <c r="BD987" s="2">
        <v>0.10665277883445198</v>
      </c>
      <c r="BE987" s="2">
        <v>9.438849084854764E-2</v>
      </c>
      <c r="BF987" s="2">
        <v>7.149564986855049E-2</v>
      </c>
      <c r="BG987" s="2">
        <v>0.10368571810536763</v>
      </c>
      <c r="BH987" s="2">
        <v>8.4970330952544637E-2</v>
      </c>
      <c r="BI987" s="2">
        <v>8.4593878877262704E-2</v>
      </c>
      <c r="BJ987" s="2">
        <v>5.7447105462779965E-2</v>
      </c>
      <c r="BK987" s="2">
        <v>8.5153852345557474E-2</v>
      </c>
      <c r="BL987" s="2">
        <v>7.4158058913035174E-2</v>
      </c>
      <c r="BM987" s="2">
        <v>7.5718189192107169E-2</v>
      </c>
      <c r="BN987" s="2">
        <v>7.3955559365675619E-2</v>
      </c>
    </row>
    <row r="988" spans="1:66" x14ac:dyDescent="0.25">
      <c r="A988" s="8">
        <v>31006</v>
      </c>
      <c r="B988" s="8" t="s">
        <v>8</v>
      </c>
      <c r="C988" s="5">
        <v>0</v>
      </c>
      <c r="D988" s="5">
        <f>+$C988*BC988</f>
        <v>0</v>
      </c>
      <c r="E988" s="5">
        <f>+$C988*BD988</f>
        <v>0</v>
      </c>
      <c r="F988" s="5">
        <f>+$C988*BE988</f>
        <v>0</v>
      </c>
      <c r="G988" s="5">
        <f>+$C988*BF988</f>
        <v>0</v>
      </c>
      <c r="H988" s="5">
        <f>+$C988*BG988</f>
        <v>0</v>
      </c>
      <c r="I988" s="5">
        <f>+$C988*BH988</f>
        <v>0</v>
      </c>
      <c r="J988" s="5">
        <f>+$C988*BI988</f>
        <v>0</v>
      </c>
      <c r="K988" s="5">
        <f>+$C988*BJ988</f>
        <v>0</v>
      </c>
      <c r="L988" s="5">
        <f>+$C988*BK988</f>
        <v>0</v>
      </c>
      <c r="M988" s="5">
        <f>+$C988*BL988</f>
        <v>0</v>
      </c>
      <c r="N988" s="5">
        <f>+$C988*BM988</f>
        <v>0</v>
      </c>
      <c r="O988" s="5">
        <f>+$C988*BN988</f>
        <v>0</v>
      </c>
      <c r="P988" s="5">
        <v>0</v>
      </c>
      <c r="Q988" s="5">
        <f>+$P988*BC988</f>
        <v>0</v>
      </c>
      <c r="R988" s="5">
        <f>+$P988*BD988</f>
        <v>0</v>
      </c>
      <c r="S988" s="5">
        <f>+$P988*BE988</f>
        <v>0</v>
      </c>
      <c r="T988" s="5">
        <f>+$P988*BF988</f>
        <v>0</v>
      </c>
      <c r="U988" s="5">
        <f>+$P988*BG988</f>
        <v>0</v>
      </c>
      <c r="V988" s="5">
        <f>+$P988*BH988</f>
        <v>0</v>
      </c>
      <c r="W988" s="5">
        <f>+$P988*BI988</f>
        <v>0</v>
      </c>
      <c r="X988" s="5">
        <f>+$P988*BJ988</f>
        <v>0</v>
      </c>
      <c r="Y988" s="5">
        <f>+$P988*BK988</f>
        <v>0</v>
      </c>
      <c r="Z988" s="5">
        <f>+$P988*BL988</f>
        <v>0</v>
      </c>
      <c r="AA988" s="5">
        <f>+$P988*BM988</f>
        <v>0</v>
      </c>
      <c r="AB988" s="5">
        <f>+$P988*BN988</f>
        <v>0</v>
      </c>
      <c r="AC988" s="5">
        <v>0</v>
      </c>
      <c r="AD988" s="5">
        <f>+$AC988*BC988</f>
        <v>0</v>
      </c>
      <c r="AE988" s="5">
        <f>+$AC988*BD988</f>
        <v>0</v>
      </c>
      <c r="AF988" s="5">
        <f>+$AC988*BE988</f>
        <v>0</v>
      </c>
      <c r="AG988" s="5">
        <f>+$AC988*BF988</f>
        <v>0</v>
      </c>
      <c r="AH988" s="5">
        <f>+$AC988*BG988</f>
        <v>0</v>
      </c>
      <c r="AI988" s="5">
        <f>+$AC988*BH988</f>
        <v>0</v>
      </c>
      <c r="AJ988" s="5">
        <f>+$AC988*BI988</f>
        <v>0</v>
      </c>
      <c r="AK988" s="5">
        <f>+$AC988*BJ988</f>
        <v>0</v>
      </c>
      <c r="AL988" s="5">
        <f>+$AC988*BK988</f>
        <v>0</v>
      </c>
      <c r="AM988" s="5">
        <f>+$AC988*BL988</f>
        <v>0</v>
      </c>
      <c r="AN988" s="5">
        <f>+$AC988*BM988</f>
        <v>0</v>
      </c>
      <c r="AO988" s="5">
        <f>+$AC988*BN988</f>
        <v>0</v>
      </c>
      <c r="AP988" s="5">
        <f>+AC988+P988+C988</f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2">
        <v>8.9181565948742242E-2</v>
      </c>
      <c r="BD988" s="2">
        <v>0.10665277883445198</v>
      </c>
      <c r="BE988" s="2">
        <v>9.438849084854764E-2</v>
      </c>
      <c r="BF988" s="2">
        <v>7.149564986855049E-2</v>
      </c>
      <c r="BG988" s="2">
        <v>0.10368571810536763</v>
      </c>
      <c r="BH988" s="2">
        <v>8.4970330952544637E-2</v>
      </c>
      <c r="BI988" s="2">
        <v>8.4593878877262704E-2</v>
      </c>
      <c r="BJ988" s="2">
        <v>5.7447105462779965E-2</v>
      </c>
      <c r="BK988" s="2">
        <v>8.5153852345557474E-2</v>
      </c>
      <c r="BL988" s="2">
        <v>7.4158058913035174E-2</v>
      </c>
      <c r="BM988" s="2">
        <v>7.5718189192107169E-2</v>
      </c>
      <c r="BN988" s="2">
        <v>7.3955559365675619E-2</v>
      </c>
    </row>
    <row r="989" spans="1:66" x14ac:dyDescent="0.25">
      <c r="A989" s="8">
        <v>31406</v>
      </c>
      <c r="B989" s="8" t="s">
        <v>7</v>
      </c>
      <c r="C989" s="5">
        <v>0</v>
      </c>
      <c r="D989" s="5">
        <f>+$C989*BC989</f>
        <v>0</v>
      </c>
      <c r="E989" s="5">
        <f>+$C989*BD989</f>
        <v>0</v>
      </c>
      <c r="F989" s="5">
        <f>+$C989*BE989</f>
        <v>0</v>
      </c>
      <c r="G989" s="5">
        <f>+$C989*BF989</f>
        <v>0</v>
      </c>
      <c r="H989" s="5">
        <f>+$C989*BG989</f>
        <v>0</v>
      </c>
      <c r="I989" s="5">
        <f>+$C989*BH989</f>
        <v>0</v>
      </c>
      <c r="J989" s="5">
        <f>+$C989*BI989</f>
        <v>0</v>
      </c>
      <c r="K989" s="5">
        <f>+$C989*BJ989</f>
        <v>0</v>
      </c>
      <c r="L989" s="5">
        <f>+$C989*BK989</f>
        <v>0</v>
      </c>
      <c r="M989" s="5">
        <f>+$C989*BL989</f>
        <v>0</v>
      </c>
      <c r="N989" s="5">
        <f>+$C989*BM989</f>
        <v>0</v>
      </c>
      <c r="O989" s="5">
        <f>+$C989*BN989</f>
        <v>0</v>
      </c>
      <c r="P989" s="5">
        <v>0</v>
      </c>
      <c r="Q989" s="5">
        <f>+$P989*BC989</f>
        <v>0</v>
      </c>
      <c r="R989" s="5">
        <f>+$P989*BD989</f>
        <v>0</v>
      </c>
      <c r="S989" s="5">
        <f>+$P989*BE989</f>
        <v>0</v>
      </c>
      <c r="T989" s="5">
        <f>+$P989*BF989</f>
        <v>0</v>
      </c>
      <c r="U989" s="5">
        <f>+$P989*BG989</f>
        <v>0</v>
      </c>
      <c r="V989" s="5">
        <f>+$P989*BH989</f>
        <v>0</v>
      </c>
      <c r="W989" s="5">
        <f>+$P989*BI989</f>
        <v>0</v>
      </c>
      <c r="X989" s="5">
        <f>+$P989*BJ989</f>
        <v>0</v>
      </c>
      <c r="Y989" s="5">
        <f>+$P989*BK989</f>
        <v>0</v>
      </c>
      <c r="Z989" s="5">
        <f>+$P989*BL989</f>
        <v>0</v>
      </c>
      <c r="AA989" s="5">
        <f>+$P989*BM989</f>
        <v>0</v>
      </c>
      <c r="AB989" s="5">
        <f>+$P989*BN989</f>
        <v>0</v>
      </c>
      <c r="AC989" s="5">
        <v>0</v>
      </c>
      <c r="AD989" s="5">
        <f>+$AC989*BC989</f>
        <v>0</v>
      </c>
      <c r="AE989" s="5">
        <f>+$AC989*BD989</f>
        <v>0</v>
      </c>
      <c r="AF989" s="5">
        <f>+$AC989*BE989</f>
        <v>0</v>
      </c>
      <c r="AG989" s="5">
        <f>+$AC989*BF989</f>
        <v>0</v>
      </c>
      <c r="AH989" s="5">
        <f>+$AC989*BG989</f>
        <v>0</v>
      </c>
      <c r="AI989" s="5">
        <f>+$AC989*BH989</f>
        <v>0</v>
      </c>
      <c r="AJ989" s="5">
        <f>+$AC989*BI989</f>
        <v>0</v>
      </c>
      <c r="AK989" s="5">
        <f>+$AC989*BJ989</f>
        <v>0</v>
      </c>
      <c r="AL989" s="5">
        <f>+$AC989*BK989</f>
        <v>0</v>
      </c>
      <c r="AM989" s="5">
        <f>+$AC989*BL989</f>
        <v>0</v>
      </c>
      <c r="AN989" s="5">
        <f>+$AC989*BM989</f>
        <v>0</v>
      </c>
      <c r="AO989" s="5">
        <f>+$AC989*BN989</f>
        <v>0</v>
      </c>
      <c r="AP989" s="5">
        <f>+AC989+P989+C989</f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2">
        <v>8.9181565948742242E-2</v>
      </c>
      <c r="BD989" s="2">
        <v>0.10665277883445198</v>
      </c>
      <c r="BE989" s="2">
        <v>9.438849084854764E-2</v>
      </c>
      <c r="BF989" s="2">
        <v>7.149564986855049E-2</v>
      </c>
      <c r="BG989" s="2">
        <v>0.10368571810536763</v>
      </c>
      <c r="BH989" s="2">
        <v>8.4970330952544637E-2</v>
      </c>
      <c r="BI989" s="2">
        <v>8.4593878877262704E-2</v>
      </c>
      <c r="BJ989" s="2">
        <v>5.7447105462779965E-2</v>
      </c>
      <c r="BK989" s="2">
        <v>8.5153852345557474E-2</v>
      </c>
      <c r="BL989" s="2">
        <v>7.4158058913035174E-2</v>
      </c>
      <c r="BM989" s="2">
        <v>7.5718189192107169E-2</v>
      </c>
      <c r="BN989" s="2">
        <v>7.3955559365675619E-2</v>
      </c>
    </row>
    <row r="990" spans="1:66" x14ac:dyDescent="0.25">
      <c r="A990" s="8">
        <v>32803</v>
      </c>
      <c r="B990" s="8" t="s">
        <v>6</v>
      </c>
      <c r="C990" s="5">
        <v>0</v>
      </c>
      <c r="D990" s="5">
        <f>+$C990*BC990</f>
        <v>0</v>
      </c>
      <c r="E990" s="5">
        <f>+$C990*BD990</f>
        <v>0</v>
      </c>
      <c r="F990" s="5">
        <f>+$C990*BE990</f>
        <v>0</v>
      </c>
      <c r="G990" s="5">
        <f>+$C990*BF990</f>
        <v>0</v>
      </c>
      <c r="H990" s="5">
        <f>+$C990*BG990</f>
        <v>0</v>
      </c>
      <c r="I990" s="5">
        <f>+$C990*BH990</f>
        <v>0</v>
      </c>
      <c r="J990" s="5">
        <f>+$C990*BI990</f>
        <v>0</v>
      </c>
      <c r="K990" s="5">
        <f>+$C990*BJ990</f>
        <v>0</v>
      </c>
      <c r="L990" s="5">
        <f>+$C990*BK990</f>
        <v>0</v>
      </c>
      <c r="M990" s="5">
        <f>+$C990*BL990</f>
        <v>0</v>
      </c>
      <c r="N990" s="5">
        <f>+$C990*BM990</f>
        <v>0</v>
      </c>
      <c r="O990" s="5">
        <f>+$C990*BN990</f>
        <v>0</v>
      </c>
      <c r="P990" s="5">
        <v>0</v>
      </c>
      <c r="Q990" s="5">
        <f>+$P990*BC990</f>
        <v>0</v>
      </c>
      <c r="R990" s="5">
        <f>+$P990*BD990</f>
        <v>0</v>
      </c>
      <c r="S990" s="5">
        <f>+$P990*BE990</f>
        <v>0</v>
      </c>
      <c r="T990" s="5">
        <f>+$P990*BF990</f>
        <v>0</v>
      </c>
      <c r="U990" s="5">
        <f>+$P990*BG990</f>
        <v>0</v>
      </c>
      <c r="V990" s="5">
        <f>+$P990*BH990</f>
        <v>0</v>
      </c>
      <c r="W990" s="5">
        <f>+$P990*BI990</f>
        <v>0</v>
      </c>
      <c r="X990" s="5">
        <f>+$P990*BJ990</f>
        <v>0</v>
      </c>
      <c r="Y990" s="5">
        <f>+$P990*BK990</f>
        <v>0</v>
      </c>
      <c r="Z990" s="5">
        <f>+$P990*BL990</f>
        <v>0</v>
      </c>
      <c r="AA990" s="5">
        <f>+$P990*BM990</f>
        <v>0</v>
      </c>
      <c r="AB990" s="5">
        <f>+$P990*BN990</f>
        <v>0</v>
      </c>
      <c r="AC990" s="5">
        <v>0</v>
      </c>
      <c r="AD990" s="5">
        <f>+$AC990*BC990</f>
        <v>0</v>
      </c>
      <c r="AE990" s="5">
        <f>+$AC990*BD990</f>
        <v>0</v>
      </c>
      <c r="AF990" s="5">
        <f>+$AC990*BE990</f>
        <v>0</v>
      </c>
      <c r="AG990" s="5">
        <f>+$AC990*BF990</f>
        <v>0</v>
      </c>
      <c r="AH990" s="5">
        <f>+$AC990*BG990</f>
        <v>0</v>
      </c>
      <c r="AI990" s="5">
        <f>+$AC990*BH990</f>
        <v>0</v>
      </c>
      <c r="AJ990" s="5">
        <f>+$AC990*BI990</f>
        <v>0</v>
      </c>
      <c r="AK990" s="5">
        <f>+$AC990*BJ990</f>
        <v>0</v>
      </c>
      <c r="AL990" s="5">
        <f>+$AC990*BK990</f>
        <v>0</v>
      </c>
      <c r="AM990" s="5">
        <f>+$AC990*BL990</f>
        <v>0</v>
      </c>
      <c r="AN990" s="5">
        <f>+$AC990*BM990</f>
        <v>0</v>
      </c>
      <c r="AO990" s="5">
        <f>+$AC990*BN990</f>
        <v>0</v>
      </c>
      <c r="AP990" s="5">
        <f>+AC990+P990+C990</f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2">
        <v>8.9181565948742242E-2</v>
      </c>
      <c r="BD990" s="2">
        <v>0.10665277883445198</v>
      </c>
      <c r="BE990" s="2">
        <v>9.438849084854764E-2</v>
      </c>
      <c r="BF990" s="2">
        <v>7.149564986855049E-2</v>
      </c>
      <c r="BG990" s="2">
        <v>0.10368571810536763</v>
      </c>
      <c r="BH990" s="2">
        <v>8.4970330952544637E-2</v>
      </c>
      <c r="BI990" s="2">
        <v>8.4593878877262704E-2</v>
      </c>
      <c r="BJ990" s="2">
        <v>5.7447105462779965E-2</v>
      </c>
      <c r="BK990" s="2">
        <v>8.5153852345557474E-2</v>
      </c>
      <c r="BL990" s="2">
        <v>7.4158058913035174E-2</v>
      </c>
      <c r="BM990" s="2">
        <v>7.5718189192107169E-2</v>
      </c>
      <c r="BN990" s="2">
        <v>7.3955559365675619E-2</v>
      </c>
    </row>
    <row r="991" spans="1:66" x14ac:dyDescent="0.25">
      <c r="A991" s="8">
        <v>33306</v>
      </c>
      <c r="B991" s="8" t="s">
        <v>5</v>
      </c>
      <c r="C991" s="5">
        <v>0</v>
      </c>
      <c r="D991" s="5">
        <f>+$C991*BC991</f>
        <v>0</v>
      </c>
      <c r="E991" s="5">
        <f>+$C991*BD991</f>
        <v>0</v>
      </c>
      <c r="F991" s="5">
        <f>+$C991*BE991</f>
        <v>0</v>
      </c>
      <c r="G991" s="5">
        <f>+$C991*BF991</f>
        <v>0</v>
      </c>
      <c r="H991" s="5">
        <f>+$C991*BG991</f>
        <v>0</v>
      </c>
      <c r="I991" s="5">
        <f>+$C991*BH991</f>
        <v>0</v>
      </c>
      <c r="J991" s="5">
        <f>+$C991*BI991</f>
        <v>0</v>
      </c>
      <c r="K991" s="5">
        <f>+$C991*BJ991</f>
        <v>0</v>
      </c>
      <c r="L991" s="5">
        <f>+$C991*BK991</f>
        <v>0</v>
      </c>
      <c r="M991" s="5">
        <f>+$C991*BL991</f>
        <v>0</v>
      </c>
      <c r="N991" s="5">
        <f>+$C991*BM991</f>
        <v>0</v>
      </c>
      <c r="O991" s="5">
        <f>+$C991*BN991</f>
        <v>0</v>
      </c>
      <c r="P991" s="5">
        <v>0</v>
      </c>
      <c r="Q991" s="5">
        <f>+$P991*BC991</f>
        <v>0</v>
      </c>
      <c r="R991" s="5">
        <f>+$P991*BD991</f>
        <v>0</v>
      </c>
      <c r="S991" s="5">
        <f>+$P991*BE991</f>
        <v>0</v>
      </c>
      <c r="T991" s="5">
        <f>+$P991*BF991</f>
        <v>0</v>
      </c>
      <c r="U991" s="5">
        <f>+$P991*BG991</f>
        <v>0</v>
      </c>
      <c r="V991" s="5">
        <f>+$P991*BH991</f>
        <v>0</v>
      </c>
      <c r="W991" s="5">
        <f>+$P991*BI991</f>
        <v>0</v>
      </c>
      <c r="X991" s="5">
        <f>+$P991*BJ991</f>
        <v>0</v>
      </c>
      <c r="Y991" s="5">
        <f>+$P991*BK991</f>
        <v>0</v>
      </c>
      <c r="Z991" s="5">
        <f>+$P991*BL991</f>
        <v>0</v>
      </c>
      <c r="AA991" s="5">
        <f>+$P991*BM991</f>
        <v>0</v>
      </c>
      <c r="AB991" s="5">
        <f>+$P991*BN991</f>
        <v>0</v>
      </c>
      <c r="AC991" s="5">
        <v>500</v>
      </c>
      <c r="AD991" s="5">
        <f>+$AC991*BC991</f>
        <v>44.590782974371123</v>
      </c>
      <c r="AE991" s="5">
        <f>+$AC991*BD991</f>
        <v>53.32638941722599</v>
      </c>
      <c r="AF991" s="5">
        <f>+$AC991*BE991</f>
        <v>47.194245424273824</v>
      </c>
      <c r="AG991" s="5">
        <f>+$AC991*BF991</f>
        <v>35.747824934275243</v>
      </c>
      <c r="AH991" s="5">
        <f>+$AC991*BG991</f>
        <v>51.842859052683814</v>
      </c>
      <c r="AI991" s="5">
        <f>+$AC991*BH991</f>
        <v>42.485165476272321</v>
      </c>
      <c r="AJ991" s="5">
        <f>+$AC991*BI991</f>
        <v>42.296939438631355</v>
      </c>
      <c r="AK991" s="5">
        <f>+$AC991*BJ991</f>
        <v>28.723552731389983</v>
      </c>
      <c r="AL991" s="5">
        <f>+$AC991*BK991</f>
        <v>42.576926172778734</v>
      </c>
      <c r="AM991" s="5">
        <f>+$AC991*BL991</f>
        <v>37.079029456517588</v>
      </c>
      <c r="AN991" s="5">
        <f>+$AC991*BM991</f>
        <v>37.859094596053588</v>
      </c>
      <c r="AO991" s="5">
        <f>+$AC991*BN991</f>
        <v>36.977779682837813</v>
      </c>
      <c r="AP991" s="5">
        <f>+AC991+P991+C991</f>
        <v>500</v>
      </c>
      <c r="AQ991" s="1">
        <v>1.8737047005830747</v>
      </c>
      <c r="AR991" s="1">
        <v>2.2407748833118362</v>
      </c>
      <c r="AS991" s="1">
        <v>1.9831021927279862</v>
      </c>
      <c r="AT991" s="1">
        <v>1.5021236037382459</v>
      </c>
      <c r="AU991" s="1">
        <v>2.1784369373937742</v>
      </c>
      <c r="AV991" s="1">
        <v>1.785226653312963</v>
      </c>
      <c r="AW991" s="1">
        <v>1.7773173952112895</v>
      </c>
      <c r="AX991" s="1">
        <v>1.2069636857730071</v>
      </c>
      <c r="AY991" s="1">
        <v>1.7890824377801626</v>
      </c>
      <c r="AZ991" s="1">
        <v>1.5580608177628692</v>
      </c>
      <c r="BA991" s="1">
        <v>1.5908391549261718</v>
      </c>
      <c r="BB991" s="1">
        <v>1.5538063022728448</v>
      </c>
      <c r="BC991" s="2">
        <v>8.9181565948742242E-2</v>
      </c>
      <c r="BD991" s="2">
        <v>0.10665277883445198</v>
      </c>
      <c r="BE991" s="2">
        <v>9.438849084854764E-2</v>
      </c>
      <c r="BF991" s="2">
        <v>7.149564986855049E-2</v>
      </c>
      <c r="BG991" s="2">
        <v>0.10368571810536763</v>
      </c>
      <c r="BH991" s="2">
        <v>8.4970330952544637E-2</v>
      </c>
      <c r="BI991" s="2">
        <v>8.4593878877262704E-2</v>
      </c>
      <c r="BJ991" s="2">
        <v>5.7447105462779965E-2</v>
      </c>
      <c r="BK991" s="2">
        <v>8.5153852345557474E-2</v>
      </c>
      <c r="BL991" s="2">
        <v>7.4158058913035174E-2</v>
      </c>
      <c r="BM991" s="2">
        <v>7.5718189192107169E-2</v>
      </c>
      <c r="BN991" s="2">
        <v>7.3955559365675619E-2</v>
      </c>
    </row>
    <row r="992" spans="1:66" x14ac:dyDescent="0.25">
      <c r="A992" s="8">
        <v>34049</v>
      </c>
      <c r="B992" s="8" t="s">
        <v>4</v>
      </c>
      <c r="C992" s="5">
        <v>0</v>
      </c>
      <c r="D992" s="5">
        <f>+$C992*BC992</f>
        <v>0</v>
      </c>
      <c r="E992" s="5">
        <f>+$C992*BD992</f>
        <v>0</v>
      </c>
      <c r="F992" s="5">
        <f>+$C992*BE992</f>
        <v>0</v>
      </c>
      <c r="G992" s="5">
        <f>+$C992*BF992</f>
        <v>0</v>
      </c>
      <c r="H992" s="5">
        <f>+$C992*BG992</f>
        <v>0</v>
      </c>
      <c r="I992" s="5">
        <f>+$C992*BH992</f>
        <v>0</v>
      </c>
      <c r="J992" s="5">
        <f>+$C992*BI992</f>
        <v>0</v>
      </c>
      <c r="K992" s="5">
        <f>+$C992*BJ992</f>
        <v>0</v>
      </c>
      <c r="L992" s="5">
        <f>+$C992*BK992</f>
        <v>0</v>
      </c>
      <c r="M992" s="5">
        <f>+$C992*BL992</f>
        <v>0</v>
      </c>
      <c r="N992" s="5">
        <f>+$C992*BM992</f>
        <v>0</v>
      </c>
      <c r="O992" s="5">
        <f>+$C992*BN992</f>
        <v>0</v>
      </c>
      <c r="P992" s="5">
        <v>0</v>
      </c>
      <c r="Q992" s="5">
        <f>+$P992*BC992</f>
        <v>0</v>
      </c>
      <c r="R992" s="5">
        <f>+$P992*BD992</f>
        <v>0</v>
      </c>
      <c r="S992" s="5">
        <f>+$P992*BE992</f>
        <v>0</v>
      </c>
      <c r="T992" s="5">
        <f>+$P992*BF992</f>
        <v>0</v>
      </c>
      <c r="U992" s="5">
        <f>+$P992*BG992</f>
        <v>0</v>
      </c>
      <c r="V992" s="5">
        <f>+$P992*BH992</f>
        <v>0</v>
      </c>
      <c r="W992" s="5">
        <f>+$P992*BI992</f>
        <v>0</v>
      </c>
      <c r="X992" s="5">
        <f>+$P992*BJ992</f>
        <v>0</v>
      </c>
      <c r="Y992" s="5">
        <f>+$P992*BK992</f>
        <v>0</v>
      </c>
      <c r="Z992" s="5">
        <f>+$P992*BL992</f>
        <v>0</v>
      </c>
      <c r="AA992" s="5">
        <f>+$P992*BM992</f>
        <v>0</v>
      </c>
      <c r="AB992" s="5">
        <f>+$P992*BN992</f>
        <v>0</v>
      </c>
      <c r="AC992" s="5">
        <v>0</v>
      </c>
      <c r="AD992" s="5">
        <f>+$AC992*BC992</f>
        <v>0</v>
      </c>
      <c r="AE992" s="5">
        <f>+$AC992*BD992</f>
        <v>0</v>
      </c>
      <c r="AF992" s="5">
        <f>+$AC992*BE992</f>
        <v>0</v>
      </c>
      <c r="AG992" s="5">
        <f>+$AC992*BF992</f>
        <v>0</v>
      </c>
      <c r="AH992" s="5">
        <f>+$AC992*BG992</f>
        <v>0</v>
      </c>
      <c r="AI992" s="5">
        <f>+$AC992*BH992</f>
        <v>0</v>
      </c>
      <c r="AJ992" s="5">
        <f>+$AC992*BI992</f>
        <v>0</v>
      </c>
      <c r="AK992" s="5">
        <f>+$AC992*BJ992</f>
        <v>0</v>
      </c>
      <c r="AL992" s="5">
        <f>+$AC992*BK992</f>
        <v>0</v>
      </c>
      <c r="AM992" s="5">
        <f>+$AC992*BL992</f>
        <v>0</v>
      </c>
      <c r="AN992" s="5">
        <f>+$AC992*BM992</f>
        <v>0</v>
      </c>
      <c r="AO992" s="5">
        <f>+$AC992*BN992</f>
        <v>0</v>
      </c>
      <c r="AP992" s="5">
        <f>+AC992+P992+C992</f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2">
        <v>8.9181565948742242E-2</v>
      </c>
      <c r="BD992" s="2">
        <v>0.10665277883445198</v>
      </c>
      <c r="BE992" s="2">
        <v>9.438849084854764E-2</v>
      </c>
      <c r="BF992" s="2">
        <v>7.149564986855049E-2</v>
      </c>
      <c r="BG992" s="2">
        <v>0.10368571810536763</v>
      </c>
      <c r="BH992" s="2">
        <v>8.4970330952544637E-2</v>
      </c>
      <c r="BI992" s="2">
        <v>8.4593878877262704E-2</v>
      </c>
      <c r="BJ992" s="2">
        <v>5.7447105462779965E-2</v>
      </c>
      <c r="BK992" s="2">
        <v>8.5153852345557474E-2</v>
      </c>
      <c r="BL992" s="2">
        <v>7.4158058913035174E-2</v>
      </c>
      <c r="BM992" s="2">
        <v>7.5718189192107169E-2</v>
      </c>
      <c r="BN992" s="2">
        <v>7.3955559365675619E-2</v>
      </c>
    </row>
    <row r="993" spans="1:66" x14ac:dyDescent="0.25">
      <c r="A993" s="8">
        <v>34302</v>
      </c>
      <c r="B993" s="8" t="s">
        <v>3</v>
      </c>
      <c r="C993" s="5">
        <v>0</v>
      </c>
      <c r="D993" s="5">
        <f>+$C993*BC993</f>
        <v>0</v>
      </c>
      <c r="E993" s="5">
        <f>+$C993*BD993</f>
        <v>0</v>
      </c>
      <c r="F993" s="5">
        <f>+$C993*BE993</f>
        <v>0</v>
      </c>
      <c r="G993" s="5">
        <f>+$C993*BF993</f>
        <v>0</v>
      </c>
      <c r="H993" s="5">
        <f>+$C993*BG993</f>
        <v>0</v>
      </c>
      <c r="I993" s="5">
        <f>+$C993*BH993</f>
        <v>0</v>
      </c>
      <c r="J993" s="5">
        <f>+$C993*BI993</f>
        <v>0</v>
      </c>
      <c r="K993" s="5">
        <f>+$C993*BJ993</f>
        <v>0</v>
      </c>
      <c r="L993" s="5">
        <f>+$C993*BK993</f>
        <v>0</v>
      </c>
      <c r="M993" s="5">
        <f>+$C993*BL993</f>
        <v>0</v>
      </c>
      <c r="N993" s="5">
        <f>+$C993*BM993</f>
        <v>0</v>
      </c>
      <c r="O993" s="5">
        <f>+$C993*BN993</f>
        <v>0</v>
      </c>
      <c r="P993" s="5">
        <v>1000</v>
      </c>
      <c r="Q993" s="5">
        <f>+$P993*BC993</f>
        <v>89.181565948742247</v>
      </c>
      <c r="R993" s="5">
        <f>+$P993*BD993</f>
        <v>106.65277883445198</v>
      </c>
      <c r="S993" s="5">
        <f>+$P993*BE993</f>
        <v>94.388490848547647</v>
      </c>
      <c r="T993" s="5">
        <f>+$P993*BF993</f>
        <v>71.495649868550487</v>
      </c>
      <c r="U993" s="5">
        <f>+$P993*BG993</f>
        <v>103.68571810536763</v>
      </c>
      <c r="V993" s="5">
        <f>+$P993*BH993</f>
        <v>84.970330952544643</v>
      </c>
      <c r="W993" s="5">
        <f>+$P993*BI993</f>
        <v>84.593878877262711</v>
      </c>
      <c r="X993" s="5">
        <f>+$P993*BJ993</f>
        <v>57.447105462779966</v>
      </c>
      <c r="Y993" s="5">
        <f>+$P993*BK993</f>
        <v>85.153852345557468</v>
      </c>
      <c r="Z993" s="5">
        <f>+$P993*BL993</f>
        <v>74.158058913035177</v>
      </c>
      <c r="AA993" s="5">
        <f>+$P993*BM993</f>
        <v>75.718189192107175</v>
      </c>
      <c r="AB993" s="5">
        <f>+$P993*BN993</f>
        <v>73.955559365675626</v>
      </c>
      <c r="AC993" s="5">
        <v>0</v>
      </c>
      <c r="AD993" s="5">
        <f>+$AC993*BC993</f>
        <v>0</v>
      </c>
      <c r="AE993" s="5">
        <f>+$AC993*BD993</f>
        <v>0</v>
      </c>
      <c r="AF993" s="5">
        <f>+$AC993*BE993</f>
        <v>0</v>
      </c>
      <c r="AG993" s="5">
        <f>+$AC993*BF993</f>
        <v>0</v>
      </c>
      <c r="AH993" s="5">
        <f>+$AC993*BG993</f>
        <v>0</v>
      </c>
      <c r="AI993" s="5">
        <f>+$AC993*BH993</f>
        <v>0</v>
      </c>
      <c r="AJ993" s="5">
        <f>+$AC993*BI993</f>
        <v>0</v>
      </c>
      <c r="AK993" s="5">
        <f>+$AC993*BJ993</f>
        <v>0</v>
      </c>
      <c r="AL993" s="5">
        <f>+$AC993*BK993</f>
        <v>0</v>
      </c>
      <c r="AM993" s="5">
        <f>+$AC993*BL993</f>
        <v>0</v>
      </c>
      <c r="AN993" s="5">
        <f>+$AC993*BM993</f>
        <v>0</v>
      </c>
      <c r="AO993" s="5">
        <f>+$AC993*BN993</f>
        <v>0</v>
      </c>
      <c r="AP993" s="5">
        <f>+AC993+P993+C993</f>
        <v>1000</v>
      </c>
      <c r="AQ993" s="1">
        <v>3.8111742208195003</v>
      </c>
      <c r="AR993" s="1">
        <v>4.5578065034903066</v>
      </c>
      <c r="AS993" s="1">
        <v>4.033692156412684</v>
      </c>
      <c r="AT993" s="1">
        <v>3.0553665971325055</v>
      </c>
      <c r="AU993" s="1">
        <v>4.4310091632328863</v>
      </c>
      <c r="AV993" s="1">
        <v>3.6312070932569958</v>
      </c>
      <c r="AW993" s="1">
        <v>3.6151194138198224</v>
      </c>
      <c r="AX993" s="1">
        <v>2.4550020519519022</v>
      </c>
      <c r="AY993" s="1">
        <v>3.6390498799873994</v>
      </c>
      <c r="AZ993" s="1">
        <v>3.1691446476485585</v>
      </c>
      <c r="BA993" s="1">
        <v>3.2358168151247004</v>
      </c>
      <c r="BB993" s="1">
        <v>3.1604908294921481</v>
      </c>
      <c r="BC993" s="2">
        <v>8.9181565948742242E-2</v>
      </c>
      <c r="BD993" s="2">
        <v>0.10665277883445198</v>
      </c>
      <c r="BE993" s="2">
        <v>9.438849084854764E-2</v>
      </c>
      <c r="BF993" s="2">
        <v>7.149564986855049E-2</v>
      </c>
      <c r="BG993" s="2">
        <v>0.10368571810536763</v>
      </c>
      <c r="BH993" s="2">
        <v>8.4970330952544637E-2</v>
      </c>
      <c r="BI993" s="2">
        <v>8.4593878877262704E-2</v>
      </c>
      <c r="BJ993" s="2">
        <v>5.7447105462779965E-2</v>
      </c>
      <c r="BK993" s="2">
        <v>8.5153852345557474E-2</v>
      </c>
      <c r="BL993" s="2">
        <v>7.4158058913035174E-2</v>
      </c>
      <c r="BM993" s="2">
        <v>7.5718189192107169E-2</v>
      </c>
      <c r="BN993" s="2">
        <v>7.3955559365675619E-2</v>
      </c>
    </row>
    <row r="994" spans="1:66" x14ac:dyDescent="0.25">
      <c r="A994" s="8">
        <v>34804</v>
      </c>
      <c r="B994" s="8" t="s">
        <v>2</v>
      </c>
      <c r="C994" s="5">
        <v>0</v>
      </c>
      <c r="D994" s="5">
        <f>+$C994*BC994</f>
        <v>0</v>
      </c>
      <c r="E994" s="5">
        <f>+$C994*BD994</f>
        <v>0</v>
      </c>
      <c r="F994" s="5">
        <f>+$C994*BE994</f>
        <v>0</v>
      </c>
      <c r="G994" s="5">
        <f>+$C994*BF994</f>
        <v>0</v>
      </c>
      <c r="H994" s="5">
        <f>+$C994*BG994</f>
        <v>0</v>
      </c>
      <c r="I994" s="5">
        <f>+$C994*BH994</f>
        <v>0</v>
      </c>
      <c r="J994" s="5">
        <f>+$C994*BI994</f>
        <v>0</v>
      </c>
      <c r="K994" s="5">
        <f>+$C994*BJ994</f>
        <v>0</v>
      </c>
      <c r="L994" s="5">
        <f>+$C994*BK994</f>
        <v>0</v>
      </c>
      <c r="M994" s="5">
        <f>+$C994*BL994</f>
        <v>0</v>
      </c>
      <c r="N994" s="5">
        <f>+$C994*BM994</f>
        <v>0</v>
      </c>
      <c r="O994" s="5">
        <f>+$C994*BN994</f>
        <v>0</v>
      </c>
      <c r="P994" s="5">
        <v>0</v>
      </c>
      <c r="Q994" s="5">
        <f>+$P994*BC994</f>
        <v>0</v>
      </c>
      <c r="R994" s="5">
        <f>+$P994*BD994</f>
        <v>0</v>
      </c>
      <c r="S994" s="5">
        <f>+$P994*BE994</f>
        <v>0</v>
      </c>
      <c r="T994" s="5">
        <f>+$P994*BF994</f>
        <v>0</v>
      </c>
      <c r="U994" s="5">
        <f>+$P994*BG994</f>
        <v>0</v>
      </c>
      <c r="V994" s="5">
        <f>+$P994*BH994</f>
        <v>0</v>
      </c>
      <c r="W994" s="5">
        <f>+$P994*BI994</f>
        <v>0</v>
      </c>
      <c r="X994" s="5">
        <f>+$P994*BJ994</f>
        <v>0</v>
      </c>
      <c r="Y994" s="5">
        <f>+$P994*BK994</f>
        <v>0</v>
      </c>
      <c r="Z994" s="5">
        <f>+$P994*BL994</f>
        <v>0</v>
      </c>
      <c r="AA994" s="5">
        <f>+$P994*BM994</f>
        <v>0</v>
      </c>
      <c r="AB994" s="5">
        <f>+$P994*BN994</f>
        <v>0</v>
      </c>
      <c r="AC994" s="5">
        <v>0</v>
      </c>
      <c r="AD994" s="5">
        <f>+$AC994*BC994</f>
        <v>0</v>
      </c>
      <c r="AE994" s="5">
        <f>+$AC994*BD994</f>
        <v>0</v>
      </c>
      <c r="AF994" s="5">
        <f>+$AC994*BE994</f>
        <v>0</v>
      </c>
      <c r="AG994" s="5">
        <f>+$AC994*BF994</f>
        <v>0</v>
      </c>
      <c r="AH994" s="5">
        <f>+$AC994*BG994</f>
        <v>0</v>
      </c>
      <c r="AI994" s="5">
        <f>+$AC994*BH994</f>
        <v>0</v>
      </c>
      <c r="AJ994" s="5">
        <f>+$AC994*BI994</f>
        <v>0</v>
      </c>
      <c r="AK994" s="5">
        <f>+$AC994*BJ994</f>
        <v>0</v>
      </c>
      <c r="AL994" s="5">
        <f>+$AC994*BK994</f>
        <v>0</v>
      </c>
      <c r="AM994" s="5">
        <f>+$AC994*BL994</f>
        <v>0</v>
      </c>
      <c r="AN994" s="5">
        <f>+$AC994*BM994</f>
        <v>0</v>
      </c>
      <c r="AO994" s="5">
        <f>+$AC994*BN994</f>
        <v>0</v>
      </c>
      <c r="AP994" s="5">
        <f>+AC994+P994+C994</f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2">
        <v>8.9181565948742242E-2</v>
      </c>
      <c r="BD994" s="2">
        <v>0.10665277883445198</v>
      </c>
      <c r="BE994" s="2">
        <v>9.438849084854764E-2</v>
      </c>
      <c r="BF994" s="2">
        <v>7.149564986855049E-2</v>
      </c>
      <c r="BG994" s="2">
        <v>0.10368571810536763</v>
      </c>
      <c r="BH994" s="2">
        <v>8.4970330952544637E-2</v>
      </c>
      <c r="BI994" s="2">
        <v>8.4593878877262704E-2</v>
      </c>
      <c r="BJ994" s="2">
        <v>5.7447105462779965E-2</v>
      </c>
      <c r="BK994" s="2">
        <v>8.5153852345557474E-2</v>
      </c>
      <c r="BL994" s="2">
        <v>7.4158058913035174E-2</v>
      </c>
      <c r="BM994" s="2">
        <v>7.5718189192107169E-2</v>
      </c>
      <c r="BN994" s="2">
        <v>7.3955559365675619E-2</v>
      </c>
    </row>
    <row r="995" spans="1:66" x14ac:dyDescent="0.25">
      <c r="A995" s="8">
        <v>43012</v>
      </c>
      <c r="B995" s="8" t="s">
        <v>1</v>
      </c>
      <c r="C995" s="5">
        <v>0</v>
      </c>
      <c r="D995" s="5">
        <f>+$C995*BC995</f>
        <v>0</v>
      </c>
      <c r="E995" s="5">
        <f>+$C995*BD995</f>
        <v>0</v>
      </c>
      <c r="F995" s="5">
        <f>+$C995*BE995</f>
        <v>0</v>
      </c>
      <c r="G995" s="5">
        <f>+$C995*BF995</f>
        <v>0</v>
      </c>
      <c r="H995" s="5">
        <f>+$C995*BG995</f>
        <v>0</v>
      </c>
      <c r="I995" s="5">
        <f>+$C995*BH995</f>
        <v>0</v>
      </c>
      <c r="J995" s="5">
        <f>+$C995*BI995</f>
        <v>0</v>
      </c>
      <c r="K995" s="5">
        <f>+$C995*BJ995</f>
        <v>0</v>
      </c>
      <c r="L995" s="5">
        <f>+$C995*BK995</f>
        <v>0</v>
      </c>
      <c r="M995" s="5">
        <f>+$C995*BL995</f>
        <v>0</v>
      </c>
      <c r="N995" s="5">
        <f>+$C995*BM995</f>
        <v>0</v>
      </c>
      <c r="O995" s="5">
        <f>+$C995*BN995</f>
        <v>0</v>
      </c>
      <c r="P995" s="5">
        <v>0</v>
      </c>
      <c r="Q995" s="5">
        <f>+$P995*BC995</f>
        <v>0</v>
      </c>
      <c r="R995" s="5">
        <f>+$P995*BD995</f>
        <v>0</v>
      </c>
      <c r="S995" s="5">
        <f>+$P995*BE995</f>
        <v>0</v>
      </c>
      <c r="T995" s="5">
        <f>+$P995*BF995</f>
        <v>0</v>
      </c>
      <c r="U995" s="5">
        <f>+$P995*BG995</f>
        <v>0</v>
      </c>
      <c r="V995" s="5">
        <f>+$P995*BH995</f>
        <v>0</v>
      </c>
      <c r="W995" s="5">
        <f>+$P995*BI995</f>
        <v>0</v>
      </c>
      <c r="X995" s="5">
        <f>+$P995*BJ995</f>
        <v>0</v>
      </c>
      <c r="Y995" s="5">
        <f>+$P995*BK995</f>
        <v>0</v>
      </c>
      <c r="Z995" s="5">
        <f>+$P995*BL995</f>
        <v>0</v>
      </c>
      <c r="AA995" s="5">
        <f>+$P995*BM995</f>
        <v>0</v>
      </c>
      <c r="AB995" s="5">
        <f>+$P995*BN995</f>
        <v>0</v>
      </c>
      <c r="AC995" s="5">
        <v>0</v>
      </c>
      <c r="AD995" s="5">
        <f>+$AC995*BC995</f>
        <v>0</v>
      </c>
      <c r="AE995" s="5">
        <f>+$AC995*BD995</f>
        <v>0</v>
      </c>
      <c r="AF995" s="5">
        <f>+$AC995*BE995</f>
        <v>0</v>
      </c>
      <c r="AG995" s="5">
        <f>+$AC995*BF995</f>
        <v>0</v>
      </c>
      <c r="AH995" s="5">
        <f>+$AC995*BG995</f>
        <v>0</v>
      </c>
      <c r="AI995" s="5">
        <f>+$AC995*BH995</f>
        <v>0</v>
      </c>
      <c r="AJ995" s="5">
        <f>+$AC995*BI995</f>
        <v>0</v>
      </c>
      <c r="AK995" s="5">
        <f>+$AC995*BJ995</f>
        <v>0</v>
      </c>
      <c r="AL995" s="5">
        <f>+$AC995*BK995</f>
        <v>0</v>
      </c>
      <c r="AM995" s="5">
        <f>+$AC995*BL995</f>
        <v>0</v>
      </c>
      <c r="AN995" s="5">
        <f>+$AC995*BM995</f>
        <v>0</v>
      </c>
      <c r="AO995" s="5">
        <f>+$AC995*BN995</f>
        <v>0</v>
      </c>
      <c r="AP995" s="5">
        <f>+AC995+P995+C995</f>
        <v>0</v>
      </c>
      <c r="AQ995" s="1">
        <v>14.371609352639814</v>
      </c>
      <c r="AR995" s="1">
        <v>17.187095309171937</v>
      </c>
      <c r="AS995" s="1">
        <v>15.210705300243452</v>
      </c>
      <c r="AT995" s="1">
        <v>11.521523976316912</v>
      </c>
      <c r="AU995" s="1">
        <v>16.708953472679994</v>
      </c>
      <c r="AV995" s="1">
        <v>13.692968833002569</v>
      </c>
      <c r="AW995" s="1">
        <v>13.632303581070886</v>
      </c>
      <c r="AX995" s="1">
        <v>9.2576010453269912</v>
      </c>
      <c r="AY995" s="1">
        <v>13.722543305486587</v>
      </c>
      <c r="AZ995" s="1">
        <v>11.95057119383562</v>
      </c>
      <c r="BA995" s="1">
        <v>12.201986188308071</v>
      </c>
      <c r="BB995" s="1">
        <v>11.917938391778627</v>
      </c>
      <c r="BC995" s="2">
        <v>8.9181565948742242E-2</v>
      </c>
      <c r="BD995" s="2">
        <v>0.10665277883445198</v>
      </c>
      <c r="BE995" s="2">
        <v>9.438849084854764E-2</v>
      </c>
      <c r="BF995" s="2">
        <v>7.149564986855049E-2</v>
      </c>
      <c r="BG995" s="2">
        <v>0.10368571810536763</v>
      </c>
      <c r="BH995" s="2">
        <v>8.4970330952544637E-2</v>
      </c>
      <c r="BI995" s="2">
        <v>8.4593878877262704E-2</v>
      </c>
      <c r="BJ995" s="2">
        <v>5.7447105462779965E-2</v>
      </c>
      <c r="BK995" s="2">
        <v>8.5153852345557474E-2</v>
      </c>
      <c r="BL995" s="2">
        <v>7.4158058913035174E-2</v>
      </c>
      <c r="BM995" s="2">
        <v>7.5718189192107169E-2</v>
      </c>
      <c r="BN995" s="2">
        <v>7.3955559365675619E-2</v>
      </c>
    </row>
    <row r="996" spans="1:66" x14ac:dyDescent="0.25">
      <c r="A996" s="8">
        <v>48014</v>
      </c>
      <c r="B996" s="8" t="s">
        <v>0</v>
      </c>
      <c r="C996" s="5">
        <v>0</v>
      </c>
      <c r="D996" s="5">
        <f>+$C996*BC996</f>
        <v>0</v>
      </c>
      <c r="E996" s="5">
        <f>+$C996*BD996</f>
        <v>0</v>
      </c>
      <c r="F996" s="5">
        <f>+$C996*BE996</f>
        <v>0</v>
      </c>
      <c r="G996" s="5">
        <f>+$C996*BF996</f>
        <v>0</v>
      </c>
      <c r="H996" s="5">
        <f>+$C996*BG996</f>
        <v>0</v>
      </c>
      <c r="I996" s="5">
        <f>+$C996*BH996</f>
        <v>0</v>
      </c>
      <c r="J996" s="5">
        <f>+$C996*BI996</f>
        <v>0</v>
      </c>
      <c r="K996" s="5">
        <f>+$C996*BJ996</f>
        <v>0</v>
      </c>
      <c r="L996" s="5">
        <f>+$C996*BK996</f>
        <v>0</v>
      </c>
      <c r="M996" s="5">
        <f>+$C996*BL996</f>
        <v>0</v>
      </c>
      <c r="N996" s="5">
        <f>+$C996*BM996</f>
        <v>0</v>
      </c>
      <c r="O996" s="5">
        <f>+$C996*BN996</f>
        <v>0</v>
      </c>
      <c r="P996" s="5">
        <v>0</v>
      </c>
      <c r="Q996" s="5">
        <f>+$P996*BC996</f>
        <v>0</v>
      </c>
      <c r="R996" s="5">
        <f>+$P996*BD996</f>
        <v>0</v>
      </c>
      <c r="S996" s="5">
        <f>+$P996*BE996</f>
        <v>0</v>
      </c>
      <c r="T996" s="5">
        <f>+$P996*BF996</f>
        <v>0</v>
      </c>
      <c r="U996" s="5">
        <f>+$P996*BG996</f>
        <v>0</v>
      </c>
      <c r="V996" s="5">
        <f>+$P996*BH996</f>
        <v>0</v>
      </c>
      <c r="W996" s="5">
        <f>+$P996*BI996</f>
        <v>0</v>
      </c>
      <c r="X996" s="5">
        <f>+$P996*BJ996</f>
        <v>0</v>
      </c>
      <c r="Y996" s="5">
        <f>+$P996*BK996</f>
        <v>0</v>
      </c>
      <c r="Z996" s="5">
        <f>+$P996*BL996</f>
        <v>0</v>
      </c>
      <c r="AA996" s="5">
        <f>+$P996*BM996</f>
        <v>0</v>
      </c>
      <c r="AB996" s="5">
        <f>+$P996*BN996</f>
        <v>0</v>
      </c>
      <c r="AC996" s="5">
        <v>0</v>
      </c>
      <c r="AD996" s="5">
        <f>+$AC996*BC996</f>
        <v>0</v>
      </c>
      <c r="AE996" s="5">
        <f>+$AC996*BD996</f>
        <v>0</v>
      </c>
      <c r="AF996" s="5">
        <f>+$AC996*BE996</f>
        <v>0</v>
      </c>
      <c r="AG996" s="5">
        <f>+$AC996*BF996</f>
        <v>0</v>
      </c>
      <c r="AH996" s="5">
        <f>+$AC996*BG996</f>
        <v>0</v>
      </c>
      <c r="AI996" s="5">
        <f>+$AC996*BH996</f>
        <v>0</v>
      </c>
      <c r="AJ996" s="5">
        <f>+$AC996*BI996</f>
        <v>0</v>
      </c>
      <c r="AK996" s="5">
        <f>+$AC996*BJ996</f>
        <v>0</v>
      </c>
      <c r="AL996" s="5">
        <f>+$AC996*BK996</f>
        <v>0</v>
      </c>
      <c r="AM996" s="5">
        <f>+$AC996*BL996</f>
        <v>0</v>
      </c>
      <c r="AN996" s="5">
        <f>+$AC996*BM996</f>
        <v>0</v>
      </c>
      <c r="AO996" s="5">
        <f>+$AC996*BN996</f>
        <v>0</v>
      </c>
      <c r="AP996" s="5">
        <f>+AC996+P996+C996</f>
        <v>0</v>
      </c>
      <c r="AQ996" s="1">
        <v>65.364826128037095</v>
      </c>
      <c r="AR996" s="1">
        <v>78.170194371702081</v>
      </c>
      <c r="AS996" s="1">
        <v>69.181194871025355</v>
      </c>
      <c r="AT996" s="1">
        <v>52.402093110305266</v>
      </c>
      <c r="AU996" s="1">
        <v>75.995513913866262</v>
      </c>
      <c r="AV996" s="1">
        <v>62.278239338689019</v>
      </c>
      <c r="AW996" s="1">
        <v>62.002322178179803</v>
      </c>
      <c r="AX996" s="1">
        <v>42.105338924995415</v>
      </c>
      <c r="AY996" s="1">
        <v>62.412749692005242</v>
      </c>
      <c r="AZ996" s="1">
        <v>54.353481857778917</v>
      </c>
      <c r="BA996" s="1">
        <v>55.496965304652221</v>
      </c>
      <c r="BB996" s="1">
        <v>54.205061637037659</v>
      </c>
      <c r="BC996" s="2">
        <v>8.9181565948742242E-2</v>
      </c>
      <c r="BD996" s="2">
        <v>0.10665277883445198</v>
      </c>
      <c r="BE996" s="2">
        <v>9.438849084854764E-2</v>
      </c>
      <c r="BF996" s="2">
        <v>7.149564986855049E-2</v>
      </c>
      <c r="BG996" s="2">
        <v>0.10368571810536763</v>
      </c>
      <c r="BH996" s="2">
        <v>8.4970330952544637E-2</v>
      </c>
      <c r="BI996" s="2">
        <v>8.4593878877262704E-2</v>
      </c>
      <c r="BJ996" s="2">
        <v>5.7447105462779965E-2</v>
      </c>
      <c r="BK996" s="2">
        <v>8.5153852345557474E-2</v>
      </c>
      <c r="BL996" s="2">
        <v>7.4158058913035174E-2</v>
      </c>
      <c r="BM996" s="2">
        <v>7.5718189192107169E-2</v>
      </c>
      <c r="BN996" s="2">
        <v>7.3955559365675619E-2</v>
      </c>
    </row>
    <row r="997" spans="1:66" x14ac:dyDescent="0.25">
      <c r="C997" s="6">
        <f>SUM(C3:C996)</f>
        <v>6433048.5240000002</v>
      </c>
      <c r="D997" s="6">
        <f>SUM(D3:D996)</f>
        <v>573709.34119456518</v>
      </c>
      <c r="E997" s="6">
        <f>SUM(E3:E996)</f>
        <v>686102.50146146934</v>
      </c>
      <c r="F997" s="6">
        <f>SUM(F3:F996)</f>
        <v>607205.74173583614</v>
      </c>
      <c r="G997" s="6">
        <f>SUM(G3:G996)</f>
        <v>459934.98485929932</v>
      </c>
      <c r="H997" s="6">
        <f>SUM(H3:H996)</f>
        <v>667015.25581761589</v>
      </c>
      <c r="I997" s="6">
        <f>SUM(I3:I996)</f>
        <v>546618.26211805909</v>
      </c>
      <c r="J997" s="6">
        <f>SUM(J3:J996)</f>
        <v>544196.52765081124</v>
      </c>
      <c r="K997" s="6">
        <f>SUM(K3:K996)</f>
        <v>369560.01700540836</v>
      </c>
      <c r="L997" s="6">
        <f>SUM(L3:L996)</f>
        <v>547798.86414450244</v>
      </c>
      <c r="M997" s="6">
        <f>SUM(M3:M996)</f>
        <v>477062.39143320662</v>
      </c>
      <c r="N997" s="6">
        <f>SUM(N3:N996)</f>
        <v>487098.78522223793</v>
      </c>
      <c r="O997" s="6">
        <f>SUM(O3:O996)</f>
        <v>475759.70201895479</v>
      </c>
      <c r="P997" s="6">
        <f>SUM(P2:P996)</f>
        <v>4529600</v>
      </c>
      <c r="Q997" s="6">
        <f>SUM(Q2:Q996)</f>
        <v>403956.82112142263</v>
      </c>
      <c r="R997" s="6">
        <f>SUM(R2:R996)</f>
        <v>483094.42700853484</v>
      </c>
      <c r="S997" s="6">
        <f>SUM(S2:S996)</f>
        <v>427542.10814758093</v>
      </c>
      <c r="T997" s="6">
        <f>SUM(T2:T996)</f>
        <v>323846.6956445867</v>
      </c>
      <c r="U997" s="6">
        <f>SUM(U2:U996)</f>
        <v>469654.82873007399</v>
      </c>
      <c r="V997" s="6">
        <f>SUM(V2:V996)</f>
        <v>384881.61108264816</v>
      </c>
      <c r="W997" s="6">
        <f>SUM(W2:W996)</f>
        <v>383176.4337624507</v>
      </c>
      <c r="X997" s="6">
        <f>SUM(X2:X996)</f>
        <v>260212.40890420755</v>
      </c>
      <c r="Y997" s="6">
        <f>SUM(Y2:Y996)</f>
        <v>385712.88958443637</v>
      </c>
      <c r="Z997" s="6">
        <f>SUM(Z2:Z996)</f>
        <v>335906.34365248471</v>
      </c>
      <c r="AA997" s="6">
        <f>SUM(AA2:AA996)</f>
        <v>342973.10976457014</v>
      </c>
      <c r="AB997" s="6">
        <f>SUM(AB2:AB996)</f>
        <v>334989.10170276521</v>
      </c>
      <c r="AC997" s="6">
        <f>SUM(AC2:AC996)</f>
        <v>2387800</v>
      </c>
      <c r="AD997" s="6">
        <f>SUM(AD2:AD996)</f>
        <v>212947.74317240668</v>
      </c>
      <c r="AE997" s="6">
        <f>SUM(AE2:AE996)</f>
        <v>254665.50530090468</v>
      </c>
      <c r="AF997" s="6">
        <f>SUM(AF2:AF996)</f>
        <v>225380.8384481621</v>
      </c>
      <c r="AG997" s="6">
        <f>SUM(AG2:AG996)</f>
        <v>170717.31275612485</v>
      </c>
      <c r="AH997" s="6">
        <f>SUM(AH2:AH996)</f>
        <v>247580.75769199693</v>
      </c>
      <c r="AI997" s="6">
        <f>SUM(AI2:AI996)</f>
        <v>202892.15624848637</v>
      </c>
      <c r="AJ997" s="6">
        <f>SUM(AJ2:AJ996)</f>
        <v>201993.26398312816</v>
      </c>
      <c r="AK997" s="6">
        <f>SUM(AK2:AK996)</f>
        <v>137172.19842402593</v>
      </c>
      <c r="AL997" s="6">
        <f>SUM(AL2:AL996)</f>
        <v>203330.36863072222</v>
      </c>
      <c r="AM997" s="6">
        <f>SUM(AM2:AM996)</f>
        <v>177074.6130725455</v>
      </c>
      <c r="AN997" s="6">
        <f>SUM(AN2:AN996)</f>
        <v>180799.89215291358</v>
      </c>
      <c r="AO997" s="6">
        <f>SUM(AO2:AO996)</f>
        <v>176591.08465336022</v>
      </c>
      <c r="AP997" s="5">
        <f>+AC997+P997+C997</f>
        <v>13350448.524</v>
      </c>
      <c r="AQ997" s="5">
        <f>+AD997+Q997+D997</f>
        <v>1190613.9054883944</v>
      </c>
      <c r="AR997" s="5">
        <f>+AE997+R997+E997</f>
        <v>1423862.433770909</v>
      </c>
      <c r="AS997" s="5">
        <f>+AF997+S997+F997</f>
        <v>1260128.6883315793</v>
      </c>
      <c r="AT997" s="5">
        <f>+AG997+T997+G997</f>
        <v>954498.99326001084</v>
      </c>
      <c r="AU997" s="5">
        <f>+AH997+U997+H997</f>
        <v>1384250.8422396868</v>
      </c>
      <c r="AV997" s="5">
        <f>+AI997+V997+I997</f>
        <v>1134392.0294491937</v>
      </c>
      <c r="AW997" s="5">
        <f>+AJ997+W997+J997</f>
        <v>1129366.2253963901</v>
      </c>
      <c r="AX997" s="5">
        <f>+AK997+X997+K997</f>
        <v>766944.62433364184</v>
      </c>
      <c r="AY997" s="5">
        <f>+AL997+Y997+L997</f>
        <v>1136842.1223596609</v>
      </c>
      <c r="AZ997" s="5">
        <f>+AM997+Z997+M997</f>
        <v>990043.34815823683</v>
      </c>
      <c r="BA997" s="5">
        <f>+AN997+AA997+N997</f>
        <v>1010871.7871397217</v>
      </c>
      <c r="BB997" s="5">
        <f>+AO997+AB997+O997</f>
        <v>987339.88837508019</v>
      </c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</row>
    <row r="998" spans="1:66" x14ac:dyDescent="0.25">
      <c r="C998" s="6">
        <f>+C997*0.54</f>
        <v>3473846.2029600004</v>
      </c>
      <c r="D998" s="6">
        <f>+D997*0.54</f>
        <v>309803.04424506519</v>
      </c>
      <c r="E998" s="6">
        <f>+E997*0.54</f>
        <v>370495.35078919347</v>
      </c>
      <c r="F998" s="6">
        <f>+F997*0.54</f>
        <v>327891.10053735157</v>
      </c>
      <c r="G998" s="6">
        <f>+G997*0.54</f>
        <v>248364.89182402164</v>
      </c>
      <c r="H998" s="6">
        <f>+H997*0.54</f>
        <v>360188.23814151261</v>
      </c>
      <c r="I998" s="6">
        <f>+I997*0.54</f>
        <v>295173.8615437519</v>
      </c>
      <c r="J998" s="6">
        <f>+J997*0.54</f>
        <v>293866.12493143807</v>
      </c>
      <c r="K998" s="6">
        <f>+K997*0.54</f>
        <v>199562.40918292053</v>
      </c>
      <c r="L998" s="6">
        <f>+L997*0.54</f>
        <v>295811.38663803134</v>
      </c>
      <c r="M998" s="6">
        <f>+M997*0.54</f>
        <v>257613.69137393159</v>
      </c>
      <c r="N998" s="6">
        <f>+N997*0.54</f>
        <v>263033.34402000852</v>
      </c>
      <c r="O998" s="6">
        <f>+O997*0.54</f>
        <v>256910.23909023561</v>
      </c>
      <c r="P998" s="7">
        <f>+P997*0.44</f>
        <v>1993024</v>
      </c>
      <c r="Q998" s="7">
        <f>+Q997*0.44</f>
        <v>177741.00129342597</v>
      </c>
      <c r="R998" s="7">
        <f>+R997*0.44</f>
        <v>212561.54788375532</v>
      </c>
      <c r="S998" s="7">
        <f>+S997*0.44</f>
        <v>188118.52758493563</v>
      </c>
      <c r="T998" s="7">
        <f>+T997*0.44</f>
        <v>142492.54608361816</v>
      </c>
      <c r="U998" s="7">
        <f>+U997*0.44</f>
        <v>206648.12464123257</v>
      </c>
      <c r="V998" s="7">
        <f>+V997*0.44</f>
        <v>169347.9088763652</v>
      </c>
      <c r="W998" s="7">
        <f>+W997*0.44</f>
        <v>168597.63085547832</v>
      </c>
      <c r="X998" s="7">
        <f>+X997*0.44</f>
        <v>114493.45991785132</v>
      </c>
      <c r="Y998" s="7">
        <f>+Y997*0.44</f>
        <v>169713.67141715201</v>
      </c>
      <c r="Z998" s="7">
        <f>+Z997*0.44</f>
        <v>147798.79120709328</v>
      </c>
      <c r="AA998" s="7">
        <f>+AA997*0.44</f>
        <v>150908.16829641085</v>
      </c>
      <c r="AB998" s="7">
        <f>+AB997*0.44</f>
        <v>147395.2047492167</v>
      </c>
      <c r="AC998" s="7">
        <f>+AC997*0.36</f>
        <v>859608</v>
      </c>
      <c r="AD998" s="7">
        <f>+AD997*0.36</f>
        <v>76661.1875420664</v>
      </c>
      <c r="AE998" s="7">
        <f>+AE997*0.36</f>
        <v>91679.581908325679</v>
      </c>
      <c r="AF998" s="7">
        <f>+AF997*0.36</f>
        <v>81137.101841338357</v>
      </c>
      <c r="AG998" s="7">
        <f>+AG997*0.36</f>
        <v>61458.232592204942</v>
      </c>
      <c r="AH998" s="7">
        <f>+AH997*0.36</f>
        <v>89129.072769118895</v>
      </c>
      <c r="AI998" s="7">
        <f>+AI997*0.36</f>
        <v>73041.176249455093</v>
      </c>
      <c r="AJ998" s="7">
        <f>+AJ997*0.36</f>
        <v>72717.575033926129</v>
      </c>
      <c r="AK998" s="7">
        <f>+AK997*0.36</f>
        <v>49381.991432649331</v>
      </c>
      <c r="AL998" s="7">
        <f>+AL997*0.36</f>
        <v>73198.932707059997</v>
      </c>
      <c r="AM998" s="7">
        <f>+AM997*0.36</f>
        <v>63746.860706116378</v>
      </c>
      <c r="AN998" s="7">
        <f>+AN997*0.36</f>
        <v>65087.961175048891</v>
      </c>
      <c r="AO998" s="7">
        <f>+AO997*0.36</f>
        <v>63572.790475209673</v>
      </c>
      <c r="AP998" s="5">
        <f>+AC998+P998+C998</f>
        <v>6326478.2029600004</v>
      </c>
      <c r="AQ998" s="5">
        <f>+AD998+Q998+D998</f>
        <v>564205.23308055755</v>
      </c>
      <c r="AR998" s="5">
        <f>+AE998+R998+E998</f>
        <v>674736.48058127449</v>
      </c>
      <c r="AS998" s="5">
        <f>+AF998+S998+F998</f>
        <v>597146.72996362555</v>
      </c>
      <c r="AT998" s="5">
        <f>+AG998+T998+G998</f>
        <v>452315.67049984471</v>
      </c>
      <c r="AU998" s="5">
        <f>+AH998+U998+H998</f>
        <v>655965.4355518641</v>
      </c>
      <c r="AV998" s="5">
        <f>+AI998+V998+I998</f>
        <v>537562.94666957227</v>
      </c>
      <c r="AW998" s="5">
        <f>+AJ998+W998+J998</f>
        <v>535181.33082084253</v>
      </c>
      <c r="AX998" s="5">
        <f>+AK998+X998+K998</f>
        <v>363437.86053342116</v>
      </c>
      <c r="AY998" s="5">
        <f>+AL998+Y998+L998</f>
        <v>538723.99076224328</v>
      </c>
      <c r="AZ998" s="5">
        <f>+AM998+Z998+M998</f>
        <v>469159.34328714124</v>
      </c>
      <c r="BA998" s="5">
        <f>+AN998+AA998+N998</f>
        <v>479029.47349146823</v>
      </c>
      <c r="BB998" s="5">
        <f>+AO998+AB998+O998</f>
        <v>467878.234314662</v>
      </c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</row>
    <row r="999" spans="1:66" x14ac:dyDescent="0.25">
      <c r="C999" s="6">
        <f>+C997-C998</f>
        <v>2959202.3210399998</v>
      </c>
      <c r="D999" s="6">
        <f>+D997-D998</f>
        <v>263906.29694949999</v>
      </c>
      <c r="E999" s="6">
        <f>+E997-E998</f>
        <v>315607.15067227586</v>
      </c>
      <c r="F999" s="6">
        <f>+F997-F998</f>
        <v>279314.64119848458</v>
      </c>
      <c r="G999" s="6">
        <f>+G997-G998</f>
        <v>211570.09303527768</v>
      </c>
      <c r="H999" s="6">
        <f>+H997-H998</f>
        <v>306827.01767610328</v>
      </c>
      <c r="I999" s="6">
        <f>+I997-I998</f>
        <v>251444.40057430719</v>
      </c>
      <c r="J999" s="6">
        <f>+J997-J998</f>
        <v>250330.40271937317</v>
      </c>
      <c r="K999" s="6">
        <f>+K997-K998</f>
        <v>169997.60782248783</v>
      </c>
      <c r="L999" s="6">
        <f>+L997-L998</f>
        <v>251987.4775064711</v>
      </c>
      <c r="M999" s="6">
        <f>+M997-M998</f>
        <v>219448.70005927503</v>
      </c>
      <c r="N999" s="6">
        <f>+N997-N998</f>
        <v>224065.44120222941</v>
      </c>
      <c r="O999" s="6">
        <f>+O997-O998</f>
        <v>218849.46292871918</v>
      </c>
      <c r="P999" s="7">
        <f>+P997-P998</f>
        <v>2536576</v>
      </c>
      <c r="Q999" s="7">
        <f>+Q997-Q998</f>
        <v>226215.81982799666</v>
      </c>
      <c r="R999" s="7">
        <f>+R997-R998</f>
        <v>270532.87912477949</v>
      </c>
      <c r="S999" s="7">
        <f>+S997-S998</f>
        <v>239423.58056264531</v>
      </c>
      <c r="T999" s="7">
        <f>+T997-T998</f>
        <v>181354.14956096854</v>
      </c>
      <c r="U999" s="7">
        <f>+U997-U998</f>
        <v>263006.70408884145</v>
      </c>
      <c r="V999" s="7">
        <f>+V997-V998</f>
        <v>215533.70220628296</v>
      </c>
      <c r="W999" s="7">
        <f>+W997-W998</f>
        <v>214578.80290697239</v>
      </c>
      <c r="X999" s="7">
        <f>+X997-X998</f>
        <v>145718.94898635623</v>
      </c>
      <c r="Y999" s="7">
        <f>+Y997-Y998</f>
        <v>215999.21816728436</v>
      </c>
      <c r="Z999" s="7">
        <f>+Z997-Z998</f>
        <v>188107.55244539143</v>
      </c>
      <c r="AA999" s="7">
        <f>+AA997-AA998</f>
        <v>192064.94146815929</v>
      </c>
      <c r="AB999" s="7">
        <f>+AB997-AB998</f>
        <v>187593.89695354851</v>
      </c>
      <c r="AC999" s="6">
        <f>+AC997-AC998</f>
        <v>1528192</v>
      </c>
      <c r="AD999" s="6">
        <f>+AD997-AD998</f>
        <v>136286.5556303403</v>
      </c>
      <c r="AE999" s="6">
        <f>+AE997-AE998</f>
        <v>162985.92339257902</v>
      </c>
      <c r="AF999" s="6">
        <f>+AF997-AF998</f>
        <v>144243.73660682375</v>
      </c>
      <c r="AG999" s="6">
        <f>+AG997-AG998</f>
        <v>109259.08016391992</v>
      </c>
      <c r="AH999" s="6">
        <f>+AH997-AH998</f>
        <v>158451.68492287805</v>
      </c>
      <c r="AI999" s="6">
        <f>+AI997-AI998</f>
        <v>129850.97999903127</v>
      </c>
      <c r="AJ999" s="6">
        <f>+AJ997-AJ998</f>
        <v>129275.68894920203</v>
      </c>
      <c r="AK999" s="6">
        <f>+AK997-AK998</f>
        <v>87790.206991376603</v>
      </c>
      <c r="AL999" s="6">
        <f>+AL997-AL998</f>
        <v>130131.43592366223</v>
      </c>
      <c r="AM999" s="6">
        <f>+AM997-AM998</f>
        <v>113327.75236642912</v>
      </c>
      <c r="AN999" s="6">
        <f>+AN997-AN998</f>
        <v>115711.93097786469</v>
      </c>
      <c r="AO999" s="6">
        <f>+AO997-AO998</f>
        <v>113018.29417815054</v>
      </c>
      <c r="AP999" s="5">
        <f>+AC999+P999+C999</f>
        <v>7023970.3210399998</v>
      </c>
      <c r="AQ999" s="5">
        <f>+AD999+Q999+D999</f>
        <v>626408.67240783689</v>
      </c>
      <c r="AR999" s="5">
        <f>+AE999+R999+E999</f>
        <v>749125.95318963437</v>
      </c>
      <c r="AS999" s="5">
        <f>+AF999+S999+F999</f>
        <v>662981.95836795366</v>
      </c>
      <c r="AT999" s="5">
        <f>+AG999+T999+G999</f>
        <v>502183.32276016613</v>
      </c>
      <c r="AU999" s="5">
        <f>+AH999+U999+H999</f>
        <v>728285.40668782277</v>
      </c>
      <c r="AV999" s="5">
        <f>+AI999+V999+I999</f>
        <v>596829.08277962147</v>
      </c>
      <c r="AW999" s="5">
        <f>+AJ999+W999+J999</f>
        <v>594184.89457554766</v>
      </c>
      <c r="AX999" s="5">
        <f>+AK999+X999+K999</f>
        <v>403506.76380022068</v>
      </c>
      <c r="AY999" s="5">
        <f>+AL999+Y999+L999</f>
        <v>598118.13159741764</v>
      </c>
      <c r="AZ999" s="5">
        <f>+AM999+Z999+M999</f>
        <v>520884.00487109559</v>
      </c>
      <c r="BA999" s="5">
        <f>+AN999+AA999+N999</f>
        <v>531842.31364825345</v>
      </c>
      <c r="BB999" s="5">
        <f>+AO999+AB999+O999</f>
        <v>519461.65406041819</v>
      </c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</row>
    <row r="1000" spans="1:66" x14ac:dyDescent="0.25">
      <c r="C1000" s="4">
        <f>+C999/C997</f>
        <v>0.45999999999999996</v>
      </c>
      <c r="P1000" s="2">
        <f>+P999/P997</f>
        <v>0.56000000000000005</v>
      </c>
      <c r="AC1000" s="4">
        <f>+AC998/AC997</f>
        <v>0.36</v>
      </c>
      <c r="AP1000" s="3">
        <f>+AP999/AP997</f>
        <v>0.5261224226596628</v>
      </c>
      <c r="AQ1000" s="3">
        <f>+AQ999/AQ997</f>
        <v>0.5261224226596628</v>
      </c>
      <c r="AR1000" s="3">
        <f>+AR999/AR997</f>
        <v>0.5261224226596628</v>
      </c>
      <c r="AS1000" s="3">
        <f>+AS999/AS997</f>
        <v>0.5261224226596628</v>
      </c>
      <c r="AT1000" s="3">
        <f>+AT999/AT997</f>
        <v>0.52612242265966291</v>
      </c>
      <c r="AU1000" s="3">
        <f>+AU999/AU997</f>
        <v>0.52612242265966291</v>
      </c>
      <c r="AV1000" s="3">
        <f>+AV999/AV997</f>
        <v>0.52612242265966291</v>
      </c>
      <c r="AW1000" s="3">
        <f>+AW999/AW997</f>
        <v>0.52612242265966291</v>
      </c>
      <c r="AX1000" s="3">
        <f>+AX999/AX997</f>
        <v>0.52612242265966291</v>
      </c>
      <c r="AY1000" s="3">
        <f>+AY999/AY997</f>
        <v>0.5261224226596628</v>
      </c>
      <c r="AZ1000" s="3">
        <f>+AZ999/AZ997</f>
        <v>0.5261224226596628</v>
      </c>
      <c r="BA1000" s="3">
        <f>+BA999/BA997</f>
        <v>0.52612242265966291</v>
      </c>
      <c r="BB1000" s="3">
        <f>+BB999/BB997</f>
        <v>0.5261224226596628</v>
      </c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 ventas cenval indus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Rubio</dc:creator>
  <cp:lastModifiedBy>Adrián Rubio</cp:lastModifiedBy>
  <dcterms:created xsi:type="dcterms:W3CDTF">2026-03-13T13:37:59Z</dcterms:created>
  <dcterms:modified xsi:type="dcterms:W3CDTF">2026-03-13T13:38:26Z</dcterms:modified>
</cp:coreProperties>
</file>